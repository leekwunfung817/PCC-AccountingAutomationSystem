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comments8.xml" ContentType="application/vnd.openxmlformats-officedocument.spreadsheetml.comments+xml"/>
  <Override PartName="/xl/threadedComments/threadedComment7.xml" ContentType="application/vnd.ms-excel.threadedcomments+xml"/>
  <Override PartName="/xl/comments9.xml" ContentType="application/vnd.openxmlformats-officedocument.spreadsheetml.comments+xml"/>
  <Override PartName="/xl/threadedComments/threadedComment8.xml" ContentType="application/vnd.ms-excel.threadedcomments+xml"/>
  <Override PartName="/xl/comments10.xml" ContentType="application/vnd.openxmlformats-officedocument.spreadsheetml.comments+xml"/>
  <Override PartName="/xl/threadedComments/threadedComment9.xml" ContentType="application/vnd.ms-excel.threadedcomments+xml"/>
  <Override PartName="/xl/comments11.xml" ContentType="application/vnd.openxmlformats-officedocument.spreadsheetml.comments+xml"/>
  <Override PartName="/xl/threadedComments/threadedComment10.xml" ContentType="application/vnd.ms-excel.threadedcomments+xml"/>
  <Override PartName="/xl/comments12.xml" ContentType="application/vnd.openxmlformats-officedocument.spreadsheetml.comments+xml"/>
  <Override PartName="/xl/threadedComments/threadedComment11.xml" ContentType="application/vnd.ms-excel.threadedcomments+xml"/>
  <Override PartName="/xl/comments13.xml" ContentType="application/vnd.openxmlformats-officedocument.spreadsheetml.comments+xml"/>
  <Override PartName="/xl/threadedComments/threadedComment12.xml" ContentType="application/vnd.ms-excel.threadedcomments+xml"/>
  <Override PartName="/xl/comments14.xml" ContentType="application/vnd.openxmlformats-officedocument.spreadsheetml.comments+xml"/>
  <Override PartName="/xl/threadedComments/threadedComment13.xml" ContentType="application/vnd.ms-excel.threadedcomments+xml"/>
  <Override PartName="/xl/comments15.xml" ContentType="application/vnd.openxmlformats-officedocument.spreadsheetml.comments+xml"/>
  <Override PartName="/xl/threadedComments/threadedComment14.xml" ContentType="application/vnd.ms-excel.threadedcomments+xml"/>
  <Override PartName="/xl/comments16.xml" ContentType="application/vnd.openxmlformats-officedocument.spreadsheetml.comments+xml"/>
  <Override PartName="/xl/threadedComments/threadedComment15.xml" ContentType="application/vnd.ms-excel.threadedcomments+xml"/>
  <Override PartName="/xl/comments17.xml" ContentType="application/vnd.openxmlformats-officedocument.spreadsheetml.comments+xml"/>
  <Override PartName="/xl/threadedComments/threadedComment1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olynesianculturalcenter.sharepoint.com/sites/MarketingTeam/Shared Documents/General/Budget &amp; Actual Expense Sheets/2025/"/>
    </mc:Choice>
  </mc:AlternateContent>
  <xr:revisionPtr revIDLastSave="14984" documentId="11_E60897F41BE170836B02CE998F75CCDC64E183C8" xr6:coauthVersionLast="47" xr6:coauthVersionMax="47" xr10:uidLastSave="{5401CFB9-A7EB-4A47-948D-FAEB03EC0E52}"/>
  <bookViews>
    <workbookView minimized="1" xWindow="768" yWindow="324" windowWidth="20604" windowHeight="9828" xr2:uid="{00000000-000D-0000-FFFF-FFFF00000000}"/>
  </bookViews>
  <sheets>
    <sheet name="Total " sheetId="28" r:id="rId1"/>
    <sheet name="Adjustment" sheetId="2" r:id="rId2"/>
    <sheet name="5024-510 Individual Contractors" sheetId="7" r:id="rId3"/>
    <sheet name="5100-510 Performance based" sheetId="3" r:id="rId4"/>
    <sheet name="5101-510 Non performance based" sheetId="4" r:id="rId5"/>
    <sheet name="5102-510 Advertising Agency Fee" sheetId="5" r:id="rId6"/>
    <sheet name="5104-510 Public Relations" sheetId="6" r:id="rId7"/>
    <sheet name="5105-510 Promotional Events" sheetId="27" r:id="rId8"/>
    <sheet name="5200-510 Operating Materials" sheetId="8" r:id="rId9"/>
    <sheet name="5201-510 Uniform" sheetId="22" r:id="rId10"/>
    <sheet name="5203-510 Furnishings" sheetId="19" r:id="rId11"/>
    <sheet name="5312-510 General Contracted " sheetId="17" r:id="rId12"/>
    <sheet name="5313-510 Telecommunications" sheetId="24" r:id="rId13"/>
    <sheet name="5314-510 Postage &amp; Freight" sheetId="23" r:id="rId14"/>
    <sheet name="5315-510 Technology Services" sheetId="9" r:id="rId15"/>
    <sheet name="5315-630 Technology (MIS)" sheetId="10" r:id="rId16"/>
    <sheet name="5322-510 Gifts" sheetId="26" r:id="rId17"/>
    <sheet name="5323-510 Employee enrichment" sheetId="11" r:id="rId18"/>
    <sheet name="5324-510 Miscellaneous" sheetId="12" r:id="rId19"/>
    <sheet name="5325-510 Subscriptions &amp; Dues" sheetId="13" r:id="rId20"/>
    <sheet name="5326-510 Travel" sheetId="14" r:id="rId21"/>
    <sheet name="5327-510 Meals, Hosting" sheetId="15" r:id="rId22"/>
    <sheet name="5328-510 Vehicle Expense" sheetId="16" r:id="rId23"/>
    <sheet name="5333-510 Consulting" sheetId="20" r:id="rId24"/>
    <sheet name="5336-510 Excise Tax" sheetId="25" r:id="rId25"/>
    <sheet name="Total  (2)" sheetId="29" r:id="rId26"/>
    <sheet name="Total" sheetId="1" r:id="rId27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8" i="7" l="1"/>
  <c r="L22" i="3"/>
  <c r="L26" i="3"/>
  <c r="L18" i="3"/>
  <c r="O7" i="11"/>
  <c r="L22" i="11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5" i="15"/>
  <c r="O16" i="15"/>
  <c r="O17" i="15"/>
  <c r="O14" i="15"/>
  <c r="H18" i="15"/>
  <c r="O18" i="15" s="1"/>
  <c r="O6" i="15" l="1"/>
  <c r="H66" i="4"/>
  <c r="J66" i="4"/>
  <c r="O63" i="8"/>
  <c r="K22" i="11"/>
  <c r="O142" i="7"/>
  <c r="O141" i="7"/>
  <c r="O140" i="7"/>
  <c r="O139" i="7"/>
  <c r="K14" i="8"/>
  <c r="K34" i="5"/>
  <c r="K22" i="3"/>
  <c r="K18" i="3"/>
  <c r="J14" i="8"/>
  <c r="J18" i="3"/>
  <c r="J22" i="3"/>
  <c r="J14" i="5"/>
  <c r="J14" i="27"/>
  <c r="K6" i="7"/>
  <c r="K7" i="7" s="1"/>
  <c r="O76" i="7"/>
  <c r="O235" i="9"/>
  <c r="O234" i="9"/>
  <c r="O233" i="9"/>
  <c r="O232" i="9"/>
  <c r="L54" i="8"/>
  <c r="L50" i="27"/>
  <c r="K46" i="14"/>
  <c r="K42" i="14"/>
  <c r="K38" i="14"/>
  <c r="K220" i="9"/>
  <c r="K219" i="9"/>
  <c r="K14" i="27"/>
  <c r="K26" i="27"/>
  <c r="O221" i="9"/>
  <c r="O222" i="9"/>
  <c r="O223" i="9"/>
  <c r="O218" i="9"/>
  <c r="O23" i="5" l="1"/>
  <c r="I126" i="9" l="1"/>
  <c r="J78" i="9"/>
  <c r="O231" i="9"/>
  <c r="O230" i="9"/>
  <c r="O229" i="9"/>
  <c r="O228" i="9"/>
  <c r="O227" i="9"/>
  <c r="O226" i="9"/>
  <c r="O225" i="9"/>
  <c r="O224" i="9"/>
  <c r="J42" i="10"/>
  <c r="J54" i="8"/>
  <c r="J130" i="9" l="1"/>
  <c r="J42" i="27"/>
  <c r="J6" i="27"/>
  <c r="O138" i="7"/>
  <c r="O135" i="7"/>
  <c r="O136" i="7"/>
  <c r="O137" i="7"/>
  <c r="E6" i="7"/>
  <c r="D6" i="7"/>
  <c r="C6" i="7"/>
  <c r="J4" i="7"/>
  <c r="I4" i="7"/>
  <c r="H4" i="7"/>
  <c r="G4" i="7"/>
  <c r="F4" i="7"/>
  <c r="E4" i="7"/>
  <c r="D4" i="7"/>
  <c r="C4" i="7"/>
  <c r="J3" i="7"/>
  <c r="J18" i="28" s="1"/>
  <c r="I3" i="7"/>
  <c r="H3" i="7"/>
  <c r="H18" i="28" s="1"/>
  <c r="G3" i="7"/>
  <c r="F3" i="7"/>
  <c r="E3" i="7"/>
  <c r="E18" i="28" s="1"/>
  <c r="D3" i="7"/>
  <c r="C3" i="7"/>
  <c r="J34" i="5"/>
  <c r="I30" i="3"/>
  <c r="O30" i="3" s="1"/>
  <c r="J14" i="7"/>
  <c r="J18" i="7"/>
  <c r="H14" i="6"/>
  <c r="I14" i="6"/>
  <c r="I18" i="8"/>
  <c r="I34" i="5"/>
  <c r="I38" i="5"/>
  <c r="I18" i="4"/>
  <c r="I14" i="4"/>
  <c r="I18" i="3"/>
  <c r="I22" i="3"/>
  <c r="I6" i="3" s="1"/>
  <c r="O131" i="7"/>
  <c r="O132" i="7"/>
  <c r="O133" i="7"/>
  <c r="O134" i="7"/>
  <c r="I14" i="7"/>
  <c r="I46" i="7"/>
  <c r="I18" i="7"/>
  <c r="O18" i="7" s="1"/>
  <c r="I34" i="8"/>
  <c r="I22" i="11"/>
  <c r="I54" i="8"/>
  <c r="O27" i="26"/>
  <c r="I118" i="9"/>
  <c r="I219" i="9"/>
  <c r="H219" i="9"/>
  <c r="O219" i="9" s="1"/>
  <c r="H130" i="9"/>
  <c r="O12" i="5"/>
  <c r="O13" i="25"/>
  <c r="O13" i="20"/>
  <c r="O13" i="16"/>
  <c r="O13" i="15"/>
  <c r="O13" i="14"/>
  <c r="O13" i="13"/>
  <c r="O13" i="12"/>
  <c r="O13" i="11"/>
  <c r="O13" i="26"/>
  <c r="O13" i="10"/>
  <c r="O13" i="9"/>
  <c r="O13" i="23"/>
  <c r="O13" i="24"/>
  <c r="O13" i="17"/>
  <c r="O13" i="19"/>
  <c r="O13" i="22"/>
  <c r="O13" i="8"/>
  <c r="O13" i="27"/>
  <c r="O13" i="6"/>
  <c r="O13" i="4"/>
  <c r="O13" i="3"/>
  <c r="O12" i="7"/>
  <c r="O38" i="4"/>
  <c r="O5" i="4"/>
  <c r="C3" i="8"/>
  <c r="C70" i="28" s="1"/>
  <c r="C6" i="8"/>
  <c r="D201" i="28"/>
  <c r="E201" i="28"/>
  <c r="F201" i="28"/>
  <c r="G201" i="28"/>
  <c r="H201" i="28"/>
  <c r="I201" i="28"/>
  <c r="J201" i="28"/>
  <c r="K201" i="28"/>
  <c r="L201" i="28"/>
  <c r="M201" i="28"/>
  <c r="N201" i="28"/>
  <c r="O205" i="28"/>
  <c r="D193" i="28"/>
  <c r="E193" i="28"/>
  <c r="F193" i="28"/>
  <c r="G193" i="28"/>
  <c r="H193" i="28"/>
  <c r="I193" i="28"/>
  <c r="J193" i="28"/>
  <c r="K193" i="28"/>
  <c r="L193" i="28"/>
  <c r="M193" i="28"/>
  <c r="N193" i="28"/>
  <c r="O197" i="28"/>
  <c r="D185" i="28"/>
  <c r="E185" i="28"/>
  <c r="F185" i="28"/>
  <c r="G185" i="28"/>
  <c r="H185" i="28"/>
  <c r="I185" i="28"/>
  <c r="J185" i="28"/>
  <c r="K185" i="28"/>
  <c r="L185" i="28"/>
  <c r="M185" i="28"/>
  <c r="N185" i="28"/>
  <c r="O189" i="28"/>
  <c r="D177" i="28"/>
  <c r="E177" i="28"/>
  <c r="F177" i="28"/>
  <c r="G177" i="28"/>
  <c r="H177" i="28"/>
  <c r="I177" i="28"/>
  <c r="J177" i="28"/>
  <c r="K177" i="28"/>
  <c r="L177" i="28"/>
  <c r="M177" i="28"/>
  <c r="N177" i="28"/>
  <c r="O181" i="28"/>
  <c r="D169" i="28"/>
  <c r="E169" i="28"/>
  <c r="F169" i="28"/>
  <c r="G169" i="28"/>
  <c r="H169" i="28"/>
  <c r="I169" i="28"/>
  <c r="J169" i="28"/>
  <c r="K169" i="28"/>
  <c r="L169" i="28"/>
  <c r="M169" i="28"/>
  <c r="N169" i="28"/>
  <c r="O173" i="28"/>
  <c r="D161" i="28"/>
  <c r="E161" i="28"/>
  <c r="F161" i="28"/>
  <c r="G161" i="28"/>
  <c r="H161" i="28"/>
  <c r="I161" i="28"/>
  <c r="J161" i="28"/>
  <c r="K161" i="28"/>
  <c r="L161" i="28"/>
  <c r="M161" i="28"/>
  <c r="N161" i="28"/>
  <c r="O165" i="28"/>
  <c r="D153" i="28"/>
  <c r="E153" i="28"/>
  <c r="F153" i="28"/>
  <c r="G153" i="28"/>
  <c r="H153" i="28"/>
  <c r="I153" i="28"/>
  <c r="J153" i="28"/>
  <c r="K153" i="28"/>
  <c r="L153" i="28"/>
  <c r="M153" i="28"/>
  <c r="N153" i="28"/>
  <c r="O157" i="28"/>
  <c r="J145" i="28"/>
  <c r="K145" i="28"/>
  <c r="L145" i="28"/>
  <c r="M145" i="28"/>
  <c r="N145" i="28"/>
  <c r="O149" i="28"/>
  <c r="D145" i="28"/>
  <c r="E145" i="28"/>
  <c r="F145" i="28"/>
  <c r="G145" i="28"/>
  <c r="H145" i="28"/>
  <c r="I145" i="28"/>
  <c r="D137" i="28"/>
  <c r="E137" i="28"/>
  <c r="F137" i="28"/>
  <c r="G137" i="28"/>
  <c r="H137" i="28"/>
  <c r="I137" i="28"/>
  <c r="J137" i="28"/>
  <c r="K137" i="28"/>
  <c r="L137" i="28"/>
  <c r="M137" i="28"/>
  <c r="N137" i="28"/>
  <c r="O141" i="28"/>
  <c r="O133" i="28"/>
  <c r="O125" i="28"/>
  <c r="O117" i="28"/>
  <c r="O109" i="28"/>
  <c r="O101" i="28"/>
  <c r="O92" i="28"/>
  <c r="O84" i="28"/>
  <c r="O76" i="28"/>
  <c r="C72" i="28"/>
  <c r="D72" i="28"/>
  <c r="E72" i="28"/>
  <c r="F72" i="28"/>
  <c r="G72" i="28"/>
  <c r="H72" i="28"/>
  <c r="I72" i="28"/>
  <c r="J72" i="28"/>
  <c r="K72" i="28"/>
  <c r="L72" i="28"/>
  <c r="M72" i="28"/>
  <c r="N72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7" i="28"/>
  <c r="C55" i="28"/>
  <c r="D55" i="28"/>
  <c r="E55" i="28"/>
  <c r="F55" i="28"/>
  <c r="G55" i="28"/>
  <c r="H55" i="28"/>
  <c r="I55" i="28"/>
  <c r="J55" i="28"/>
  <c r="K55" i="28"/>
  <c r="L55" i="28"/>
  <c r="M55" i="28"/>
  <c r="N55" i="28"/>
  <c r="O59" i="28"/>
  <c r="C47" i="28"/>
  <c r="D47" i="28"/>
  <c r="E47" i="28"/>
  <c r="F47" i="28"/>
  <c r="G47" i="28"/>
  <c r="H47" i="28"/>
  <c r="I47" i="28"/>
  <c r="J47" i="28"/>
  <c r="K47" i="28"/>
  <c r="L47" i="28"/>
  <c r="M47" i="28"/>
  <c r="N47" i="28"/>
  <c r="O51" i="28"/>
  <c r="C38" i="28"/>
  <c r="D38" i="28"/>
  <c r="E38" i="28"/>
  <c r="F38" i="28"/>
  <c r="G38" i="28"/>
  <c r="H38" i="28"/>
  <c r="I38" i="28"/>
  <c r="J38" i="28"/>
  <c r="K38" i="28"/>
  <c r="L38" i="28"/>
  <c r="M38" i="28"/>
  <c r="N38" i="28"/>
  <c r="O42" i="28"/>
  <c r="C29" i="28"/>
  <c r="D29" i="28"/>
  <c r="E29" i="28"/>
  <c r="F29" i="28"/>
  <c r="G29" i="28"/>
  <c r="H29" i="28"/>
  <c r="I29" i="28"/>
  <c r="J29" i="28"/>
  <c r="K29" i="28"/>
  <c r="L29" i="28"/>
  <c r="M29" i="28"/>
  <c r="N29" i="28"/>
  <c r="O33" i="28"/>
  <c r="C20" i="28"/>
  <c r="D20" i="28"/>
  <c r="E20" i="28"/>
  <c r="F20" i="28"/>
  <c r="G20" i="28"/>
  <c r="H20" i="28"/>
  <c r="I20" i="28"/>
  <c r="J20" i="28"/>
  <c r="K20" i="28"/>
  <c r="L20" i="28"/>
  <c r="M20" i="28"/>
  <c r="N20" i="28"/>
  <c r="O24" i="28"/>
  <c r="M3" i="3"/>
  <c r="M27" i="28" s="1"/>
  <c r="N3" i="3"/>
  <c r="N27" i="28" s="1"/>
  <c r="M6" i="3"/>
  <c r="N6" i="3"/>
  <c r="F6" i="8"/>
  <c r="F4" i="8"/>
  <c r="F3" i="8"/>
  <c r="N170" i="29"/>
  <c r="M170" i="29"/>
  <c r="L170" i="29"/>
  <c r="K170" i="29"/>
  <c r="J170" i="29"/>
  <c r="I170" i="29"/>
  <c r="H170" i="29"/>
  <c r="G170" i="29"/>
  <c r="F170" i="29"/>
  <c r="E170" i="29"/>
  <c r="D170" i="29"/>
  <c r="C170" i="29"/>
  <c r="A168" i="29"/>
  <c r="N160" i="29"/>
  <c r="M160" i="29"/>
  <c r="L160" i="29"/>
  <c r="K160" i="29"/>
  <c r="J160" i="29"/>
  <c r="I160" i="29"/>
  <c r="H160" i="29"/>
  <c r="G160" i="29"/>
  <c r="F160" i="29"/>
  <c r="E160" i="29"/>
  <c r="D160" i="29"/>
  <c r="C160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N136" i="29"/>
  <c r="M136" i="29"/>
  <c r="L136" i="29"/>
  <c r="K136" i="29"/>
  <c r="J136" i="29"/>
  <c r="I136" i="29"/>
  <c r="H136" i="29"/>
  <c r="G136" i="29"/>
  <c r="F136" i="29"/>
  <c r="E136" i="29"/>
  <c r="D136" i="29"/>
  <c r="C136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N112" i="29"/>
  <c r="M112" i="29"/>
  <c r="L112" i="29"/>
  <c r="K112" i="29"/>
  <c r="J112" i="29"/>
  <c r="I112" i="29"/>
  <c r="H112" i="29"/>
  <c r="G112" i="29"/>
  <c r="F112" i="29"/>
  <c r="E112" i="29"/>
  <c r="D112" i="29"/>
  <c r="C112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N70" i="29"/>
  <c r="M70" i="29"/>
  <c r="L70" i="29"/>
  <c r="K70" i="29"/>
  <c r="J70" i="29"/>
  <c r="I70" i="29"/>
  <c r="H70" i="29"/>
  <c r="G70" i="29"/>
  <c r="F70" i="29"/>
  <c r="E70" i="29"/>
  <c r="D70" i="29"/>
  <c r="C70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C201" i="28"/>
  <c r="C193" i="28"/>
  <c r="C185" i="28"/>
  <c r="C177" i="28"/>
  <c r="C169" i="28"/>
  <c r="C161" i="28"/>
  <c r="C153" i="28"/>
  <c r="C145" i="28"/>
  <c r="C137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N113" i="28"/>
  <c r="M113" i="28"/>
  <c r="L113" i="28"/>
  <c r="K113" i="28"/>
  <c r="J113" i="28"/>
  <c r="I113" i="28"/>
  <c r="H113" i="28"/>
  <c r="G113" i="28"/>
  <c r="F113" i="28"/>
  <c r="E113" i="28"/>
  <c r="D113" i="28"/>
  <c r="C113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N80" i="28"/>
  <c r="M80" i="28"/>
  <c r="L80" i="28"/>
  <c r="K80" i="28"/>
  <c r="J80" i="28"/>
  <c r="I80" i="28"/>
  <c r="H80" i="28"/>
  <c r="G80" i="28"/>
  <c r="F80" i="28"/>
  <c r="E80" i="28"/>
  <c r="D80" i="28"/>
  <c r="C80" i="28"/>
  <c r="H6" i="15"/>
  <c r="H34" i="11"/>
  <c r="H6" i="11" s="1"/>
  <c r="H138" i="28" s="1"/>
  <c r="H26" i="8"/>
  <c r="O26" i="8" s="1"/>
  <c r="H34" i="8"/>
  <c r="O34" i="8" s="1"/>
  <c r="H22" i="8"/>
  <c r="O22" i="8" s="1"/>
  <c r="H38" i="14"/>
  <c r="H46" i="14"/>
  <c r="H42" i="14"/>
  <c r="H220" i="9"/>
  <c r="H78" i="9"/>
  <c r="H50" i="3"/>
  <c r="H34" i="3"/>
  <c r="H6" i="6"/>
  <c r="H56" i="28" s="1"/>
  <c r="O66" i="4"/>
  <c r="H18" i="3"/>
  <c r="H22" i="3"/>
  <c r="H14" i="7"/>
  <c r="O122" i="7"/>
  <c r="O120" i="7"/>
  <c r="O121" i="7"/>
  <c r="O119" i="7"/>
  <c r="O130" i="7"/>
  <c r="O128" i="7"/>
  <c r="O129" i="7"/>
  <c r="O127" i="7"/>
  <c r="H42" i="7"/>
  <c r="G42" i="14"/>
  <c r="O126" i="7"/>
  <c r="O124" i="7"/>
  <c r="O125" i="7"/>
  <c r="O123" i="7"/>
  <c r="O118" i="7"/>
  <c r="O116" i="7"/>
  <c r="O117" i="7"/>
  <c r="O115" i="7"/>
  <c r="O114" i="7"/>
  <c r="O112" i="7"/>
  <c r="O113" i="7"/>
  <c r="O111" i="7"/>
  <c r="O110" i="7"/>
  <c r="O108" i="7"/>
  <c r="O109" i="7"/>
  <c r="O107" i="7"/>
  <c r="G34" i="3"/>
  <c r="G78" i="9"/>
  <c r="G220" i="9"/>
  <c r="O220" i="9" s="1"/>
  <c r="G30" i="19"/>
  <c r="O30" i="19" s="1"/>
  <c r="G66" i="19"/>
  <c r="O66" i="19" s="1"/>
  <c r="G90" i="8"/>
  <c r="O90" i="8" s="1"/>
  <c r="G18" i="27"/>
  <c r="O18" i="27" s="1"/>
  <c r="G50" i="3"/>
  <c r="G34" i="14"/>
  <c r="O34" i="14" s="1"/>
  <c r="G38" i="14"/>
  <c r="G46" i="14"/>
  <c r="G14" i="26"/>
  <c r="G6" i="26" s="1"/>
  <c r="G210" i="9"/>
  <c r="O210" i="9" s="1"/>
  <c r="G54" i="8"/>
  <c r="O54" i="8" s="1"/>
  <c r="G26" i="27"/>
  <c r="G38" i="27"/>
  <c r="O38" i="27" s="1"/>
  <c r="O216" i="9"/>
  <c r="O217" i="9"/>
  <c r="O215" i="9"/>
  <c r="G130" i="9"/>
  <c r="G30" i="14"/>
  <c r="G22" i="14"/>
  <c r="G18" i="14"/>
  <c r="O18" i="14" s="1"/>
  <c r="G14" i="14"/>
  <c r="G22" i="3"/>
  <c r="G18" i="3"/>
  <c r="F18" i="3"/>
  <c r="G14" i="6"/>
  <c r="G6" i="6" s="1"/>
  <c r="G56" i="28" s="1"/>
  <c r="G42" i="7"/>
  <c r="F14" i="7"/>
  <c r="F18" i="4"/>
  <c r="F6" i="4" s="1"/>
  <c r="F39" i="28" s="1"/>
  <c r="T18" i="3"/>
  <c r="T22" i="3"/>
  <c r="F22" i="3" s="1"/>
  <c r="F30" i="11"/>
  <c r="O30" i="11" s="1"/>
  <c r="F14" i="26"/>
  <c r="O14" i="26" s="1"/>
  <c r="F22" i="27"/>
  <c r="O22" i="27" s="1"/>
  <c r="F26" i="27"/>
  <c r="F30" i="14"/>
  <c r="F22" i="14"/>
  <c r="F14" i="14"/>
  <c r="F198" i="9"/>
  <c r="O198" i="9" s="1"/>
  <c r="F18" i="10"/>
  <c r="O18" i="10" s="1"/>
  <c r="F14" i="6"/>
  <c r="F42" i="7"/>
  <c r="T26" i="7"/>
  <c r="T27" i="7"/>
  <c r="T29" i="7"/>
  <c r="D17" i="1"/>
  <c r="C3" i="3"/>
  <c r="C27" i="28" s="1"/>
  <c r="C4" i="3"/>
  <c r="C28" i="28" s="1"/>
  <c r="O94" i="4"/>
  <c r="O92" i="4"/>
  <c r="O93" i="4"/>
  <c r="O91" i="4"/>
  <c r="O90" i="4"/>
  <c r="O88" i="4"/>
  <c r="O89" i="4"/>
  <c r="O87" i="4"/>
  <c r="O86" i="4"/>
  <c r="O84" i="4"/>
  <c r="O85" i="4"/>
  <c r="O83" i="4"/>
  <c r="O82" i="4"/>
  <c r="O80" i="4"/>
  <c r="O81" i="4"/>
  <c r="O79" i="4"/>
  <c r="O78" i="4"/>
  <c r="O76" i="4"/>
  <c r="O77" i="4"/>
  <c r="O75" i="4"/>
  <c r="O74" i="4"/>
  <c r="O72" i="4"/>
  <c r="O73" i="4"/>
  <c r="O71" i="4"/>
  <c r="O70" i="4"/>
  <c r="O68" i="4"/>
  <c r="O69" i="4"/>
  <c r="O67" i="4"/>
  <c r="O64" i="4"/>
  <c r="O65" i="4"/>
  <c r="O63" i="4"/>
  <c r="O62" i="4"/>
  <c r="O60" i="4"/>
  <c r="O61" i="4"/>
  <c r="O59" i="4"/>
  <c r="O214" i="9"/>
  <c r="O212" i="9"/>
  <c r="O213" i="9"/>
  <c r="O211" i="9"/>
  <c r="E6" i="9"/>
  <c r="O208" i="9"/>
  <c r="O209" i="9"/>
  <c r="O207" i="9"/>
  <c r="O206" i="9"/>
  <c r="O204" i="9"/>
  <c r="O205" i="9"/>
  <c r="O203" i="9"/>
  <c r="D54" i="1"/>
  <c r="E54" i="1"/>
  <c r="F54" i="1"/>
  <c r="G54" i="1"/>
  <c r="H54" i="1"/>
  <c r="I54" i="1"/>
  <c r="J54" i="1"/>
  <c r="K54" i="1"/>
  <c r="L54" i="1"/>
  <c r="M54" i="1"/>
  <c r="N54" i="1"/>
  <c r="C54" i="1"/>
  <c r="O46" i="10"/>
  <c r="O44" i="10"/>
  <c r="O45" i="10"/>
  <c r="O43" i="10"/>
  <c r="O47" i="10"/>
  <c r="O49" i="10"/>
  <c r="O48" i="10"/>
  <c r="O50" i="10"/>
  <c r="O51" i="10"/>
  <c r="O53" i="10"/>
  <c r="O52" i="10"/>
  <c r="O54" i="10"/>
  <c r="O55" i="10"/>
  <c r="O57" i="10"/>
  <c r="O56" i="10"/>
  <c r="O58" i="10"/>
  <c r="O59" i="10"/>
  <c r="O61" i="10"/>
  <c r="O60" i="10"/>
  <c r="O62" i="10"/>
  <c r="O24" i="27"/>
  <c r="O25" i="27"/>
  <c r="O23" i="27"/>
  <c r="O20" i="27"/>
  <c r="O21" i="27"/>
  <c r="O19" i="27"/>
  <c r="O16" i="27"/>
  <c r="O17" i="27"/>
  <c r="O15" i="27"/>
  <c r="O14" i="27"/>
  <c r="O12" i="27"/>
  <c r="O11" i="27"/>
  <c r="O98" i="27"/>
  <c r="O96" i="27"/>
  <c r="O97" i="27"/>
  <c r="O95" i="27"/>
  <c r="O94" i="27"/>
  <c r="O92" i="27"/>
  <c r="O93" i="27"/>
  <c r="O91" i="27"/>
  <c r="O90" i="27"/>
  <c r="O88" i="27"/>
  <c r="O89" i="27"/>
  <c r="O87" i="27"/>
  <c r="O86" i="27"/>
  <c r="O84" i="27"/>
  <c r="O85" i="27"/>
  <c r="O83" i="27"/>
  <c r="O82" i="27"/>
  <c r="O80" i="27"/>
  <c r="O81" i="27"/>
  <c r="O79" i="27"/>
  <c r="O78" i="27"/>
  <c r="O76" i="27"/>
  <c r="O77" i="27"/>
  <c r="O75" i="27"/>
  <c r="O74" i="27"/>
  <c r="O72" i="27"/>
  <c r="O73" i="27"/>
  <c r="O71" i="27"/>
  <c r="O70" i="27"/>
  <c r="O68" i="27"/>
  <c r="O69" i="27"/>
  <c r="O67" i="27"/>
  <c r="O66" i="27"/>
  <c r="O64" i="27"/>
  <c r="O65" i="27"/>
  <c r="O63" i="27"/>
  <c r="O62" i="27"/>
  <c r="O60" i="27"/>
  <c r="O61" i="27"/>
  <c r="O59" i="27"/>
  <c r="O58" i="27"/>
  <c r="O56" i="27"/>
  <c r="O57" i="27"/>
  <c r="O55" i="27"/>
  <c r="O54" i="27"/>
  <c r="O52" i="27"/>
  <c r="O53" i="27"/>
  <c r="O51" i="27"/>
  <c r="O50" i="27"/>
  <c r="O48" i="27"/>
  <c r="O49" i="27"/>
  <c r="O47" i="27"/>
  <c r="O46" i="27"/>
  <c r="O44" i="27"/>
  <c r="O45" i="27"/>
  <c r="O43" i="27"/>
  <c r="O42" i="27"/>
  <c r="O40" i="27"/>
  <c r="O41" i="27"/>
  <c r="O39" i="27"/>
  <c r="O36" i="27"/>
  <c r="O37" i="27"/>
  <c r="O35" i="27"/>
  <c r="O34" i="27"/>
  <c r="O32" i="27"/>
  <c r="O33" i="27"/>
  <c r="O31" i="27"/>
  <c r="O30" i="27"/>
  <c r="O28" i="27"/>
  <c r="O29" i="27"/>
  <c r="O27" i="27"/>
  <c r="N6" i="27"/>
  <c r="M6" i="27"/>
  <c r="L6" i="27"/>
  <c r="K6" i="27"/>
  <c r="I6" i="27"/>
  <c r="I7" i="27" s="1"/>
  <c r="I65" i="28" s="1"/>
  <c r="H6" i="27"/>
  <c r="H64" i="28" s="1"/>
  <c r="E6" i="27"/>
  <c r="E64" i="28" s="1"/>
  <c r="D6" i="27"/>
  <c r="D64" i="28" s="1"/>
  <c r="C6" i="27"/>
  <c r="N4" i="27"/>
  <c r="N62" i="28" s="1"/>
  <c r="M4" i="27"/>
  <c r="M62" i="28" s="1"/>
  <c r="L4" i="27"/>
  <c r="L62" i="28" s="1"/>
  <c r="K4" i="27"/>
  <c r="K62" i="28" s="1"/>
  <c r="J4" i="27"/>
  <c r="J62" i="28" s="1"/>
  <c r="I4" i="27"/>
  <c r="I62" i="28" s="1"/>
  <c r="H4" i="27"/>
  <c r="H62" i="28" s="1"/>
  <c r="G4" i="27"/>
  <c r="G62" i="28" s="1"/>
  <c r="F4" i="27"/>
  <c r="F62" i="28" s="1"/>
  <c r="E4" i="27"/>
  <c r="E62" i="28" s="1"/>
  <c r="D4" i="27"/>
  <c r="D62" i="28" s="1"/>
  <c r="C4" i="27"/>
  <c r="C62" i="28" s="1"/>
  <c r="O5" i="27"/>
  <c r="O63" i="28" s="1"/>
  <c r="N3" i="27"/>
  <c r="N61" i="28" s="1"/>
  <c r="M3" i="27"/>
  <c r="M61" i="28" s="1"/>
  <c r="L3" i="27"/>
  <c r="L61" i="28" s="1"/>
  <c r="K3" i="27"/>
  <c r="K61" i="28" s="1"/>
  <c r="J3" i="27"/>
  <c r="J61" i="28" s="1"/>
  <c r="I3" i="27"/>
  <c r="I61" i="28" s="1"/>
  <c r="H3" i="27"/>
  <c r="H61" i="28" s="1"/>
  <c r="G3" i="27"/>
  <c r="G61" i="28" s="1"/>
  <c r="F3" i="27"/>
  <c r="F61" i="28" s="1"/>
  <c r="E3" i="27"/>
  <c r="E61" i="28" s="1"/>
  <c r="D3" i="27"/>
  <c r="D61" i="28" s="1"/>
  <c r="C3" i="27"/>
  <c r="C61" i="28" s="1"/>
  <c r="O66" i="5"/>
  <c r="O62" i="5"/>
  <c r="O58" i="5"/>
  <c r="O54" i="5"/>
  <c r="O42" i="5"/>
  <c r="O26" i="5"/>
  <c r="O18" i="5"/>
  <c r="O14" i="5"/>
  <c r="O202" i="9"/>
  <c r="O200" i="9"/>
  <c r="O201" i="9"/>
  <c r="O199" i="9"/>
  <c r="A158" i="1"/>
  <c r="D160" i="1"/>
  <c r="E160" i="1"/>
  <c r="F160" i="1"/>
  <c r="G160" i="1"/>
  <c r="H160" i="1"/>
  <c r="I160" i="1"/>
  <c r="J160" i="1"/>
  <c r="K160" i="1"/>
  <c r="L160" i="1"/>
  <c r="M160" i="1"/>
  <c r="N160" i="1"/>
  <c r="C160" i="1"/>
  <c r="O126" i="5"/>
  <c r="O124" i="5"/>
  <c r="O125" i="5"/>
  <c r="O123" i="5"/>
  <c r="O122" i="5"/>
  <c r="O120" i="5"/>
  <c r="O121" i="5"/>
  <c r="O119" i="5"/>
  <c r="O118" i="5"/>
  <c r="O116" i="5"/>
  <c r="O117" i="5"/>
  <c r="O115" i="5"/>
  <c r="O114" i="5"/>
  <c r="O112" i="5"/>
  <c r="O113" i="5"/>
  <c r="O111" i="5"/>
  <c r="O110" i="5"/>
  <c r="O108" i="5"/>
  <c r="O109" i="5"/>
  <c r="O107" i="5"/>
  <c r="O106" i="5"/>
  <c r="O104" i="5"/>
  <c r="O105" i="5"/>
  <c r="O103" i="5"/>
  <c r="O102" i="5"/>
  <c r="O100" i="5"/>
  <c r="O101" i="5"/>
  <c r="O99" i="5"/>
  <c r="O98" i="5"/>
  <c r="O96" i="5"/>
  <c r="O97" i="5"/>
  <c r="O95" i="5"/>
  <c r="O94" i="5"/>
  <c r="O92" i="5"/>
  <c r="O93" i="5"/>
  <c r="O91" i="5"/>
  <c r="O90" i="5"/>
  <c r="O88" i="5"/>
  <c r="O89" i="5"/>
  <c r="O87" i="5"/>
  <c r="O86" i="5"/>
  <c r="O84" i="5"/>
  <c r="O85" i="5"/>
  <c r="O83" i="5"/>
  <c r="O82" i="5"/>
  <c r="O80" i="5"/>
  <c r="O81" i="5"/>
  <c r="O79" i="5"/>
  <c r="O78" i="5"/>
  <c r="O76" i="5"/>
  <c r="O77" i="5"/>
  <c r="O75" i="5"/>
  <c r="O74" i="5"/>
  <c r="O72" i="5"/>
  <c r="O73" i="5"/>
  <c r="O71" i="5"/>
  <c r="O70" i="5"/>
  <c r="N68" i="5"/>
  <c r="N4" i="5" s="1"/>
  <c r="N46" i="28" s="1"/>
  <c r="M68" i="5"/>
  <c r="M4" i="5" s="1"/>
  <c r="M46" i="28" s="1"/>
  <c r="L68" i="5"/>
  <c r="L4" i="5" s="1"/>
  <c r="L46" i="28" s="1"/>
  <c r="K68" i="5"/>
  <c r="K4" i="5" s="1"/>
  <c r="K46" i="28" s="1"/>
  <c r="J68" i="5"/>
  <c r="J4" i="5" s="1"/>
  <c r="J46" i="28" s="1"/>
  <c r="I68" i="5"/>
  <c r="H68" i="5"/>
  <c r="G68" i="5"/>
  <c r="F68" i="5"/>
  <c r="E68" i="5"/>
  <c r="D68" i="5"/>
  <c r="C68" i="5"/>
  <c r="C4" i="5" s="1"/>
  <c r="C46" i="28" s="1"/>
  <c r="O69" i="5"/>
  <c r="O67" i="5"/>
  <c r="O64" i="5"/>
  <c r="O65" i="5"/>
  <c r="O63" i="5"/>
  <c r="O60" i="5"/>
  <c r="O61" i="5"/>
  <c r="O59" i="5"/>
  <c r="O56" i="5"/>
  <c r="O57" i="5"/>
  <c r="O55" i="5"/>
  <c r="O52" i="5"/>
  <c r="O53" i="5"/>
  <c r="O51" i="5"/>
  <c r="O50" i="5"/>
  <c r="O48" i="5"/>
  <c r="O49" i="5"/>
  <c r="O47" i="5"/>
  <c r="O46" i="5"/>
  <c r="O44" i="5"/>
  <c r="O45" i="5"/>
  <c r="O43" i="5"/>
  <c r="O22" i="5"/>
  <c r="O20" i="5"/>
  <c r="O21" i="5"/>
  <c r="O19" i="5"/>
  <c r="O38" i="5"/>
  <c r="O36" i="5"/>
  <c r="O37" i="5"/>
  <c r="O35" i="5"/>
  <c r="O16" i="5"/>
  <c r="L6" i="3"/>
  <c r="K6" i="3"/>
  <c r="J6" i="3"/>
  <c r="E6" i="3"/>
  <c r="E30" i="28" s="1"/>
  <c r="D6" i="3"/>
  <c r="D30" i="28" s="1"/>
  <c r="C6" i="3"/>
  <c r="L3" i="3"/>
  <c r="L27" i="28" s="1"/>
  <c r="K3" i="3"/>
  <c r="K27" i="28" s="1"/>
  <c r="J3" i="3"/>
  <c r="I3" i="3"/>
  <c r="H3" i="3"/>
  <c r="H27" i="28" s="1"/>
  <c r="G3" i="3"/>
  <c r="G27" i="28" s="1"/>
  <c r="F3" i="3"/>
  <c r="F27" i="28" s="1"/>
  <c r="E3" i="3"/>
  <c r="E27" i="28" s="1"/>
  <c r="D3" i="3"/>
  <c r="D27" i="28" s="1"/>
  <c r="O11" i="3"/>
  <c r="O14" i="3"/>
  <c r="D4" i="3"/>
  <c r="D28" i="28" s="1"/>
  <c r="E4" i="3"/>
  <c r="E28" i="28" s="1"/>
  <c r="F4" i="3"/>
  <c r="F28" i="28" s="1"/>
  <c r="G4" i="3"/>
  <c r="G28" i="28" s="1"/>
  <c r="H4" i="3"/>
  <c r="H28" i="28" s="1"/>
  <c r="I4" i="3"/>
  <c r="I28" i="28" s="1"/>
  <c r="J4" i="3"/>
  <c r="J28" i="28" s="1"/>
  <c r="K4" i="3"/>
  <c r="K28" i="28" s="1"/>
  <c r="L4" i="3"/>
  <c r="L28" i="28" s="1"/>
  <c r="O28" i="11"/>
  <c r="O29" i="11"/>
  <c r="O27" i="11"/>
  <c r="O26" i="11"/>
  <c r="O24" i="11"/>
  <c r="O25" i="11"/>
  <c r="O23" i="11"/>
  <c r="O32" i="11"/>
  <c r="O33" i="11"/>
  <c r="O31" i="11"/>
  <c r="O38" i="11"/>
  <c r="O36" i="11"/>
  <c r="O37" i="11"/>
  <c r="O35" i="11"/>
  <c r="O12" i="20"/>
  <c r="O158" i="5"/>
  <c r="O156" i="5"/>
  <c r="O157" i="5"/>
  <c r="O155" i="5"/>
  <c r="O154" i="5"/>
  <c r="O152" i="5"/>
  <c r="O153" i="5"/>
  <c r="O151" i="5"/>
  <c r="O150" i="5"/>
  <c r="O148" i="5"/>
  <c r="O149" i="5"/>
  <c r="O147" i="5"/>
  <c r="O146" i="5"/>
  <c r="O144" i="5"/>
  <c r="O145" i="5"/>
  <c r="O143" i="5"/>
  <c r="O142" i="5"/>
  <c r="O140" i="5"/>
  <c r="O141" i="5"/>
  <c r="O139" i="5"/>
  <c r="O138" i="5"/>
  <c r="O136" i="5"/>
  <c r="O137" i="5"/>
  <c r="O135" i="5"/>
  <c r="O134" i="5"/>
  <c r="O132" i="5"/>
  <c r="O133" i="5"/>
  <c r="O131" i="5"/>
  <c r="O130" i="5"/>
  <c r="O128" i="5"/>
  <c r="O129" i="5"/>
  <c r="O127" i="5"/>
  <c r="O196" i="9"/>
  <c r="O197" i="9"/>
  <c r="O195" i="9"/>
  <c r="O194" i="9"/>
  <c r="O192" i="9"/>
  <c r="O193" i="9"/>
  <c r="O191" i="9"/>
  <c r="O190" i="9"/>
  <c r="O188" i="9"/>
  <c r="O189" i="9"/>
  <c r="O187" i="9"/>
  <c r="O186" i="9"/>
  <c r="O184" i="9"/>
  <c r="O185" i="9"/>
  <c r="O183" i="9"/>
  <c r="O182" i="9"/>
  <c r="O180" i="9"/>
  <c r="O181" i="9"/>
  <c r="O179" i="9"/>
  <c r="O178" i="9"/>
  <c r="O176" i="9"/>
  <c r="O177" i="9"/>
  <c r="O175" i="9"/>
  <c r="O171" i="9"/>
  <c r="O173" i="9"/>
  <c r="O172" i="9"/>
  <c r="O174" i="9"/>
  <c r="O167" i="9"/>
  <c r="O169" i="9"/>
  <c r="O168" i="9"/>
  <c r="O170" i="9"/>
  <c r="O107" i="8"/>
  <c r="O109" i="8"/>
  <c r="O108" i="8"/>
  <c r="O110" i="8"/>
  <c r="O111" i="8"/>
  <c r="O113" i="8"/>
  <c r="O112" i="8"/>
  <c r="O114" i="8"/>
  <c r="O99" i="8"/>
  <c r="O101" i="8"/>
  <c r="O100" i="8"/>
  <c r="O102" i="8"/>
  <c r="O103" i="8"/>
  <c r="O105" i="8"/>
  <c r="O104" i="8"/>
  <c r="O106" i="8"/>
  <c r="O91" i="8"/>
  <c r="O93" i="8"/>
  <c r="O92" i="8"/>
  <c r="O94" i="8"/>
  <c r="O95" i="8"/>
  <c r="O97" i="8"/>
  <c r="O96" i="8"/>
  <c r="O98" i="8"/>
  <c r="O83" i="8"/>
  <c r="O85" i="8"/>
  <c r="O84" i="8"/>
  <c r="O86" i="8"/>
  <c r="O87" i="8"/>
  <c r="O89" i="8"/>
  <c r="O88" i="8"/>
  <c r="O95" i="4"/>
  <c r="O97" i="4"/>
  <c r="O96" i="4"/>
  <c r="O98" i="4"/>
  <c r="O99" i="7"/>
  <c r="O101" i="7"/>
  <c r="O100" i="7"/>
  <c r="O102" i="7"/>
  <c r="O103" i="7"/>
  <c r="O105" i="7"/>
  <c r="O104" i="7"/>
  <c r="O106" i="7"/>
  <c r="O91" i="7"/>
  <c r="O93" i="7"/>
  <c r="O92" i="7"/>
  <c r="O94" i="7"/>
  <c r="O95" i="7"/>
  <c r="O97" i="7"/>
  <c r="O96" i="7"/>
  <c r="O98" i="7"/>
  <c r="O83" i="7"/>
  <c r="O85" i="7"/>
  <c r="O84" i="7"/>
  <c r="O86" i="7"/>
  <c r="O87" i="7"/>
  <c r="O89" i="7"/>
  <c r="O88" i="7"/>
  <c r="O90" i="7"/>
  <c r="O75" i="7"/>
  <c r="O77" i="7"/>
  <c r="O78" i="7"/>
  <c r="O79" i="7"/>
  <c r="O81" i="7"/>
  <c r="O80" i="7"/>
  <c r="O82" i="7"/>
  <c r="O83" i="3"/>
  <c r="O85" i="3"/>
  <c r="O84" i="3"/>
  <c r="O86" i="3"/>
  <c r="O87" i="3"/>
  <c r="O89" i="3"/>
  <c r="O88" i="3"/>
  <c r="O90" i="3"/>
  <c r="O75" i="3"/>
  <c r="O77" i="3"/>
  <c r="O76" i="3"/>
  <c r="O78" i="3"/>
  <c r="O79" i="3"/>
  <c r="O81" i="3"/>
  <c r="O80" i="3"/>
  <c r="O82" i="3"/>
  <c r="O79" i="8"/>
  <c r="O81" i="8"/>
  <c r="O80" i="8"/>
  <c r="O82" i="8"/>
  <c r="D102" i="1"/>
  <c r="E102" i="1"/>
  <c r="F102" i="1"/>
  <c r="G102" i="1"/>
  <c r="H102" i="1"/>
  <c r="I102" i="1"/>
  <c r="J102" i="1"/>
  <c r="K102" i="1"/>
  <c r="L102" i="1"/>
  <c r="M102" i="1"/>
  <c r="N102" i="1"/>
  <c r="C102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O90" i="26"/>
  <c r="O88" i="26"/>
  <c r="O89" i="26"/>
  <c r="O87" i="26"/>
  <c r="O86" i="26"/>
  <c r="O84" i="26"/>
  <c r="O85" i="26"/>
  <c r="O83" i="26"/>
  <c r="O82" i="26"/>
  <c r="O80" i="26"/>
  <c r="O81" i="26"/>
  <c r="O79" i="26"/>
  <c r="O78" i="26"/>
  <c r="O76" i="26"/>
  <c r="O77" i="26"/>
  <c r="O75" i="26"/>
  <c r="O74" i="26"/>
  <c r="O72" i="26"/>
  <c r="O73" i="26"/>
  <c r="O71" i="26"/>
  <c r="O70" i="26"/>
  <c r="O68" i="26"/>
  <c r="O69" i="26"/>
  <c r="O67" i="26"/>
  <c r="O66" i="26"/>
  <c r="O64" i="26"/>
  <c r="O65" i="26"/>
  <c r="O63" i="26"/>
  <c r="O62" i="26"/>
  <c r="O60" i="26"/>
  <c r="O61" i="26"/>
  <c r="O59" i="26"/>
  <c r="O58" i="26"/>
  <c r="O56" i="26"/>
  <c r="O57" i="26"/>
  <c r="O55" i="26"/>
  <c r="O54" i="26"/>
  <c r="O52" i="26"/>
  <c r="O53" i="26"/>
  <c r="O51" i="26"/>
  <c r="O50" i="26"/>
  <c r="O48" i="26"/>
  <c r="O49" i="26"/>
  <c r="O47" i="26"/>
  <c r="O46" i="26"/>
  <c r="O44" i="26"/>
  <c r="O45" i="26"/>
  <c r="O43" i="26"/>
  <c r="O42" i="26"/>
  <c r="O40" i="26"/>
  <c r="O41" i="26"/>
  <c r="O39" i="26"/>
  <c r="O38" i="26"/>
  <c r="O36" i="26"/>
  <c r="O37" i="26"/>
  <c r="O35" i="26"/>
  <c r="O34" i="26"/>
  <c r="O32" i="26"/>
  <c r="O33" i="26"/>
  <c r="O31" i="26"/>
  <c r="O30" i="26"/>
  <c r="O28" i="26"/>
  <c r="O29" i="26"/>
  <c r="O26" i="26"/>
  <c r="O24" i="26"/>
  <c r="O25" i="26"/>
  <c r="O23" i="26"/>
  <c r="O22" i="26"/>
  <c r="O20" i="26"/>
  <c r="O21" i="26"/>
  <c r="O19" i="26"/>
  <c r="O18" i="26"/>
  <c r="O16" i="26"/>
  <c r="O17" i="26"/>
  <c r="O15" i="26"/>
  <c r="O12" i="26"/>
  <c r="O11" i="26"/>
  <c r="O98" i="26"/>
  <c r="O96" i="26"/>
  <c r="O97" i="26"/>
  <c r="O95" i="26"/>
  <c r="O94" i="26"/>
  <c r="O92" i="26"/>
  <c r="O93" i="26"/>
  <c r="O91" i="26"/>
  <c r="N6" i="26"/>
  <c r="N7" i="26" s="1"/>
  <c r="N131" i="28" s="1"/>
  <c r="M6" i="26"/>
  <c r="M7" i="26" s="1"/>
  <c r="M131" i="28" s="1"/>
  <c r="L6" i="26"/>
  <c r="L7" i="26" s="1"/>
  <c r="L131" i="28" s="1"/>
  <c r="K6" i="26"/>
  <c r="K7" i="26" s="1"/>
  <c r="K131" i="28" s="1"/>
  <c r="J6" i="26"/>
  <c r="J7" i="26" s="1"/>
  <c r="J131" i="28" s="1"/>
  <c r="I6" i="26"/>
  <c r="I7" i="26" s="1"/>
  <c r="I131" i="28" s="1"/>
  <c r="H6" i="26"/>
  <c r="E6" i="26"/>
  <c r="D6" i="26"/>
  <c r="C6" i="26"/>
  <c r="N4" i="26"/>
  <c r="M4" i="26"/>
  <c r="L4" i="26"/>
  <c r="K4" i="26"/>
  <c r="J4" i="26"/>
  <c r="I4" i="26"/>
  <c r="H4" i="26"/>
  <c r="G4" i="26"/>
  <c r="F4" i="26"/>
  <c r="E4" i="26"/>
  <c r="D4" i="26"/>
  <c r="C4" i="26"/>
  <c r="C128" i="28" s="1"/>
  <c r="O5" i="26"/>
  <c r="N3" i="26"/>
  <c r="M3" i="26"/>
  <c r="L3" i="26"/>
  <c r="K3" i="26"/>
  <c r="J3" i="26"/>
  <c r="I3" i="26"/>
  <c r="H3" i="26"/>
  <c r="G3" i="26"/>
  <c r="F3" i="26"/>
  <c r="E3" i="26"/>
  <c r="D3" i="26"/>
  <c r="C3" i="26"/>
  <c r="O42" i="10"/>
  <c r="O40" i="10"/>
  <c r="O41" i="10"/>
  <c r="O39" i="10"/>
  <c r="O38" i="10"/>
  <c r="O36" i="10"/>
  <c r="O37" i="10"/>
  <c r="O35" i="10"/>
  <c r="O50" i="4"/>
  <c r="O48" i="4"/>
  <c r="O49" i="4"/>
  <c r="O47" i="4"/>
  <c r="O46" i="4"/>
  <c r="O44" i="4"/>
  <c r="O45" i="4"/>
  <c r="O43" i="4"/>
  <c r="O42" i="4"/>
  <c r="O40" i="4"/>
  <c r="O41" i="4"/>
  <c r="O39" i="4"/>
  <c r="N36" i="4"/>
  <c r="M36" i="4"/>
  <c r="L36" i="4"/>
  <c r="K36" i="4"/>
  <c r="J36" i="4"/>
  <c r="I36" i="4"/>
  <c r="H36" i="4"/>
  <c r="G36" i="4"/>
  <c r="F36" i="4"/>
  <c r="E36" i="4"/>
  <c r="D36" i="4"/>
  <c r="C36" i="4"/>
  <c r="O37" i="4"/>
  <c r="O35" i="4"/>
  <c r="O34" i="4"/>
  <c r="N32" i="4"/>
  <c r="M32" i="4"/>
  <c r="L32" i="4"/>
  <c r="K32" i="4"/>
  <c r="J32" i="4"/>
  <c r="I32" i="4"/>
  <c r="H32" i="4"/>
  <c r="G32" i="4"/>
  <c r="F32" i="4"/>
  <c r="E32" i="4"/>
  <c r="D32" i="4"/>
  <c r="C32" i="4"/>
  <c r="O33" i="4"/>
  <c r="O31" i="4"/>
  <c r="C3" i="4"/>
  <c r="C36" i="28" s="1"/>
  <c r="D3" i="4"/>
  <c r="D36" i="28" s="1"/>
  <c r="E3" i="4"/>
  <c r="E36" i="28" s="1"/>
  <c r="F3" i="4"/>
  <c r="F36" i="28" s="1"/>
  <c r="G3" i="4"/>
  <c r="G36" i="28" s="1"/>
  <c r="H3" i="4"/>
  <c r="H36" i="28" s="1"/>
  <c r="I3" i="4"/>
  <c r="I36" i="28" s="1"/>
  <c r="J3" i="4"/>
  <c r="J36" i="28" s="1"/>
  <c r="K3" i="4"/>
  <c r="K36" i="28" s="1"/>
  <c r="L3" i="4"/>
  <c r="L36" i="28" s="1"/>
  <c r="M3" i="4"/>
  <c r="M36" i="28" s="1"/>
  <c r="N3" i="4"/>
  <c r="N36" i="28" s="1"/>
  <c r="C3" i="5"/>
  <c r="C45" i="28" s="1"/>
  <c r="D3" i="5"/>
  <c r="D45" i="28" s="1"/>
  <c r="E3" i="5"/>
  <c r="E45" i="28" s="1"/>
  <c r="F3" i="5"/>
  <c r="F45" i="28" s="1"/>
  <c r="G3" i="5"/>
  <c r="G45" i="28" s="1"/>
  <c r="H3" i="5"/>
  <c r="I3" i="5"/>
  <c r="I45" i="28" s="1"/>
  <c r="J3" i="5"/>
  <c r="J45" i="28" s="1"/>
  <c r="K3" i="5"/>
  <c r="L3" i="5"/>
  <c r="L45" i="28" s="1"/>
  <c r="M3" i="5"/>
  <c r="M45" i="28" s="1"/>
  <c r="N3" i="5"/>
  <c r="N45" i="28" s="1"/>
  <c r="C3" i="6"/>
  <c r="C47" i="1" s="1"/>
  <c r="D3" i="6"/>
  <c r="D53" i="28" s="1"/>
  <c r="E3" i="6"/>
  <c r="E53" i="28" s="1"/>
  <c r="F3" i="6"/>
  <c r="F53" i="28" s="1"/>
  <c r="G3" i="6"/>
  <c r="G53" i="28" s="1"/>
  <c r="H3" i="6"/>
  <c r="I3" i="6"/>
  <c r="I47" i="1" s="1"/>
  <c r="J3" i="6"/>
  <c r="J53" i="28" s="1"/>
  <c r="K3" i="6"/>
  <c r="L3" i="6"/>
  <c r="M3" i="6"/>
  <c r="M53" i="28" s="1"/>
  <c r="N3" i="6"/>
  <c r="N53" i="28" s="1"/>
  <c r="D3" i="8"/>
  <c r="D70" i="28" s="1"/>
  <c r="E3" i="8"/>
  <c r="E70" i="28" s="1"/>
  <c r="G3" i="8"/>
  <c r="G70" i="28" s="1"/>
  <c r="H3" i="8"/>
  <c r="H70" i="28" s="1"/>
  <c r="I3" i="8"/>
  <c r="I70" i="28" s="1"/>
  <c r="J3" i="8"/>
  <c r="J70" i="28" s="1"/>
  <c r="K3" i="8"/>
  <c r="K59" i="1" s="1"/>
  <c r="L3" i="8"/>
  <c r="L59" i="1" s="1"/>
  <c r="M3" i="8"/>
  <c r="M70" i="28" s="1"/>
  <c r="N3" i="8"/>
  <c r="N70" i="28" s="1"/>
  <c r="C3" i="22"/>
  <c r="C65" i="1" s="1"/>
  <c r="D3" i="22"/>
  <c r="D65" i="1" s="1"/>
  <c r="E3" i="22"/>
  <c r="E65" i="1" s="1"/>
  <c r="F3" i="22"/>
  <c r="F65" i="1" s="1"/>
  <c r="G3" i="22"/>
  <c r="G65" i="1" s="1"/>
  <c r="H3" i="22"/>
  <c r="H65" i="1" s="1"/>
  <c r="I3" i="22"/>
  <c r="I65" i="1" s="1"/>
  <c r="J3" i="22"/>
  <c r="J65" i="1" s="1"/>
  <c r="K3" i="22"/>
  <c r="K65" i="1" s="1"/>
  <c r="L3" i="22"/>
  <c r="L65" i="1" s="1"/>
  <c r="M3" i="22"/>
  <c r="M65" i="1" s="1"/>
  <c r="N3" i="22"/>
  <c r="N65" i="1" s="1"/>
  <c r="D3" i="19"/>
  <c r="D71" i="1" s="1"/>
  <c r="E3" i="19"/>
  <c r="E71" i="1" s="1"/>
  <c r="F3" i="19"/>
  <c r="F71" i="1" s="1"/>
  <c r="G3" i="19"/>
  <c r="G71" i="1" s="1"/>
  <c r="H3" i="19"/>
  <c r="H71" i="1" s="1"/>
  <c r="I3" i="19"/>
  <c r="I71" i="1" s="1"/>
  <c r="J3" i="19"/>
  <c r="J71" i="1" s="1"/>
  <c r="K3" i="19"/>
  <c r="K71" i="1" s="1"/>
  <c r="L3" i="19"/>
  <c r="L71" i="1" s="1"/>
  <c r="M3" i="19"/>
  <c r="M71" i="1" s="1"/>
  <c r="N3" i="19"/>
  <c r="N71" i="1" s="1"/>
  <c r="C3" i="17"/>
  <c r="C77" i="1" s="1"/>
  <c r="D3" i="17"/>
  <c r="D77" i="1" s="1"/>
  <c r="E3" i="17"/>
  <c r="E77" i="1" s="1"/>
  <c r="F3" i="17"/>
  <c r="F77" i="1" s="1"/>
  <c r="G3" i="17"/>
  <c r="G77" i="1" s="1"/>
  <c r="H3" i="17"/>
  <c r="H77" i="1" s="1"/>
  <c r="I3" i="17"/>
  <c r="I77" i="1" s="1"/>
  <c r="J3" i="17"/>
  <c r="J77" i="1" s="1"/>
  <c r="K3" i="17"/>
  <c r="K77" i="1" s="1"/>
  <c r="L3" i="17"/>
  <c r="L77" i="1" s="1"/>
  <c r="M3" i="17"/>
  <c r="M77" i="1" s="1"/>
  <c r="N3" i="17"/>
  <c r="N77" i="1" s="1"/>
  <c r="C3" i="24"/>
  <c r="C83" i="1" s="1"/>
  <c r="D3" i="24"/>
  <c r="D83" i="1" s="1"/>
  <c r="E3" i="24"/>
  <c r="E83" i="1" s="1"/>
  <c r="F3" i="24"/>
  <c r="F83" i="1" s="1"/>
  <c r="G3" i="24"/>
  <c r="G83" i="1" s="1"/>
  <c r="H3" i="24"/>
  <c r="H83" i="1" s="1"/>
  <c r="I3" i="24"/>
  <c r="I83" i="1" s="1"/>
  <c r="J3" i="24"/>
  <c r="J83" i="1" s="1"/>
  <c r="K3" i="24"/>
  <c r="K83" i="1" s="1"/>
  <c r="L3" i="24"/>
  <c r="L83" i="1" s="1"/>
  <c r="M3" i="24"/>
  <c r="M83" i="1" s="1"/>
  <c r="N3" i="24"/>
  <c r="N83" i="1" s="1"/>
  <c r="C3" i="23"/>
  <c r="C89" i="1" s="1"/>
  <c r="D3" i="23"/>
  <c r="D89" i="1" s="1"/>
  <c r="E3" i="23"/>
  <c r="E89" i="1" s="1"/>
  <c r="F3" i="23"/>
  <c r="F89" i="1" s="1"/>
  <c r="G3" i="23"/>
  <c r="G89" i="1" s="1"/>
  <c r="H3" i="23"/>
  <c r="H89" i="1" s="1"/>
  <c r="I3" i="23"/>
  <c r="I89" i="1" s="1"/>
  <c r="J3" i="23"/>
  <c r="J89" i="1" s="1"/>
  <c r="K3" i="23"/>
  <c r="K89" i="1" s="1"/>
  <c r="L3" i="23"/>
  <c r="L89" i="1" s="1"/>
  <c r="M3" i="23"/>
  <c r="M89" i="1" s="1"/>
  <c r="N3" i="23"/>
  <c r="N89" i="1" s="1"/>
  <c r="C3" i="9"/>
  <c r="C95" i="1" s="1"/>
  <c r="D3" i="9"/>
  <c r="D95" i="1" s="1"/>
  <c r="E3" i="9"/>
  <c r="E95" i="1" s="1"/>
  <c r="F3" i="9"/>
  <c r="F95" i="1" s="1"/>
  <c r="G3" i="9"/>
  <c r="G95" i="1" s="1"/>
  <c r="H3" i="9"/>
  <c r="H95" i="1" s="1"/>
  <c r="I3" i="9"/>
  <c r="I95" i="1" s="1"/>
  <c r="J3" i="9"/>
  <c r="J95" i="1" s="1"/>
  <c r="K3" i="9"/>
  <c r="K95" i="1" s="1"/>
  <c r="L3" i="9"/>
  <c r="L95" i="1" s="1"/>
  <c r="M3" i="9"/>
  <c r="M95" i="1" s="1"/>
  <c r="N3" i="9"/>
  <c r="N95" i="1" s="1"/>
  <c r="C3" i="10"/>
  <c r="D3" i="10"/>
  <c r="D199" i="28" s="1"/>
  <c r="E3" i="10"/>
  <c r="E199" i="28" s="1"/>
  <c r="F3" i="10"/>
  <c r="F199" i="28" s="1"/>
  <c r="G3" i="10"/>
  <c r="G199" i="28" s="1"/>
  <c r="H3" i="10"/>
  <c r="H199" i="28" s="1"/>
  <c r="I3" i="10"/>
  <c r="I199" i="28" s="1"/>
  <c r="J3" i="10"/>
  <c r="J199" i="28" s="1"/>
  <c r="K3" i="10"/>
  <c r="K199" i="28" s="1"/>
  <c r="L3" i="10"/>
  <c r="L199" i="28" s="1"/>
  <c r="M3" i="10"/>
  <c r="M199" i="28" s="1"/>
  <c r="N3" i="10"/>
  <c r="N199" i="28" s="1"/>
  <c r="C3" i="11"/>
  <c r="C107" i="1" s="1"/>
  <c r="D3" i="11"/>
  <c r="D135" i="28" s="1"/>
  <c r="E3" i="11"/>
  <c r="E135" i="28" s="1"/>
  <c r="F3" i="11"/>
  <c r="F135" i="28" s="1"/>
  <c r="G3" i="11"/>
  <c r="G135" i="28" s="1"/>
  <c r="H3" i="11"/>
  <c r="H107" i="1" s="1"/>
  <c r="I3" i="11"/>
  <c r="I135" i="28" s="1"/>
  <c r="J3" i="11"/>
  <c r="J135" i="28" s="1"/>
  <c r="K3" i="11"/>
  <c r="L3" i="11"/>
  <c r="L135" i="28" s="1"/>
  <c r="M3" i="11"/>
  <c r="M107" i="1" s="1"/>
  <c r="N3" i="11"/>
  <c r="N135" i="28" s="1"/>
  <c r="C3" i="12"/>
  <c r="C113" i="1" s="1"/>
  <c r="D3" i="12"/>
  <c r="D143" i="28" s="1"/>
  <c r="E3" i="12"/>
  <c r="E143" i="28" s="1"/>
  <c r="F3" i="12"/>
  <c r="F113" i="1" s="1"/>
  <c r="G3" i="12"/>
  <c r="G113" i="1" s="1"/>
  <c r="H3" i="12"/>
  <c r="H113" i="1" s="1"/>
  <c r="I3" i="12"/>
  <c r="I143" i="28" s="1"/>
  <c r="J3" i="12"/>
  <c r="J143" i="28" s="1"/>
  <c r="K3" i="12"/>
  <c r="L3" i="12"/>
  <c r="L113" i="1" s="1"/>
  <c r="M3" i="12"/>
  <c r="M113" i="1" s="1"/>
  <c r="N3" i="12"/>
  <c r="C3" i="13"/>
  <c r="C119" i="1" s="1"/>
  <c r="D3" i="13"/>
  <c r="D151" i="28" s="1"/>
  <c r="E3" i="13"/>
  <c r="E119" i="1" s="1"/>
  <c r="F3" i="13"/>
  <c r="F151" i="28" s="1"/>
  <c r="G3" i="13"/>
  <c r="G151" i="28" s="1"/>
  <c r="H3" i="13"/>
  <c r="H151" i="28" s="1"/>
  <c r="I3" i="13"/>
  <c r="I151" i="28" s="1"/>
  <c r="J3" i="13"/>
  <c r="J151" i="28" s="1"/>
  <c r="K3" i="13"/>
  <c r="K119" i="1" s="1"/>
  <c r="L3" i="13"/>
  <c r="L151" i="28" s="1"/>
  <c r="M3" i="13"/>
  <c r="M119" i="1" s="1"/>
  <c r="N3" i="13"/>
  <c r="N119" i="1" s="1"/>
  <c r="C3" i="14"/>
  <c r="C125" i="1" s="1"/>
  <c r="D3" i="14"/>
  <c r="D125" i="1" s="1"/>
  <c r="E3" i="14"/>
  <c r="E159" i="28" s="1"/>
  <c r="F3" i="14"/>
  <c r="F159" i="28" s="1"/>
  <c r="G3" i="14"/>
  <c r="G159" i="28" s="1"/>
  <c r="H3" i="14"/>
  <c r="H159" i="28" s="1"/>
  <c r="I3" i="14"/>
  <c r="I159" i="28" s="1"/>
  <c r="J3" i="14"/>
  <c r="J159" i="28" s="1"/>
  <c r="K3" i="14"/>
  <c r="K159" i="28" s="1"/>
  <c r="L3" i="14"/>
  <c r="L159" i="28" s="1"/>
  <c r="M3" i="14"/>
  <c r="M159" i="28" s="1"/>
  <c r="N3" i="14"/>
  <c r="C3" i="15"/>
  <c r="C131" i="1" s="1"/>
  <c r="D3" i="15"/>
  <c r="D131" i="1" s="1"/>
  <c r="E3" i="15"/>
  <c r="E167" i="28" s="1"/>
  <c r="F3" i="15"/>
  <c r="F131" i="1" s="1"/>
  <c r="G3" i="15"/>
  <c r="G131" i="1" s="1"/>
  <c r="H3" i="15"/>
  <c r="H167" i="28" s="1"/>
  <c r="I3" i="15"/>
  <c r="I131" i="1" s="1"/>
  <c r="J3" i="15"/>
  <c r="J131" i="1" s="1"/>
  <c r="K3" i="15"/>
  <c r="K167" i="28" s="1"/>
  <c r="L3" i="15"/>
  <c r="L167" i="28" s="1"/>
  <c r="M3" i="15"/>
  <c r="M167" i="28" s="1"/>
  <c r="N3" i="15"/>
  <c r="N167" i="28" s="1"/>
  <c r="C3" i="16"/>
  <c r="C137" i="1" s="1"/>
  <c r="D3" i="16"/>
  <c r="D175" i="28" s="1"/>
  <c r="E3" i="16"/>
  <c r="E175" i="28" s="1"/>
  <c r="F3" i="16"/>
  <c r="F175" i="28" s="1"/>
  <c r="G3" i="16"/>
  <c r="G175" i="28" s="1"/>
  <c r="H3" i="16"/>
  <c r="H175" i="28" s="1"/>
  <c r="I3" i="16"/>
  <c r="I175" i="28" s="1"/>
  <c r="J3" i="16"/>
  <c r="J175" i="28" s="1"/>
  <c r="K3" i="16"/>
  <c r="K137" i="1" s="1"/>
  <c r="L3" i="16"/>
  <c r="L175" i="28" s="1"/>
  <c r="M3" i="16"/>
  <c r="M137" i="1" s="1"/>
  <c r="N3" i="16"/>
  <c r="N137" i="1" s="1"/>
  <c r="C3" i="20"/>
  <c r="C143" i="1" s="1"/>
  <c r="D3" i="20"/>
  <c r="D143" i="1" s="1"/>
  <c r="E3" i="20"/>
  <c r="E183" i="28" s="1"/>
  <c r="F3" i="20"/>
  <c r="F183" i="28" s="1"/>
  <c r="G3" i="20"/>
  <c r="G183" i="28" s="1"/>
  <c r="H3" i="20"/>
  <c r="H183" i="28" s="1"/>
  <c r="I3" i="20"/>
  <c r="I183" i="28" s="1"/>
  <c r="J3" i="20"/>
  <c r="J183" i="28" s="1"/>
  <c r="K3" i="20"/>
  <c r="K183" i="28" s="1"/>
  <c r="L3" i="20"/>
  <c r="L183" i="28" s="1"/>
  <c r="M3" i="20"/>
  <c r="M183" i="28" s="1"/>
  <c r="N3" i="20"/>
  <c r="C3" i="25"/>
  <c r="C149" i="1" s="1"/>
  <c r="D3" i="25"/>
  <c r="D149" i="1" s="1"/>
  <c r="E3" i="25"/>
  <c r="E149" i="1" s="1"/>
  <c r="F3" i="25"/>
  <c r="F149" i="1" s="1"/>
  <c r="G3" i="25"/>
  <c r="G191" i="28" s="1"/>
  <c r="H3" i="25"/>
  <c r="H191" i="28" s="1"/>
  <c r="I3" i="25"/>
  <c r="I149" i="1" s="1"/>
  <c r="J3" i="25"/>
  <c r="K3" i="25"/>
  <c r="L3" i="25"/>
  <c r="L191" i="28" s="1"/>
  <c r="M3" i="25"/>
  <c r="M191" i="28" s="1"/>
  <c r="N3" i="25"/>
  <c r="N191" i="28" s="1"/>
  <c r="D18" i="28"/>
  <c r="F18" i="28"/>
  <c r="G18" i="28"/>
  <c r="I18" i="28"/>
  <c r="K3" i="7"/>
  <c r="K18" i="28" s="1"/>
  <c r="L3" i="7"/>
  <c r="L18" i="28" s="1"/>
  <c r="M3" i="7"/>
  <c r="M18" i="28" s="1"/>
  <c r="N3" i="7"/>
  <c r="N18" i="28" s="1"/>
  <c r="O78" i="8"/>
  <c r="O76" i="8"/>
  <c r="O77" i="8"/>
  <c r="O75" i="8"/>
  <c r="O74" i="7"/>
  <c r="O72" i="7"/>
  <c r="O73" i="7"/>
  <c r="O71" i="7"/>
  <c r="O74" i="8"/>
  <c r="O72" i="8"/>
  <c r="O73" i="8"/>
  <c r="O71" i="8"/>
  <c r="O70" i="8"/>
  <c r="O68" i="8"/>
  <c r="O69" i="8"/>
  <c r="O67" i="8"/>
  <c r="L6" i="11"/>
  <c r="O66" i="8"/>
  <c r="O64" i="8"/>
  <c r="O65" i="8"/>
  <c r="O62" i="8"/>
  <c r="O60" i="8"/>
  <c r="O61" i="8"/>
  <c r="O59" i="8"/>
  <c r="O15" i="3"/>
  <c r="O17" i="3"/>
  <c r="O16" i="3"/>
  <c r="O19" i="3"/>
  <c r="O21" i="3"/>
  <c r="O20" i="3"/>
  <c r="O23" i="3"/>
  <c r="O25" i="3"/>
  <c r="O24" i="3"/>
  <c r="O26" i="3"/>
  <c r="O27" i="3"/>
  <c r="O29" i="3"/>
  <c r="O28" i="3"/>
  <c r="O31" i="3"/>
  <c r="O33" i="3"/>
  <c r="O32" i="3"/>
  <c r="O35" i="3"/>
  <c r="O37" i="3"/>
  <c r="M36" i="3"/>
  <c r="M4" i="3" s="1"/>
  <c r="M28" i="28" s="1"/>
  <c r="N36" i="3"/>
  <c r="N4" i="3" s="1"/>
  <c r="N28" i="28" s="1"/>
  <c r="O38" i="3"/>
  <c r="O39" i="3"/>
  <c r="O41" i="3"/>
  <c r="O40" i="3"/>
  <c r="O42" i="3"/>
  <c r="O43" i="3"/>
  <c r="O45" i="3"/>
  <c r="O44" i="3"/>
  <c r="O46" i="3"/>
  <c r="O47" i="3"/>
  <c r="O49" i="3"/>
  <c r="O48" i="3"/>
  <c r="O126" i="9"/>
  <c r="O124" i="9"/>
  <c r="O125" i="9"/>
  <c r="O123" i="9"/>
  <c r="C6" i="5"/>
  <c r="O55" i="11"/>
  <c r="O57" i="11"/>
  <c r="O56" i="11"/>
  <c r="O58" i="11"/>
  <c r="O50" i="12"/>
  <c r="O48" i="12"/>
  <c r="O49" i="12"/>
  <c r="O47" i="12"/>
  <c r="C4" i="9"/>
  <c r="O38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O37" i="12"/>
  <c r="O35" i="12"/>
  <c r="O34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O33" i="12"/>
  <c r="O31" i="12"/>
  <c r="O30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O29" i="12"/>
  <c r="O27" i="12"/>
  <c r="D6" i="4"/>
  <c r="D39" i="28" s="1"/>
  <c r="O66" i="9"/>
  <c r="O64" i="9"/>
  <c r="O65" i="9"/>
  <c r="O63" i="9"/>
  <c r="C6" i="9"/>
  <c r="O99" i="25"/>
  <c r="O100" i="25"/>
  <c r="O101" i="25"/>
  <c r="O102" i="25"/>
  <c r="O103" i="25"/>
  <c r="O105" i="25"/>
  <c r="O104" i="25"/>
  <c r="O106" i="25"/>
  <c r="O107" i="25"/>
  <c r="O109" i="25"/>
  <c r="O108" i="25"/>
  <c r="O110" i="25"/>
  <c r="O87" i="25"/>
  <c r="O89" i="25"/>
  <c r="O88" i="25"/>
  <c r="O90" i="25"/>
  <c r="O91" i="25"/>
  <c r="O93" i="25"/>
  <c r="O92" i="25"/>
  <c r="O94" i="25"/>
  <c r="O95" i="25"/>
  <c r="O97" i="25"/>
  <c r="O96" i="25"/>
  <c r="O98" i="25"/>
  <c r="O75" i="25"/>
  <c r="O77" i="25"/>
  <c r="O76" i="25"/>
  <c r="O78" i="25"/>
  <c r="O79" i="25"/>
  <c r="O81" i="25"/>
  <c r="O80" i="25"/>
  <c r="O82" i="25"/>
  <c r="O83" i="25"/>
  <c r="O85" i="25"/>
  <c r="O84" i="25"/>
  <c r="O86" i="25"/>
  <c r="O63" i="25"/>
  <c r="O65" i="25"/>
  <c r="O64" i="25"/>
  <c r="O66" i="25"/>
  <c r="O67" i="25"/>
  <c r="O69" i="25"/>
  <c r="O68" i="25"/>
  <c r="O70" i="25"/>
  <c r="O71" i="25"/>
  <c r="O73" i="25"/>
  <c r="O72" i="25"/>
  <c r="O74" i="25"/>
  <c r="O51" i="25"/>
  <c r="O53" i="25"/>
  <c r="O52" i="25"/>
  <c r="O54" i="25"/>
  <c r="O55" i="25"/>
  <c r="O57" i="25"/>
  <c r="O56" i="25"/>
  <c r="O58" i="25"/>
  <c r="O59" i="25"/>
  <c r="O61" i="25"/>
  <c r="O60" i="25"/>
  <c r="O62" i="25"/>
  <c r="O39" i="25"/>
  <c r="O41" i="25"/>
  <c r="O40" i="25"/>
  <c r="O42" i="25"/>
  <c r="O43" i="25"/>
  <c r="O45" i="25"/>
  <c r="O44" i="25"/>
  <c r="O46" i="25"/>
  <c r="O47" i="25"/>
  <c r="O49" i="25"/>
  <c r="O48" i="25"/>
  <c r="O50" i="25"/>
  <c r="O27" i="25"/>
  <c r="O29" i="25"/>
  <c r="O28" i="25"/>
  <c r="O30" i="25"/>
  <c r="O31" i="25"/>
  <c r="O33" i="25"/>
  <c r="O32" i="25"/>
  <c r="O34" i="25"/>
  <c r="O35" i="25"/>
  <c r="O37" i="25"/>
  <c r="O36" i="25"/>
  <c r="O38" i="25"/>
  <c r="O23" i="25"/>
  <c r="O25" i="25"/>
  <c r="O24" i="25"/>
  <c r="O26" i="25"/>
  <c r="O19" i="25"/>
  <c r="O21" i="25"/>
  <c r="O20" i="25"/>
  <c r="O22" i="25"/>
  <c r="O91" i="20"/>
  <c r="O93" i="20"/>
  <c r="O92" i="20"/>
  <c r="O94" i="20"/>
  <c r="O95" i="20"/>
  <c r="O97" i="20"/>
  <c r="O96" i="20"/>
  <c r="O98" i="20"/>
  <c r="O99" i="20"/>
  <c r="O101" i="20"/>
  <c r="O100" i="20"/>
  <c r="O102" i="20"/>
  <c r="O103" i="20"/>
  <c r="O105" i="20"/>
  <c r="O104" i="20"/>
  <c r="O106" i="20"/>
  <c r="O75" i="20"/>
  <c r="O77" i="20"/>
  <c r="O76" i="20"/>
  <c r="O78" i="20"/>
  <c r="O79" i="20"/>
  <c r="O81" i="20"/>
  <c r="O80" i="20"/>
  <c r="O82" i="20"/>
  <c r="O83" i="20"/>
  <c r="O85" i="20"/>
  <c r="O84" i="20"/>
  <c r="O86" i="20"/>
  <c r="O87" i="20"/>
  <c r="O89" i="20"/>
  <c r="O88" i="20"/>
  <c r="O90" i="20"/>
  <c r="O59" i="20"/>
  <c r="O61" i="20"/>
  <c r="O60" i="20"/>
  <c r="O62" i="20"/>
  <c r="O63" i="20"/>
  <c r="O65" i="20"/>
  <c r="O64" i="20"/>
  <c r="O66" i="20"/>
  <c r="O67" i="20"/>
  <c r="O69" i="20"/>
  <c r="O68" i="20"/>
  <c r="O70" i="20"/>
  <c r="O71" i="20"/>
  <c r="O73" i="20"/>
  <c r="O72" i="20"/>
  <c r="O74" i="20"/>
  <c r="O43" i="20"/>
  <c r="O45" i="20"/>
  <c r="O44" i="20"/>
  <c r="O46" i="20"/>
  <c r="O47" i="20"/>
  <c r="O49" i="20"/>
  <c r="O48" i="20"/>
  <c r="O50" i="20"/>
  <c r="O51" i="20"/>
  <c r="O53" i="20"/>
  <c r="O52" i="20"/>
  <c r="O54" i="20"/>
  <c r="O55" i="20"/>
  <c r="O57" i="20"/>
  <c r="O56" i="20"/>
  <c r="O58" i="20"/>
  <c r="O27" i="20"/>
  <c r="O29" i="20"/>
  <c r="O28" i="20"/>
  <c r="O30" i="20"/>
  <c r="O31" i="20"/>
  <c r="O33" i="20"/>
  <c r="O32" i="20"/>
  <c r="O34" i="20"/>
  <c r="O35" i="20"/>
  <c r="O37" i="20"/>
  <c r="O36" i="20"/>
  <c r="O38" i="20"/>
  <c r="O39" i="20"/>
  <c r="O41" i="20"/>
  <c r="O40" i="20"/>
  <c r="O42" i="20"/>
  <c r="O23" i="20"/>
  <c r="O25" i="20"/>
  <c r="O24" i="20"/>
  <c r="O26" i="20"/>
  <c r="O19" i="20"/>
  <c r="O21" i="20"/>
  <c r="O20" i="20"/>
  <c r="O22" i="20"/>
  <c r="O15" i="20"/>
  <c r="O17" i="20"/>
  <c r="O16" i="20"/>
  <c r="O18" i="20"/>
  <c r="O95" i="16"/>
  <c r="O97" i="16"/>
  <c r="O96" i="16"/>
  <c r="O98" i="16"/>
  <c r="O99" i="16"/>
  <c r="O101" i="16"/>
  <c r="O100" i="16"/>
  <c r="O102" i="16"/>
  <c r="O103" i="16"/>
  <c r="O105" i="16"/>
  <c r="O104" i="16"/>
  <c r="O106" i="16"/>
  <c r="O83" i="16"/>
  <c r="O85" i="16"/>
  <c r="O84" i="16"/>
  <c r="O86" i="16"/>
  <c r="O87" i="16"/>
  <c r="O89" i="16"/>
  <c r="O88" i="16"/>
  <c r="O90" i="16"/>
  <c r="O91" i="16"/>
  <c r="O93" i="16"/>
  <c r="O92" i="16"/>
  <c r="O94" i="16"/>
  <c r="O71" i="16"/>
  <c r="O73" i="16"/>
  <c r="O72" i="16"/>
  <c r="O74" i="16"/>
  <c r="O75" i="16"/>
  <c r="O77" i="16"/>
  <c r="O76" i="16"/>
  <c r="O78" i="16"/>
  <c r="O79" i="16"/>
  <c r="O81" i="16"/>
  <c r="O80" i="16"/>
  <c r="O82" i="16"/>
  <c r="O59" i="16"/>
  <c r="O61" i="16"/>
  <c r="O60" i="16"/>
  <c r="O62" i="16"/>
  <c r="O63" i="16"/>
  <c r="O65" i="16"/>
  <c r="O64" i="16"/>
  <c r="O66" i="16"/>
  <c r="O67" i="16"/>
  <c r="O69" i="16"/>
  <c r="O68" i="16"/>
  <c r="O70" i="16"/>
  <c r="O47" i="16"/>
  <c r="O49" i="16"/>
  <c r="O48" i="16"/>
  <c r="O50" i="16"/>
  <c r="O51" i="16"/>
  <c r="O53" i="16"/>
  <c r="O52" i="16"/>
  <c r="O54" i="16"/>
  <c r="O55" i="16"/>
  <c r="O57" i="16"/>
  <c r="O56" i="16"/>
  <c r="O58" i="16"/>
  <c r="O35" i="16"/>
  <c r="O37" i="16"/>
  <c r="O36" i="16"/>
  <c r="O38" i="16"/>
  <c r="O39" i="16"/>
  <c r="O41" i="16"/>
  <c r="O40" i="16"/>
  <c r="O42" i="16"/>
  <c r="O43" i="16"/>
  <c r="O45" i="16"/>
  <c r="O44" i="16"/>
  <c r="O46" i="16"/>
  <c r="O31" i="16"/>
  <c r="O33" i="16"/>
  <c r="O32" i="16"/>
  <c r="O34" i="16"/>
  <c r="O27" i="16"/>
  <c r="O29" i="16"/>
  <c r="O28" i="16"/>
  <c r="O30" i="16"/>
  <c r="O95" i="14"/>
  <c r="O97" i="14"/>
  <c r="O96" i="14"/>
  <c r="O98" i="14"/>
  <c r="O99" i="14"/>
  <c r="O101" i="14"/>
  <c r="O100" i="14"/>
  <c r="O102" i="14"/>
  <c r="O103" i="14"/>
  <c r="O105" i="14"/>
  <c r="O104" i="14"/>
  <c r="O106" i="14"/>
  <c r="O83" i="14"/>
  <c r="O85" i="14"/>
  <c r="O84" i="14"/>
  <c r="O86" i="14"/>
  <c r="O87" i="14"/>
  <c r="O89" i="14"/>
  <c r="O88" i="14"/>
  <c r="O90" i="14"/>
  <c r="O91" i="14"/>
  <c r="O93" i="14"/>
  <c r="O92" i="14"/>
  <c r="O94" i="14"/>
  <c r="O71" i="14"/>
  <c r="O73" i="14"/>
  <c r="O72" i="14"/>
  <c r="O74" i="14"/>
  <c r="O75" i="14"/>
  <c r="O77" i="14"/>
  <c r="O76" i="14"/>
  <c r="O78" i="14"/>
  <c r="O79" i="14"/>
  <c r="O81" i="14"/>
  <c r="O80" i="14"/>
  <c r="O82" i="14"/>
  <c r="O59" i="14"/>
  <c r="O61" i="14"/>
  <c r="O60" i="14"/>
  <c r="O62" i="14"/>
  <c r="O63" i="14"/>
  <c r="O65" i="14"/>
  <c r="O64" i="14"/>
  <c r="O66" i="14"/>
  <c r="O67" i="14"/>
  <c r="O69" i="14"/>
  <c r="O68" i="14"/>
  <c r="O70" i="14"/>
  <c r="O47" i="14"/>
  <c r="O49" i="14"/>
  <c r="O48" i="14"/>
  <c r="O50" i="14"/>
  <c r="O51" i="14"/>
  <c r="O53" i="14"/>
  <c r="O52" i="14"/>
  <c r="O54" i="14"/>
  <c r="O55" i="14"/>
  <c r="O57" i="14"/>
  <c r="O56" i="14"/>
  <c r="O58" i="14"/>
  <c r="O35" i="14"/>
  <c r="O37" i="14"/>
  <c r="O36" i="14"/>
  <c r="O39" i="14"/>
  <c r="O41" i="14"/>
  <c r="O40" i="14"/>
  <c r="O43" i="14"/>
  <c r="O45" i="14"/>
  <c r="O44" i="14"/>
  <c r="O31" i="14"/>
  <c r="O33" i="14"/>
  <c r="O32" i="14"/>
  <c r="O27" i="14"/>
  <c r="O29" i="14"/>
  <c r="O28" i="14"/>
  <c r="O79" i="13"/>
  <c r="O81" i="13"/>
  <c r="O80" i="13"/>
  <c r="O82" i="13"/>
  <c r="O83" i="13"/>
  <c r="O85" i="13"/>
  <c r="O84" i="13"/>
  <c r="O86" i="13"/>
  <c r="O87" i="13"/>
  <c r="O89" i="13"/>
  <c r="O88" i="13"/>
  <c r="O90" i="13"/>
  <c r="O67" i="13"/>
  <c r="O69" i="13"/>
  <c r="O68" i="13"/>
  <c r="O70" i="13"/>
  <c r="O71" i="13"/>
  <c r="O73" i="13"/>
  <c r="O72" i="13"/>
  <c r="O74" i="13"/>
  <c r="O75" i="13"/>
  <c r="O77" i="13"/>
  <c r="O76" i="13"/>
  <c r="O78" i="13"/>
  <c r="O55" i="13"/>
  <c r="O57" i="13"/>
  <c r="O56" i="13"/>
  <c r="O58" i="13"/>
  <c r="O59" i="13"/>
  <c r="O61" i="13"/>
  <c r="O60" i="13"/>
  <c r="O62" i="13"/>
  <c r="O63" i="13"/>
  <c r="O65" i="13"/>
  <c r="O64" i="13"/>
  <c r="O66" i="13"/>
  <c r="O43" i="13"/>
  <c r="O45" i="13"/>
  <c r="O44" i="13"/>
  <c r="O46" i="13"/>
  <c r="O47" i="13"/>
  <c r="O49" i="13"/>
  <c r="O48" i="13"/>
  <c r="O50" i="13"/>
  <c r="O51" i="13"/>
  <c r="O53" i="13"/>
  <c r="O52" i="13"/>
  <c r="O54" i="13"/>
  <c r="O31" i="13"/>
  <c r="O33" i="13"/>
  <c r="O32" i="13"/>
  <c r="O34" i="13"/>
  <c r="O35" i="13"/>
  <c r="O37" i="13"/>
  <c r="O36" i="13"/>
  <c r="O38" i="13"/>
  <c r="O39" i="13"/>
  <c r="O41" i="13"/>
  <c r="O40" i="13"/>
  <c r="O42" i="13"/>
  <c r="O27" i="13"/>
  <c r="O29" i="13"/>
  <c r="O28" i="13"/>
  <c r="O30" i="13"/>
  <c r="O23" i="13"/>
  <c r="O25" i="13"/>
  <c r="O24" i="13"/>
  <c r="O26" i="13"/>
  <c r="O87" i="11"/>
  <c r="O89" i="11"/>
  <c r="O88" i="11"/>
  <c r="O90" i="11"/>
  <c r="O91" i="11"/>
  <c r="O93" i="11"/>
  <c r="O92" i="11"/>
  <c r="O94" i="11"/>
  <c r="O95" i="11"/>
  <c r="O97" i="11"/>
  <c r="O96" i="11"/>
  <c r="O98" i="11"/>
  <c r="O75" i="11"/>
  <c r="O77" i="11"/>
  <c r="O76" i="11"/>
  <c r="O78" i="11"/>
  <c r="O79" i="11"/>
  <c r="O81" i="11"/>
  <c r="O80" i="11"/>
  <c r="O82" i="11"/>
  <c r="O83" i="11"/>
  <c r="O85" i="11"/>
  <c r="O84" i="11"/>
  <c r="O86" i="11"/>
  <c r="O63" i="11"/>
  <c r="O65" i="11"/>
  <c r="O64" i="11"/>
  <c r="O66" i="11"/>
  <c r="O67" i="11"/>
  <c r="O69" i="11"/>
  <c r="O68" i="11"/>
  <c r="O70" i="11"/>
  <c r="O71" i="11"/>
  <c r="O73" i="11"/>
  <c r="O72" i="11"/>
  <c r="O74" i="11"/>
  <c r="O59" i="11"/>
  <c r="O61" i="11"/>
  <c r="O60" i="11"/>
  <c r="O62" i="11"/>
  <c r="O63" i="10"/>
  <c r="O65" i="10"/>
  <c r="O64" i="10"/>
  <c r="O66" i="10"/>
  <c r="O67" i="10"/>
  <c r="O69" i="10"/>
  <c r="O68" i="10"/>
  <c r="O70" i="10"/>
  <c r="O71" i="10"/>
  <c r="O73" i="10"/>
  <c r="O72" i="10"/>
  <c r="O74" i="10"/>
  <c r="O159" i="9"/>
  <c r="O161" i="9"/>
  <c r="O160" i="9"/>
  <c r="O162" i="9"/>
  <c r="O163" i="9"/>
  <c r="O165" i="9"/>
  <c r="O164" i="9"/>
  <c r="O166" i="9"/>
  <c r="O151" i="9"/>
  <c r="O153" i="9"/>
  <c r="O152" i="9"/>
  <c r="O154" i="9"/>
  <c r="O155" i="9"/>
  <c r="O157" i="9"/>
  <c r="O156" i="9"/>
  <c r="O158" i="9"/>
  <c r="O147" i="9"/>
  <c r="O149" i="9"/>
  <c r="O148" i="9"/>
  <c r="O150" i="9"/>
  <c r="O143" i="9"/>
  <c r="O145" i="9"/>
  <c r="O144" i="9"/>
  <c r="O146" i="9"/>
  <c r="O98" i="23"/>
  <c r="O96" i="23"/>
  <c r="O97" i="23"/>
  <c r="O95" i="23"/>
  <c r="O94" i="23"/>
  <c r="O92" i="23"/>
  <c r="O93" i="23"/>
  <c r="O91" i="23"/>
  <c r="O90" i="23"/>
  <c r="O88" i="23"/>
  <c r="O89" i="23"/>
  <c r="O87" i="23"/>
  <c r="O86" i="23"/>
  <c r="O84" i="23"/>
  <c r="O85" i="23"/>
  <c r="O83" i="23"/>
  <c r="O82" i="23"/>
  <c r="O80" i="23"/>
  <c r="O81" i="23"/>
  <c r="O79" i="23"/>
  <c r="O78" i="23"/>
  <c r="O76" i="23"/>
  <c r="O77" i="23"/>
  <c r="O75" i="23"/>
  <c r="O74" i="23"/>
  <c r="O72" i="23"/>
  <c r="O73" i="23"/>
  <c r="O71" i="23"/>
  <c r="O70" i="23"/>
  <c r="O68" i="23"/>
  <c r="O69" i="23"/>
  <c r="O67" i="23"/>
  <c r="O66" i="23"/>
  <c r="O64" i="23"/>
  <c r="O65" i="23"/>
  <c r="O63" i="23"/>
  <c r="O62" i="23"/>
  <c r="O60" i="23"/>
  <c r="O61" i="23"/>
  <c r="O59" i="23"/>
  <c r="O58" i="23"/>
  <c r="O56" i="23"/>
  <c r="O57" i="23"/>
  <c r="O55" i="23"/>
  <c r="O54" i="23"/>
  <c r="O52" i="23"/>
  <c r="O53" i="23"/>
  <c r="O51" i="23"/>
  <c r="O50" i="23"/>
  <c r="O48" i="23"/>
  <c r="O49" i="23"/>
  <c r="O47" i="23"/>
  <c r="O46" i="23"/>
  <c r="O44" i="23"/>
  <c r="O45" i="23"/>
  <c r="O43" i="23"/>
  <c r="O42" i="23"/>
  <c r="O40" i="23"/>
  <c r="O41" i="23"/>
  <c r="O39" i="23"/>
  <c r="O38" i="23"/>
  <c r="O36" i="23"/>
  <c r="O37" i="23"/>
  <c r="O35" i="23"/>
  <c r="O34" i="23"/>
  <c r="O32" i="23"/>
  <c r="O33" i="23"/>
  <c r="O31" i="23"/>
  <c r="O30" i="23"/>
  <c r="O28" i="23"/>
  <c r="O29" i="23"/>
  <c r="O27" i="23"/>
  <c r="O26" i="23"/>
  <c r="O24" i="23"/>
  <c r="O25" i="23"/>
  <c r="O23" i="23"/>
  <c r="O22" i="23"/>
  <c r="O20" i="23"/>
  <c r="O21" i="23"/>
  <c r="O19" i="23"/>
  <c r="O106" i="24"/>
  <c r="O104" i="24"/>
  <c r="O105" i="24"/>
  <c r="O103" i="24"/>
  <c r="O102" i="24"/>
  <c r="O100" i="24"/>
  <c r="O101" i="24"/>
  <c r="O99" i="24"/>
  <c r="O98" i="24"/>
  <c r="O96" i="24"/>
  <c r="O97" i="24"/>
  <c r="O95" i="24"/>
  <c r="O94" i="24"/>
  <c r="O92" i="24"/>
  <c r="O93" i="24"/>
  <c r="O91" i="24"/>
  <c r="O90" i="24"/>
  <c r="O88" i="24"/>
  <c r="O89" i="24"/>
  <c r="O87" i="24"/>
  <c r="O86" i="24"/>
  <c r="O84" i="24"/>
  <c r="O85" i="24"/>
  <c r="O83" i="24"/>
  <c r="O82" i="24"/>
  <c r="O80" i="24"/>
  <c r="O81" i="24"/>
  <c r="O79" i="24"/>
  <c r="O78" i="24"/>
  <c r="O76" i="24"/>
  <c r="O77" i="24"/>
  <c r="O75" i="24"/>
  <c r="O74" i="24"/>
  <c r="O72" i="24"/>
  <c r="O73" i="24"/>
  <c r="O71" i="24"/>
  <c r="O70" i="24"/>
  <c r="O68" i="24"/>
  <c r="O69" i="24"/>
  <c r="O67" i="24"/>
  <c r="O66" i="24"/>
  <c r="O64" i="24"/>
  <c r="O65" i="24"/>
  <c r="O63" i="24"/>
  <c r="O62" i="24"/>
  <c r="O60" i="24"/>
  <c r="O61" i="24"/>
  <c r="O59" i="24"/>
  <c r="O58" i="24"/>
  <c r="O56" i="24"/>
  <c r="O57" i="24"/>
  <c r="O55" i="24"/>
  <c r="O54" i="24"/>
  <c r="O52" i="24"/>
  <c r="O53" i="24"/>
  <c r="O51" i="24"/>
  <c r="O50" i="24"/>
  <c r="O48" i="24"/>
  <c r="O49" i="24"/>
  <c r="O47" i="24"/>
  <c r="O46" i="24"/>
  <c r="O44" i="24"/>
  <c r="O45" i="24"/>
  <c r="O43" i="24"/>
  <c r="O42" i="24"/>
  <c r="O40" i="24"/>
  <c r="O41" i="24"/>
  <c r="O39" i="24"/>
  <c r="O38" i="24"/>
  <c r="O36" i="24"/>
  <c r="O37" i="24"/>
  <c r="O35" i="24"/>
  <c r="O34" i="24"/>
  <c r="O32" i="24"/>
  <c r="O33" i="24"/>
  <c r="O31" i="24"/>
  <c r="O30" i="24"/>
  <c r="O28" i="24"/>
  <c r="O29" i="24"/>
  <c r="O27" i="24"/>
  <c r="O26" i="24"/>
  <c r="O24" i="24"/>
  <c r="O25" i="24"/>
  <c r="O23" i="24"/>
  <c r="O22" i="24"/>
  <c r="O20" i="24"/>
  <c r="O21" i="24"/>
  <c r="O19" i="24"/>
  <c r="O18" i="24"/>
  <c r="O16" i="24"/>
  <c r="O17" i="24"/>
  <c r="O15" i="24"/>
  <c r="O90" i="17"/>
  <c r="O88" i="17"/>
  <c r="O89" i="17"/>
  <c r="O87" i="17"/>
  <c r="O86" i="17"/>
  <c r="O84" i="17"/>
  <c r="O85" i="17"/>
  <c r="O83" i="17"/>
  <c r="O82" i="17"/>
  <c r="O80" i="17"/>
  <c r="O81" i="17"/>
  <c r="O79" i="17"/>
  <c r="O78" i="17"/>
  <c r="O76" i="17"/>
  <c r="O77" i="17"/>
  <c r="O75" i="17"/>
  <c r="O74" i="17"/>
  <c r="O72" i="17"/>
  <c r="O73" i="17"/>
  <c r="O71" i="17"/>
  <c r="O70" i="17"/>
  <c r="O68" i="17"/>
  <c r="O69" i="17"/>
  <c r="O67" i="17"/>
  <c r="O66" i="17"/>
  <c r="O64" i="17"/>
  <c r="O65" i="17"/>
  <c r="O63" i="17"/>
  <c r="O62" i="17"/>
  <c r="O60" i="17"/>
  <c r="O61" i="17"/>
  <c r="O59" i="17"/>
  <c r="O58" i="17"/>
  <c r="O56" i="17"/>
  <c r="O57" i="17"/>
  <c r="O55" i="17"/>
  <c r="O54" i="17"/>
  <c r="O52" i="17"/>
  <c r="O53" i="17"/>
  <c r="O51" i="17"/>
  <c r="O50" i="17"/>
  <c r="O48" i="17"/>
  <c r="O49" i="17"/>
  <c r="O47" i="17"/>
  <c r="O46" i="17"/>
  <c r="O44" i="17"/>
  <c r="O45" i="17"/>
  <c r="O43" i="17"/>
  <c r="O42" i="17"/>
  <c r="O40" i="17"/>
  <c r="O41" i="17"/>
  <c r="O39" i="17"/>
  <c r="O38" i="17"/>
  <c r="O36" i="17"/>
  <c r="O37" i="17"/>
  <c r="O35" i="17"/>
  <c r="O102" i="19"/>
  <c r="O100" i="19"/>
  <c r="O101" i="19"/>
  <c r="O99" i="19"/>
  <c r="O98" i="19"/>
  <c r="O96" i="19"/>
  <c r="O97" i="19"/>
  <c r="O95" i="19"/>
  <c r="O94" i="19"/>
  <c r="O92" i="19"/>
  <c r="O93" i="19"/>
  <c r="O91" i="19"/>
  <c r="O90" i="19"/>
  <c r="O88" i="19"/>
  <c r="O89" i="19"/>
  <c r="O87" i="19"/>
  <c r="O86" i="19"/>
  <c r="O84" i="19"/>
  <c r="O85" i="19"/>
  <c r="O83" i="19"/>
  <c r="O82" i="19"/>
  <c r="O80" i="19"/>
  <c r="O81" i="19"/>
  <c r="O79" i="19"/>
  <c r="O78" i="19"/>
  <c r="O76" i="19"/>
  <c r="O77" i="19"/>
  <c r="O75" i="19"/>
  <c r="O74" i="19"/>
  <c r="O72" i="19"/>
  <c r="O73" i="19"/>
  <c r="O71" i="19"/>
  <c r="O70" i="19"/>
  <c r="O68" i="19"/>
  <c r="O69" i="19"/>
  <c r="O67" i="19"/>
  <c r="O64" i="19"/>
  <c r="O65" i="19"/>
  <c r="O63" i="19"/>
  <c r="O62" i="19"/>
  <c r="O60" i="19"/>
  <c r="O61" i="19"/>
  <c r="O59" i="19"/>
  <c r="O58" i="19"/>
  <c r="O56" i="19"/>
  <c r="O57" i="19"/>
  <c r="O55" i="19"/>
  <c r="O110" i="22"/>
  <c r="O108" i="22"/>
  <c r="O109" i="22"/>
  <c r="O107" i="22"/>
  <c r="O106" i="22"/>
  <c r="O104" i="22"/>
  <c r="O105" i="22"/>
  <c r="O103" i="22"/>
  <c r="O102" i="22"/>
  <c r="O100" i="22"/>
  <c r="O101" i="22"/>
  <c r="O99" i="22"/>
  <c r="O98" i="22"/>
  <c r="O96" i="22"/>
  <c r="O97" i="22"/>
  <c r="O95" i="22"/>
  <c r="O94" i="22"/>
  <c r="O92" i="22"/>
  <c r="O93" i="22"/>
  <c r="O91" i="22"/>
  <c r="O90" i="22"/>
  <c r="O88" i="22"/>
  <c r="O89" i="22"/>
  <c r="O87" i="22"/>
  <c r="O86" i="22"/>
  <c r="O84" i="22"/>
  <c r="O85" i="22"/>
  <c r="O83" i="22"/>
  <c r="O82" i="22"/>
  <c r="O80" i="22"/>
  <c r="O81" i="22"/>
  <c r="O79" i="22"/>
  <c r="O78" i="22"/>
  <c r="O76" i="22"/>
  <c r="O77" i="22"/>
  <c r="O75" i="22"/>
  <c r="O74" i="22"/>
  <c r="O72" i="22"/>
  <c r="O73" i="22"/>
  <c r="O71" i="22"/>
  <c r="O70" i="22"/>
  <c r="O68" i="22"/>
  <c r="O69" i="22"/>
  <c r="O67" i="22"/>
  <c r="O66" i="22"/>
  <c r="O64" i="22"/>
  <c r="O65" i="22"/>
  <c r="O63" i="22"/>
  <c r="O62" i="22"/>
  <c r="O60" i="22"/>
  <c r="O61" i="22"/>
  <c r="O59" i="22"/>
  <c r="O58" i="22"/>
  <c r="O56" i="22"/>
  <c r="O57" i="22"/>
  <c r="O55" i="22"/>
  <c r="O54" i="22"/>
  <c r="O52" i="22"/>
  <c r="O53" i="22"/>
  <c r="O51" i="22"/>
  <c r="O50" i="22"/>
  <c r="O48" i="22"/>
  <c r="O49" i="22"/>
  <c r="O47" i="22"/>
  <c r="O46" i="22"/>
  <c r="O44" i="22"/>
  <c r="O45" i="22"/>
  <c r="O43" i="22"/>
  <c r="O42" i="22"/>
  <c r="O40" i="22"/>
  <c r="O41" i="22"/>
  <c r="O39" i="22"/>
  <c r="O38" i="22"/>
  <c r="O36" i="22"/>
  <c r="O37" i="22"/>
  <c r="O35" i="22"/>
  <c r="O34" i="22"/>
  <c r="O32" i="22"/>
  <c r="O33" i="22"/>
  <c r="O31" i="22"/>
  <c r="O30" i="22"/>
  <c r="O28" i="22"/>
  <c r="O29" i="22"/>
  <c r="O27" i="22"/>
  <c r="O26" i="22"/>
  <c r="O24" i="22"/>
  <c r="O25" i="22"/>
  <c r="O23" i="22"/>
  <c r="O22" i="22"/>
  <c r="O20" i="22"/>
  <c r="O21" i="22"/>
  <c r="O19" i="22"/>
  <c r="O58" i="8"/>
  <c r="O56" i="8"/>
  <c r="O57" i="8"/>
  <c r="O55" i="8"/>
  <c r="O52" i="8"/>
  <c r="O53" i="8"/>
  <c r="O51" i="8"/>
  <c r="O50" i="8"/>
  <c r="O48" i="8"/>
  <c r="O49" i="8"/>
  <c r="O47" i="8"/>
  <c r="O98" i="6"/>
  <c r="O96" i="6"/>
  <c r="O97" i="6"/>
  <c r="O95" i="6"/>
  <c r="O94" i="6"/>
  <c r="O92" i="6"/>
  <c r="O93" i="6"/>
  <c r="O91" i="6"/>
  <c r="O90" i="6"/>
  <c r="O88" i="6"/>
  <c r="O89" i="6"/>
  <c r="O87" i="6"/>
  <c r="O86" i="6"/>
  <c r="O84" i="6"/>
  <c r="O85" i="6"/>
  <c r="O83" i="6"/>
  <c r="O82" i="6"/>
  <c r="O80" i="6"/>
  <c r="O81" i="6"/>
  <c r="O79" i="6"/>
  <c r="O78" i="6"/>
  <c r="O76" i="6"/>
  <c r="O77" i="6"/>
  <c r="O75" i="6"/>
  <c r="O74" i="6"/>
  <c r="O72" i="6"/>
  <c r="O73" i="6"/>
  <c r="O71" i="6"/>
  <c r="O70" i="6"/>
  <c r="O68" i="6"/>
  <c r="O69" i="6"/>
  <c r="O67" i="6"/>
  <c r="O66" i="6"/>
  <c r="O64" i="6"/>
  <c r="O65" i="6"/>
  <c r="O63" i="6"/>
  <c r="O62" i="6"/>
  <c r="O60" i="6"/>
  <c r="O61" i="6"/>
  <c r="O59" i="6"/>
  <c r="O58" i="6"/>
  <c r="O56" i="6"/>
  <c r="O57" i="6"/>
  <c r="O55" i="6"/>
  <c r="O54" i="6"/>
  <c r="O52" i="6"/>
  <c r="O53" i="6"/>
  <c r="O51" i="6"/>
  <c r="O50" i="6"/>
  <c r="O48" i="6"/>
  <c r="O49" i="6"/>
  <c r="O47" i="6"/>
  <c r="O46" i="6"/>
  <c r="O44" i="6"/>
  <c r="O45" i="6"/>
  <c r="O43" i="6"/>
  <c r="O42" i="6"/>
  <c r="O40" i="6"/>
  <c r="O41" i="6"/>
  <c r="O39" i="6"/>
  <c r="O38" i="6"/>
  <c r="O36" i="6"/>
  <c r="O37" i="6"/>
  <c r="O35" i="6"/>
  <c r="O34" i="6"/>
  <c r="O32" i="6"/>
  <c r="O33" i="6"/>
  <c r="O31" i="6"/>
  <c r="O30" i="6"/>
  <c r="O28" i="6"/>
  <c r="O29" i="6"/>
  <c r="O27" i="6"/>
  <c r="O26" i="6"/>
  <c r="O24" i="6"/>
  <c r="O25" i="6"/>
  <c r="O23" i="6"/>
  <c r="O22" i="6"/>
  <c r="O20" i="6"/>
  <c r="O21" i="6"/>
  <c r="O19" i="6"/>
  <c r="O58" i="4"/>
  <c r="O56" i="4"/>
  <c r="O57" i="4"/>
  <c r="O55" i="4"/>
  <c r="O54" i="4"/>
  <c r="O52" i="4"/>
  <c r="O53" i="4"/>
  <c r="O51" i="4"/>
  <c r="O74" i="3"/>
  <c r="O72" i="3"/>
  <c r="O73" i="3"/>
  <c r="O71" i="3"/>
  <c r="O70" i="3"/>
  <c r="O68" i="3"/>
  <c r="O69" i="3"/>
  <c r="O67" i="3"/>
  <c r="O66" i="3"/>
  <c r="O64" i="3"/>
  <c r="O65" i="3"/>
  <c r="O63" i="3"/>
  <c r="O62" i="3"/>
  <c r="O60" i="3"/>
  <c r="O61" i="3"/>
  <c r="O59" i="3"/>
  <c r="O58" i="3"/>
  <c r="O56" i="3"/>
  <c r="O57" i="3"/>
  <c r="O55" i="3"/>
  <c r="O54" i="3"/>
  <c r="O52" i="3"/>
  <c r="O53" i="3"/>
  <c r="O51" i="3"/>
  <c r="O70" i="7"/>
  <c r="O68" i="7"/>
  <c r="O69" i="7"/>
  <c r="O67" i="7"/>
  <c r="O66" i="7"/>
  <c r="O64" i="7"/>
  <c r="O65" i="7"/>
  <c r="O63" i="7"/>
  <c r="O62" i="7"/>
  <c r="O60" i="7"/>
  <c r="O61" i="7"/>
  <c r="O59" i="7"/>
  <c r="O58" i="7"/>
  <c r="O56" i="7"/>
  <c r="O57" i="7"/>
  <c r="O55" i="7"/>
  <c r="O54" i="7"/>
  <c r="O52" i="7"/>
  <c r="O53" i="7"/>
  <c r="O51" i="7"/>
  <c r="O20" i="11"/>
  <c r="O50" i="19"/>
  <c r="O48" i="19"/>
  <c r="O49" i="19"/>
  <c r="O47" i="19"/>
  <c r="O46" i="19"/>
  <c r="O44" i="19"/>
  <c r="O45" i="19"/>
  <c r="O43" i="19"/>
  <c r="C150" i="1"/>
  <c r="D150" i="1"/>
  <c r="E150" i="1"/>
  <c r="F150" i="1"/>
  <c r="G150" i="1"/>
  <c r="H150" i="1"/>
  <c r="I150" i="1"/>
  <c r="J150" i="1"/>
  <c r="K150" i="1"/>
  <c r="L150" i="1"/>
  <c r="M150" i="1"/>
  <c r="N150" i="1"/>
  <c r="O14" i="25"/>
  <c r="O12" i="25"/>
  <c r="O11" i="25"/>
  <c r="O18" i="25"/>
  <c r="O16" i="25"/>
  <c r="O17" i="25"/>
  <c r="O15" i="25"/>
  <c r="N6" i="25"/>
  <c r="M6" i="25"/>
  <c r="L6" i="25"/>
  <c r="K6" i="25"/>
  <c r="J6" i="25"/>
  <c r="I6" i="25"/>
  <c r="I7" i="25" s="1"/>
  <c r="I195" i="28" s="1"/>
  <c r="H6" i="25"/>
  <c r="H194" i="28" s="1"/>
  <c r="G6" i="25"/>
  <c r="G194" i="28" s="1"/>
  <c r="F6" i="25"/>
  <c r="F194" i="28" s="1"/>
  <c r="E6" i="25"/>
  <c r="E194" i="28" s="1"/>
  <c r="D6" i="25"/>
  <c r="D194" i="28" s="1"/>
  <c r="C6" i="25"/>
  <c r="N4" i="25"/>
  <c r="N192" i="28" s="1"/>
  <c r="M4" i="25"/>
  <c r="M192" i="28" s="1"/>
  <c r="L4" i="25"/>
  <c r="L192" i="28" s="1"/>
  <c r="K4" i="25"/>
  <c r="K192" i="28" s="1"/>
  <c r="J4" i="25"/>
  <c r="J192" i="28" s="1"/>
  <c r="I4" i="25"/>
  <c r="I192" i="28" s="1"/>
  <c r="H4" i="25"/>
  <c r="H192" i="28" s="1"/>
  <c r="G4" i="25"/>
  <c r="G192" i="28" s="1"/>
  <c r="F4" i="25"/>
  <c r="F192" i="28" s="1"/>
  <c r="E4" i="25"/>
  <c r="E192" i="28" s="1"/>
  <c r="D4" i="25"/>
  <c r="D192" i="28" s="1"/>
  <c r="C4" i="25"/>
  <c r="O5" i="25"/>
  <c r="O193" i="28" s="1"/>
  <c r="O40" i="7"/>
  <c r="O41" i="7"/>
  <c r="O39" i="7"/>
  <c r="O22" i="10"/>
  <c r="O20" i="10"/>
  <c r="O21" i="10"/>
  <c r="O19" i="10"/>
  <c r="O128" i="9"/>
  <c r="O129" i="9"/>
  <c r="O127" i="9"/>
  <c r="O122" i="9"/>
  <c r="O120" i="9"/>
  <c r="O121" i="9"/>
  <c r="O119" i="9"/>
  <c r="O118" i="9"/>
  <c r="O116" i="9"/>
  <c r="O117" i="9"/>
  <c r="O115" i="9"/>
  <c r="O134" i="9"/>
  <c r="O132" i="9"/>
  <c r="O133" i="9"/>
  <c r="O131" i="9"/>
  <c r="O142" i="9"/>
  <c r="O140" i="9"/>
  <c r="O141" i="9"/>
  <c r="O139" i="9"/>
  <c r="O138" i="9"/>
  <c r="O136" i="9"/>
  <c r="O137" i="9"/>
  <c r="O135" i="9"/>
  <c r="O114" i="9"/>
  <c r="O112" i="9"/>
  <c r="O113" i="9"/>
  <c r="O111" i="9"/>
  <c r="O110" i="9"/>
  <c r="O108" i="9"/>
  <c r="O109" i="9"/>
  <c r="O107" i="9"/>
  <c r="O106" i="9"/>
  <c r="O104" i="9"/>
  <c r="O105" i="9"/>
  <c r="O103" i="9"/>
  <c r="D6" i="9"/>
  <c r="D98" i="1" s="1"/>
  <c r="O102" i="9"/>
  <c r="O100" i="9"/>
  <c r="O101" i="9"/>
  <c r="O99" i="9"/>
  <c r="O98" i="9"/>
  <c r="O96" i="9"/>
  <c r="O97" i="9"/>
  <c r="O95" i="9"/>
  <c r="D144" i="1"/>
  <c r="E144" i="1"/>
  <c r="F144" i="1"/>
  <c r="G144" i="1"/>
  <c r="H144" i="1"/>
  <c r="I144" i="1"/>
  <c r="J144" i="1"/>
  <c r="K144" i="1"/>
  <c r="L144" i="1"/>
  <c r="M144" i="1"/>
  <c r="N144" i="1"/>
  <c r="C144" i="1"/>
  <c r="D138" i="1"/>
  <c r="E138" i="1"/>
  <c r="F138" i="1"/>
  <c r="G138" i="1"/>
  <c r="H138" i="1"/>
  <c r="I138" i="1"/>
  <c r="J138" i="1"/>
  <c r="K138" i="1"/>
  <c r="L138" i="1"/>
  <c r="M138" i="1"/>
  <c r="N138" i="1"/>
  <c r="C138" i="1"/>
  <c r="D132" i="1"/>
  <c r="E132" i="1"/>
  <c r="F132" i="1"/>
  <c r="G132" i="1"/>
  <c r="H132" i="1"/>
  <c r="I132" i="1"/>
  <c r="J132" i="1"/>
  <c r="K132" i="1"/>
  <c r="L132" i="1"/>
  <c r="M132" i="1"/>
  <c r="N132" i="1"/>
  <c r="C132" i="1"/>
  <c r="D126" i="1"/>
  <c r="E126" i="1"/>
  <c r="F126" i="1"/>
  <c r="G126" i="1"/>
  <c r="H126" i="1"/>
  <c r="I126" i="1"/>
  <c r="J126" i="1"/>
  <c r="K126" i="1"/>
  <c r="L126" i="1"/>
  <c r="M126" i="1"/>
  <c r="N126" i="1"/>
  <c r="C126" i="1"/>
  <c r="D120" i="1"/>
  <c r="E120" i="1"/>
  <c r="F120" i="1"/>
  <c r="G120" i="1"/>
  <c r="H120" i="1"/>
  <c r="I120" i="1"/>
  <c r="J120" i="1"/>
  <c r="K120" i="1"/>
  <c r="L120" i="1"/>
  <c r="M120" i="1"/>
  <c r="N120" i="1"/>
  <c r="C120" i="1"/>
  <c r="D114" i="1"/>
  <c r="E114" i="1"/>
  <c r="F114" i="1"/>
  <c r="G114" i="1"/>
  <c r="H114" i="1"/>
  <c r="I114" i="1"/>
  <c r="J114" i="1"/>
  <c r="K114" i="1"/>
  <c r="L114" i="1"/>
  <c r="M114" i="1"/>
  <c r="N114" i="1"/>
  <c r="C114" i="1"/>
  <c r="D108" i="1"/>
  <c r="E108" i="1"/>
  <c r="F108" i="1"/>
  <c r="G108" i="1"/>
  <c r="H108" i="1"/>
  <c r="I108" i="1"/>
  <c r="J108" i="1"/>
  <c r="K108" i="1"/>
  <c r="L108" i="1"/>
  <c r="M108" i="1"/>
  <c r="N108" i="1"/>
  <c r="C108" i="1"/>
  <c r="D96" i="1"/>
  <c r="E96" i="1"/>
  <c r="F96" i="1"/>
  <c r="G96" i="1"/>
  <c r="H96" i="1"/>
  <c r="I96" i="1"/>
  <c r="J96" i="1"/>
  <c r="K96" i="1"/>
  <c r="L96" i="1"/>
  <c r="M96" i="1"/>
  <c r="N96" i="1"/>
  <c r="C96" i="1"/>
  <c r="D90" i="1"/>
  <c r="E90" i="1"/>
  <c r="F90" i="1"/>
  <c r="G90" i="1"/>
  <c r="H90" i="1"/>
  <c r="I90" i="1"/>
  <c r="J90" i="1"/>
  <c r="K90" i="1"/>
  <c r="L90" i="1"/>
  <c r="M90" i="1"/>
  <c r="N90" i="1"/>
  <c r="C90" i="1"/>
  <c r="D84" i="1"/>
  <c r="E84" i="1"/>
  <c r="F84" i="1"/>
  <c r="G84" i="1"/>
  <c r="H84" i="1"/>
  <c r="I84" i="1"/>
  <c r="J84" i="1"/>
  <c r="K84" i="1"/>
  <c r="L84" i="1"/>
  <c r="M84" i="1"/>
  <c r="N84" i="1"/>
  <c r="C84" i="1"/>
  <c r="O14" i="24"/>
  <c r="O12" i="24"/>
  <c r="O11" i="24"/>
  <c r="N6" i="24"/>
  <c r="N7" i="24" s="1"/>
  <c r="M6" i="24"/>
  <c r="M7" i="24" s="1"/>
  <c r="L6" i="24"/>
  <c r="L7" i="24" s="1"/>
  <c r="K6" i="24"/>
  <c r="K7" i="24" s="1"/>
  <c r="J6" i="24"/>
  <c r="J7" i="24" s="1"/>
  <c r="I6" i="24"/>
  <c r="I7" i="24" s="1"/>
  <c r="H6" i="24"/>
  <c r="G6" i="24"/>
  <c r="F6" i="24"/>
  <c r="E6" i="24"/>
  <c r="D6" i="24"/>
  <c r="C6" i="24"/>
  <c r="N4" i="24"/>
  <c r="M4" i="24"/>
  <c r="L4" i="24"/>
  <c r="K4" i="24"/>
  <c r="J4" i="24"/>
  <c r="I4" i="24"/>
  <c r="H4" i="24"/>
  <c r="G4" i="24"/>
  <c r="F4" i="24"/>
  <c r="E4" i="24"/>
  <c r="D4" i="24"/>
  <c r="C4" i="24"/>
  <c r="O5" i="24"/>
  <c r="D78" i="1"/>
  <c r="E78" i="1"/>
  <c r="F78" i="1"/>
  <c r="G78" i="1"/>
  <c r="H78" i="1"/>
  <c r="I78" i="1"/>
  <c r="J78" i="1"/>
  <c r="K78" i="1"/>
  <c r="L78" i="1"/>
  <c r="M78" i="1"/>
  <c r="N78" i="1"/>
  <c r="C78" i="1"/>
  <c r="D72" i="1"/>
  <c r="E72" i="1"/>
  <c r="F72" i="1"/>
  <c r="G72" i="1"/>
  <c r="H72" i="1"/>
  <c r="I72" i="1"/>
  <c r="J72" i="1"/>
  <c r="K72" i="1"/>
  <c r="L72" i="1"/>
  <c r="M72" i="1"/>
  <c r="N72" i="1"/>
  <c r="C72" i="1"/>
  <c r="O14" i="23"/>
  <c r="O12" i="23"/>
  <c r="O11" i="23"/>
  <c r="O18" i="23"/>
  <c r="O16" i="23"/>
  <c r="O17" i="23"/>
  <c r="O15" i="23"/>
  <c r="N6" i="23"/>
  <c r="N7" i="23" s="1"/>
  <c r="M6" i="23"/>
  <c r="M7" i="23" s="1"/>
  <c r="L6" i="23"/>
  <c r="L7" i="23" s="1"/>
  <c r="K6" i="23"/>
  <c r="K7" i="23" s="1"/>
  <c r="J6" i="23"/>
  <c r="J7" i="23" s="1"/>
  <c r="I6" i="23"/>
  <c r="I7" i="23" s="1"/>
  <c r="H6" i="23"/>
  <c r="G6" i="23"/>
  <c r="F6" i="23"/>
  <c r="E6" i="23"/>
  <c r="D6" i="23"/>
  <c r="C6" i="23"/>
  <c r="N4" i="23"/>
  <c r="M4" i="23"/>
  <c r="L4" i="23"/>
  <c r="K4" i="23"/>
  <c r="J4" i="23"/>
  <c r="I4" i="23"/>
  <c r="H4" i="23"/>
  <c r="G4" i="23"/>
  <c r="F4" i="23"/>
  <c r="E4" i="23"/>
  <c r="D4" i="23"/>
  <c r="C4" i="23"/>
  <c r="O5" i="23"/>
  <c r="D66" i="1"/>
  <c r="E66" i="1"/>
  <c r="F66" i="1"/>
  <c r="G66" i="1"/>
  <c r="H66" i="1"/>
  <c r="I66" i="1"/>
  <c r="J66" i="1"/>
  <c r="K66" i="1"/>
  <c r="L66" i="1"/>
  <c r="M66" i="1"/>
  <c r="N66" i="1"/>
  <c r="C66" i="1"/>
  <c r="O42" i="8"/>
  <c r="O40" i="8"/>
  <c r="O41" i="8"/>
  <c r="O39" i="8"/>
  <c r="O38" i="8"/>
  <c r="O36" i="8"/>
  <c r="O37" i="8"/>
  <c r="O35" i="8"/>
  <c r="O14" i="22"/>
  <c r="O12" i="22"/>
  <c r="O11" i="22"/>
  <c r="O18" i="22"/>
  <c r="O16" i="22"/>
  <c r="O17" i="22"/>
  <c r="O15" i="22"/>
  <c r="N6" i="22"/>
  <c r="N7" i="22" s="1"/>
  <c r="M6" i="22"/>
  <c r="M7" i="22" s="1"/>
  <c r="L6" i="22"/>
  <c r="L7" i="22" s="1"/>
  <c r="K6" i="22"/>
  <c r="K7" i="22" s="1"/>
  <c r="J6" i="22"/>
  <c r="J7" i="22" s="1"/>
  <c r="I6" i="22"/>
  <c r="I7" i="22" s="1"/>
  <c r="H6" i="22"/>
  <c r="G6" i="22"/>
  <c r="F6" i="22"/>
  <c r="E6" i="22"/>
  <c r="D6" i="22"/>
  <c r="C6" i="22"/>
  <c r="N4" i="22"/>
  <c r="M4" i="22"/>
  <c r="L4" i="22"/>
  <c r="K4" i="22"/>
  <c r="J4" i="22"/>
  <c r="I4" i="22"/>
  <c r="H4" i="22"/>
  <c r="G4" i="22"/>
  <c r="F4" i="22"/>
  <c r="E4" i="22"/>
  <c r="D4" i="22"/>
  <c r="C4" i="22"/>
  <c r="O5" i="22"/>
  <c r="O12" i="14"/>
  <c r="O11" i="14"/>
  <c r="O32" i="8"/>
  <c r="O33" i="8"/>
  <c r="O31" i="8"/>
  <c r="O30" i="8"/>
  <c r="O28" i="8"/>
  <c r="O29" i="8"/>
  <c r="O27" i="8"/>
  <c r="O24" i="8"/>
  <c r="O25" i="8"/>
  <c r="O23" i="8"/>
  <c r="O20" i="8"/>
  <c r="O21" i="8"/>
  <c r="O19" i="8"/>
  <c r="O18" i="8"/>
  <c r="O16" i="8"/>
  <c r="O17" i="8"/>
  <c r="O15" i="8"/>
  <c r="O38" i="19"/>
  <c r="O36" i="19"/>
  <c r="O37" i="19"/>
  <c r="O35" i="19"/>
  <c r="O46" i="8"/>
  <c r="O44" i="8"/>
  <c r="O45" i="8"/>
  <c r="O43" i="8"/>
  <c r="O14" i="20"/>
  <c r="O11" i="20"/>
  <c r="N6" i="20"/>
  <c r="M6" i="20"/>
  <c r="L6" i="20"/>
  <c r="K6" i="20"/>
  <c r="J6" i="20"/>
  <c r="I6" i="20"/>
  <c r="H6" i="20"/>
  <c r="H186" i="28" s="1"/>
  <c r="G6" i="20"/>
  <c r="G186" i="28" s="1"/>
  <c r="F6" i="20"/>
  <c r="F186" i="28" s="1"/>
  <c r="E6" i="20"/>
  <c r="E186" i="28" s="1"/>
  <c r="D6" i="20"/>
  <c r="D186" i="28" s="1"/>
  <c r="C6" i="20"/>
  <c r="N4" i="20"/>
  <c r="N184" i="28" s="1"/>
  <c r="M4" i="20"/>
  <c r="M184" i="28" s="1"/>
  <c r="L4" i="20"/>
  <c r="L184" i="28" s="1"/>
  <c r="K4" i="20"/>
  <c r="K184" i="28" s="1"/>
  <c r="J4" i="20"/>
  <c r="J184" i="28" s="1"/>
  <c r="I4" i="20"/>
  <c r="I184" i="28" s="1"/>
  <c r="H4" i="20"/>
  <c r="H184" i="28" s="1"/>
  <c r="G4" i="20"/>
  <c r="G184" i="28" s="1"/>
  <c r="F4" i="20"/>
  <c r="F184" i="28" s="1"/>
  <c r="E4" i="20"/>
  <c r="E184" i="28" s="1"/>
  <c r="D4" i="20"/>
  <c r="D184" i="28" s="1"/>
  <c r="C4" i="20"/>
  <c r="O5" i="20"/>
  <c r="O185" i="28" s="1"/>
  <c r="O54" i="19"/>
  <c r="O52" i="19"/>
  <c r="O53" i="19"/>
  <c r="O51" i="19"/>
  <c r="O42" i="19"/>
  <c r="O40" i="19"/>
  <c r="O41" i="19"/>
  <c r="O39" i="19"/>
  <c r="O34" i="19"/>
  <c r="O32" i="19"/>
  <c r="O33" i="19"/>
  <c r="O31" i="19"/>
  <c r="O28" i="19"/>
  <c r="O29" i="19"/>
  <c r="O27" i="19"/>
  <c r="O26" i="19"/>
  <c r="O24" i="19"/>
  <c r="O25" i="19"/>
  <c r="O23" i="19"/>
  <c r="O22" i="19"/>
  <c r="O20" i="19"/>
  <c r="O21" i="19"/>
  <c r="O19" i="19"/>
  <c r="O18" i="19"/>
  <c r="O16" i="19"/>
  <c r="O17" i="19"/>
  <c r="O15" i="19"/>
  <c r="O14" i="19"/>
  <c r="O12" i="19"/>
  <c r="O11" i="19"/>
  <c r="N6" i="19"/>
  <c r="N7" i="19" s="1"/>
  <c r="M6" i="19"/>
  <c r="M7" i="19" s="1"/>
  <c r="L6" i="19"/>
  <c r="L7" i="19" s="1"/>
  <c r="K6" i="19"/>
  <c r="K7" i="19" s="1"/>
  <c r="J6" i="19"/>
  <c r="J7" i="19" s="1"/>
  <c r="I6" i="19"/>
  <c r="I7" i="19" s="1"/>
  <c r="H6" i="19"/>
  <c r="F6" i="19"/>
  <c r="E6" i="19"/>
  <c r="D6" i="19"/>
  <c r="C6" i="19"/>
  <c r="N4" i="19"/>
  <c r="M4" i="19"/>
  <c r="L4" i="19"/>
  <c r="K4" i="19"/>
  <c r="J4" i="19"/>
  <c r="I4" i="19"/>
  <c r="H4" i="19"/>
  <c r="G4" i="19"/>
  <c r="F4" i="19"/>
  <c r="E4" i="19"/>
  <c r="D4" i="19"/>
  <c r="C4" i="19"/>
  <c r="O5" i="19"/>
  <c r="C71" i="1"/>
  <c r="O26" i="4"/>
  <c r="O24" i="4"/>
  <c r="O25" i="4"/>
  <c r="O23" i="4"/>
  <c r="O22" i="4"/>
  <c r="O20" i="4"/>
  <c r="O21" i="4"/>
  <c r="O19" i="4"/>
  <c r="C60" i="1"/>
  <c r="D60" i="1"/>
  <c r="E60" i="1"/>
  <c r="F60" i="1"/>
  <c r="G60" i="1"/>
  <c r="H60" i="1"/>
  <c r="I60" i="1"/>
  <c r="J60" i="1"/>
  <c r="K60" i="1"/>
  <c r="L60" i="1"/>
  <c r="M60" i="1"/>
  <c r="N60" i="1"/>
  <c r="C48" i="1"/>
  <c r="D48" i="1"/>
  <c r="E48" i="1"/>
  <c r="F48" i="1"/>
  <c r="G48" i="1"/>
  <c r="H48" i="1"/>
  <c r="I48" i="1"/>
  <c r="J48" i="1"/>
  <c r="K48" i="1"/>
  <c r="L48" i="1"/>
  <c r="M48" i="1"/>
  <c r="N48" i="1"/>
  <c r="C42" i="1"/>
  <c r="D42" i="1"/>
  <c r="E42" i="1"/>
  <c r="F42" i="1"/>
  <c r="G42" i="1"/>
  <c r="H42" i="1"/>
  <c r="I42" i="1"/>
  <c r="J42" i="1"/>
  <c r="K42" i="1"/>
  <c r="L42" i="1"/>
  <c r="M42" i="1"/>
  <c r="N42" i="1"/>
  <c r="C34" i="1"/>
  <c r="D34" i="1"/>
  <c r="E34" i="1"/>
  <c r="F34" i="1"/>
  <c r="G34" i="1"/>
  <c r="H34" i="1"/>
  <c r="I34" i="1"/>
  <c r="J34" i="1"/>
  <c r="K34" i="1"/>
  <c r="L34" i="1"/>
  <c r="M34" i="1"/>
  <c r="N34" i="1"/>
  <c r="C26" i="1"/>
  <c r="D26" i="1"/>
  <c r="E26" i="1"/>
  <c r="F26" i="1"/>
  <c r="G26" i="1"/>
  <c r="H26" i="1"/>
  <c r="I26" i="1"/>
  <c r="J26" i="1"/>
  <c r="K26" i="1"/>
  <c r="L26" i="1"/>
  <c r="M26" i="1"/>
  <c r="N26" i="1"/>
  <c r="C17" i="1"/>
  <c r="E17" i="1"/>
  <c r="F17" i="1"/>
  <c r="G17" i="1"/>
  <c r="H17" i="1"/>
  <c r="I17" i="1"/>
  <c r="J17" i="1"/>
  <c r="K17" i="1"/>
  <c r="L17" i="1"/>
  <c r="M17" i="1"/>
  <c r="N17" i="1"/>
  <c r="O94" i="9"/>
  <c r="O92" i="9"/>
  <c r="O93" i="9"/>
  <c r="O91" i="9"/>
  <c r="O90" i="9"/>
  <c r="O88" i="9"/>
  <c r="O89" i="9"/>
  <c r="O87" i="9"/>
  <c r="O86" i="9"/>
  <c r="O84" i="9"/>
  <c r="O85" i="9"/>
  <c r="O83" i="9"/>
  <c r="O15" i="16"/>
  <c r="O17" i="16"/>
  <c r="O18" i="16"/>
  <c r="O19" i="16"/>
  <c r="O21" i="16"/>
  <c r="O22" i="16"/>
  <c r="O23" i="16"/>
  <c r="O25" i="16"/>
  <c r="O26" i="16"/>
  <c r="O14" i="16"/>
  <c r="O6" i="16" s="1"/>
  <c r="D6" i="16"/>
  <c r="D178" i="28" s="1"/>
  <c r="E6" i="16"/>
  <c r="E178" i="28" s="1"/>
  <c r="F6" i="16"/>
  <c r="F178" i="28" s="1"/>
  <c r="G6" i="16"/>
  <c r="G178" i="28" s="1"/>
  <c r="H6" i="16"/>
  <c r="H178" i="28" s="1"/>
  <c r="I6" i="16"/>
  <c r="I178" i="28" s="1"/>
  <c r="J6" i="16"/>
  <c r="K6" i="16"/>
  <c r="L6" i="16"/>
  <c r="M6" i="16"/>
  <c r="N6" i="16"/>
  <c r="C6" i="16"/>
  <c r="F4" i="16"/>
  <c r="F176" i="28" s="1"/>
  <c r="O11" i="16"/>
  <c r="D6" i="15"/>
  <c r="D170" i="28" s="1"/>
  <c r="E6" i="15"/>
  <c r="E170" i="28" s="1"/>
  <c r="F6" i="15"/>
  <c r="F170" i="28" s="1"/>
  <c r="G6" i="15"/>
  <c r="G170" i="28" s="1"/>
  <c r="I6" i="15"/>
  <c r="I170" i="28" s="1"/>
  <c r="J6" i="15"/>
  <c r="K6" i="15"/>
  <c r="L6" i="15"/>
  <c r="M6" i="15"/>
  <c r="N6" i="15"/>
  <c r="C6" i="15"/>
  <c r="O12" i="15"/>
  <c r="O11" i="15"/>
  <c r="D6" i="14"/>
  <c r="D162" i="28" s="1"/>
  <c r="E6" i="14"/>
  <c r="E162" i="28" s="1"/>
  <c r="I6" i="14"/>
  <c r="J6" i="14"/>
  <c r="K6" i="14"/>
  <c r="L6" i="14"/>
  <c r="M6" i="14"/>
  <c r="N6" i="14"/>
  <c r="C6" i="14"/>
  <c r="O17" i="14"/>
  <c r="O15" i="14"/>
  <c r="O19" i="14"/>
  <c r="O21" i="14"/>
  <c r="O23" i="14"/>
  <c r="O25" i="14"/>
  <c r="O26" i="14"/>
  <c r="O15" i="13"/>
  <c r="O17" i="13"/>
  <c r="O18" i="13"/>
  <c r="O19" i="13"/>
  <c r="O21" i="13"/>
  <c r="O22" i="13"/>
  <c r="O14" i="13"/>
  <c r="D6" i="13"/>
  <c r="D154" i="28" s="1"/>
  <c r="E6" i="13"/>
  <c r="E154" i="28" s="1"/>
  <c r="F6" i="13"/>
  <c r="F154" i="28" s="1"/>
  <c r="G6" i="13"/>
  <c r="G154" i="28" s="1"/>
  <c r="H6" i="13"/>
  <c r="H154" i="28" s="1"/>
  <c r="I6" i="13"/>
  <c r="J6" i="13"/>
  <c r="K6" i="13"/>
  <c r="L6" i="13"/>
  <c r="M6" i="13"/>
  <c r="N6" i="13"/>
  <c r="C6" i="13"/>
  <c r="O11" i="13"/>
  <c r="D6" i="12"/>
  <c r="D146" i="28" s="1"/>
  <c r="E6" i="12"/>
  <c r="E146" i="28" s="1"/>
  <c r="F6" i="12"/>
  <c r="F146" i="28" s="1"/>
  <c r="G6" i="12"/>
  <c r="G146" i="28" s="1"/>
  <c r="H6" i="12"/>
  <c r="H146" i="28" s="1"/>
  <c r="I6" i="12"/>
  <c r="I146" i="28" s="1"/>
  <c r="J6" i="12"/>
  <c r="K6" i="12"/>
  <c r="L6" i="12"/>
  <c r="M6" i="12"/>
  <c r="N6" i="12"/>
  <c r="C6" i="12"/>
  <c r="O14" i="12"/>
  <c r="O12" i="12"/>
  <c r="O11" i="12"/>
  <c r="O15" i="11"/>
  <c r="O17" i="11"/>
  <c r="O18" i="11"/>
  <c r="O19" i="11"/>
  <c r="O21" i="11"/>
  <c r="O22" i="11"/>
  <c r="O39" i="11"/>
  <c r="O41" i="11"/>
  <c r="O42" i="11"/>
  <c r="O43" i="11"/>
  <c r="O45" i="11"/>
  <c r="O46" i="11"/>
  <c r="O47" i="11"/>
  <c r="O49" i="11"/>
  <c r="O50" i="11"/>
  <c r="O51" i="11"/>
  <c r="O53" i="11"/>
  <c r="O54" i="11"/>
  <c r="O14" i="11"/>
  <c r="O11" i="11"/>
  <c r="D6" i="11"/>
  <c r="D138" i="28" s="1"/>
  <c r="E6" i="11"/>
  <c r="E138" i="28" s="1"/>
  <c r="G6" i="11"/>
  <c r="G138" i="28" s="1"/>
  <c r="I6" i="11"/>
  <c r="J6" i="11"/>
  <c r="K6" i="11"/>
  <c r="M6" i="11"/>
  <c r="N6" i="11"/>
  <c r="C6" i="11"/>
  <c r="O15" i="10"/>
  <c r="O17" i="10"/>
  <c r="O23" i="10"/>
  <c r="O25" i="10"/>
  <c r="O26" i="10"/>
  <c r="O27" i="10"/>
  <c r="O29" i="10"/>
  <c r="O30" i="10"/>
  <c r="O31" i="10"/>
  <c r="O33" i="10"/>
  <c r="O34" i="10"/>
  <c r="O14" i="10"/>
  <c r="O11" i="10"/>
  <c r="O12" i="10"/>
  <c r="D6" i="10"/>
  <c r="D202" i="28" s="1"/>
  <c r="E6" i="10"/>
  <c r="E202" i="28" s="1"/>
  <c r="G6" i="10"/>
  <c r="G202" i="28" s="1"/>
  <c r="H6" i="10"/>
  <c r="H202" i="28" s="1"/>
  <c r="I6" i="10"/>
  <c r="I7" i="10" s="1"/>
  <c r="I203" i="28" s="1"/>
  <c r="J6" i="10"/>
  <c r="K6" i="10"/>
  <c r="L6" i="10"/>
  <c r="M6" i="10"/>
  <c r="N6" i="10"/>
  <c r="C6" i="10"/>
  <c r="O15" i="9"/>
  <c r="O17" i="9"/>
  <c r="O16" i="9"/>
  <c r="O18" i="9"/>
  <c r="O19" i="9"/>
  <c r="O21" i="9"/>
  <c r="O20" i="9"/>
  <c r="O22" i="9"/>
  <c r="O23" i="9"/>
  <c r="O25" i="9"/>
  <c r="O24" i="9"/>
  <c r="O26" i="9"/>
  <c r="O27" i="9"/>
  <c r="O29" i="9"/>
  <c r="O30" i="9"/>
  <c r="O31" i="9"/>
  <c r="O33" i="9"/>
  <c r="O34" i="9"/>
  <c r="O35" i="9"/>
  <c r="O37" i="9"/>
  <c r="O38" i="9"/>
  <c r="O39" i="9"/>
  <c r="O41" i="9"/>
  <c r="O42" i="9"/>
  <c r="O43" i="9"/>
  <c r="O45" i="9"/>
  <c r="O46" i="9"/>
  <c r="O47" i="9"/>
  <c r="O49" i="9"/>
  <c r="O50" i="9"/>
  <c r="O51" i="9"/>
  <c r="O53" i="9"/>
  <c r="O54" i="9"/>
  <c r="O55" i="9"/>
  <c r="O57" i="9"/>
  <c r="O58" i="9"/>
  <c r="O59" i="9"/>
  <c r="O61" i="9"/>
  <c r="O60" i="9"/>
  <c r="O62" i="9"/>
  <c r="O67" i="9"/>
  <c r="O69" i="9"/>
  <c r="O70" i="9"/>
  <c r="O71" i="9"/>
  <c r="O73" i="9"/>
  <c r="O74" i="9"/>
  <c r="O75" i="9"/>
  <c r="O77" i="9"/>
  <c r="O79" i="9"/>
  <c r="O81" i="9"/>
  <c r="O82" i="9"/>
  <c r="O14" i="9"/>
  <c r="O12" i="9"/>
  <c r="O11" i="9"/>
  <c r="O13" i="7"/>
  <c r="O11" i="7"/>
  <c r="O14" i="8"/>
  <c r="O11" i="8"/>
  <c r="D6" i="8"/>
  <c r="D73" i="28" s="1"/>
  <c r="E6" i="8"/>
  <c r="E73" i="28" s="1"/>
  <c r="I6" i="8"/>
  <c r="I7" i="8" s="1"/>
  <c r="J6" i="8"/>
  <c r="K6" i="8"/>
  <c r="L6" i="8"/>
  <c r="M6" i="8"/>
  <c r="M7" i="8" s="1"/>
  <c r="N6" i="8"/>
  <c r="N7" i="8" s="1"/>
  <c r="N4" i="8"/>
  <c r="N71" i="28" s="1"/>
  <c r="M4" i="8"/>
  <c r="M71" i="28" s="1"/>
  <c r="L4" i="8"/>
  <c r="L71" i="28" s="1"/>
  <c r="K4" i="8"/>
  <c r="K71" i="28" s="1"/>
  <c r="J4" i="8"/>
  <c r="J71" i="28" s="1"/>
  <c r="I4" i="8"/>
  <c r="I71" i="28" s="1"/>
  <c r="O12" i="8"/>
  <c r="O15" i="7"/>
  <c r="O17" i="7"/>
  <c r="O16" i="7"/>
  <c r="O19" i="7"/>
  <c r="O21" i="7"/>
  <c r="O20" i="7"/>
  <c r="O22" i="7"/>
  <c r="O23" i="7"/>
  <c r="O25" i="7"/>
  <c r="O24" i="7"/>
  <c r="O26" i="7"/>
  <c r="O27" i="7"/>
  <c r="O29" i="7"/>
  <c r="O30" i="7"/>
  <c r="O31" i="7"/>
  <c r="O33" i="7"/>
  <c r="O34" i="7"/>
  <c r="O35" i="7"/>
  <c r="O37" i="7"/>
  <c r="O38" i="7"/>
  <c r="O43" i="7"/>
  <c r="O45" i="7"/>
  <c r="O46" i="7"/>
  <c r="O47" i="7"/>
  <c r="O49" i="7"/>
  <c r="O50" i="7"/>
  <c r="O11" i="17"/>
  <c r="O14" i="17"/>
  <c r="O15" i="17"/>
  <c r="O17" i="17"/>
  <c r="O18" i="17"/>
  <c r="O19" i="17"/>
  <c r="O21" i="17"/>
  <c r="O22" i="17"/>
  <c r="O23" i="17"/>
  <c r="O25" i="17"/>
  <c r="O26" i="17"/>
  <c r="O27" i="17"/>
  <c r="O29" i="17"/>
  <c r="O30" i="17"/>
  <c r="O31" i="17"/>
  <c r="O33" i="17"/>
  <c r="O34" i="17"/>
  <c r="O15" i="6"/>
  <c r="O17" i="6"/>
  <c r="O18" i="6"/>
  <c r="O25" i="5"/>
  <c r="O27" i="5"/>
  <c r="O29" i="5"/>
  <c r="O28" i="5"/>
  <c r="O30" i="5"/>
  <c r="O31" i="5"/>
  <c r="O33" i="5"/>
  <c r="O32" i="5"/>
  <c r="O34" i="5"/>
  <c r="O39" i="5"/>
  <c r="O41" i="5"/>
  <c r="O15" i="4"/>
  <c r="O17" i="4"/>
  <c r="O27" i="4"/>
  <c r="O29" i="4"/>
  <c r="O30" i="4"/>
  <c r="O14" i="4"/>
  <c r="D21" i="28"/>
  <c r="E21" i="28"/>
  <c r="K21" i="28"/>
  <c r="L6" i="7"/>
  <c r="M6" i="7"/>
  <c r="N6" i="7"/>
  <c r="D6" i="17"/>
  <c r="E6" i="17"/>
  <c r="F6" i="17"/>
  <c r="G6" i="17"/>
  <c r="H6" i="17"/>
  <c r="I6" i="17"/>
  <c r="I7" i="17" s="1"/>
  <c r="J6" i="17"/>
  <c r="J7" i="17" s="1"/>
  <c r="K6" i="17"/>
  <c r="K7" i="17" s="1"/>
  <c r="L6" i="17"/>
  <c r="L7" i="17" s="1"/>
  <c r="M6" i="17"/>
  <c r="M7" i="17" s="1"/>
  <c r="N6" i="17"/>
  <c r="N7" i="17" s="1"/>
  <c r="C6" i="17"/>
  <c r="E6" i="4"/>
  <c r="E39" i="28" s="1"/>
  <c r="G6" i="4"/>
  <c r="G39" i="28" s="1"/>
  <c r="J6" i="4"/>
  <c r="K6" i="4"/>
  <c r="L6" i="4"/>
  <c r="M6" i="4"/>
  <c r="N6" i="4"/>
  <c r="C6" i="4"/>
  <c r="D6" i="5"/>
  <c r="D48" i="28" s="1"/>
  <c r="E6" i="5"/>
  <c r="E48" i="28" s="1"/>
  <c r="F6" i="5"/>
  <c r="F48" i="28" s="1"/>
  <c r="G6" i="5"/>
  <c r="H6" i="5"/>
  <c r="H48" i="28" s="1"/>
  <c r="I6" i="5"/>
  <c r="J6" i="5"/>
  <c r="K6" i="5"/>
  <c r="L6" i="5"/>
  <c r="M6" i="5"/>
  <c r="N6" i="5"/>
  <c r="D6" i="6"/>
  <c r="D56" i="28" s="1"/>
  <c r="E6" i="6"/>
  <c r="E56" i="28" s="1"/>
  <c r="I6" i="6"/>
  <c r="J6" i="6"/>
  <c r="K6" i="6"/>
  <c r="L6" i="6"/>
  <c r="M6" i="6"/>
  <c r="N6" i="6"/>
  <c r="C6" i="6"/>
  <c r="O12" i="6"/>
  <c r="O11" i="6"/>
  <c r="O16" i="4"/>
  <c r="O12" i="4"/>
  <c r="O11" i="4"/>
  <c r="O80" i="9"/>
  <c r="O76" i="9"/>
  <c r="O72" i="9"/>
  <c r="O68" i="9"/>
  <c r="O56" i="9"/>
  <c r="O52" i="9"/>
  <c r="I6" i="9"/>
  <c r="I7" i="9" s="1"/>
  <c r="J6" i="9"/>
  <c r="J7" i="9" s="1"/>
  <c r="K6" i="9"/>
  <c r="K7" i="9" s="1"/>
  <c r="L6" i="9"/>
  <c r="L7" i="9" s="1"/>
  <c r="M6" i="9"/>
  <c r="M7" i="9" s="1"/>
  <c r="N6" i="9"/>
  <c r="N7" i="9" s="1"/>
  <c r="O32" i="17"/>
  <c r="O28" i="17"/>
  <c r="O24" i="17"/>
  <c r="O20" i="17"/>
  <c r="O16" i="17"/>
  <c r="K4" i="17"/>
  <c r="D4" i="17"/>
  <c r="N4" i="17"/>
  <c r="M4" i="17"/>
  <c r="L4" i="17"/>
  <c r="J4" i="17"/>
  <c r="I4" i="17"/>
  <c r="H4" i="17"/>
  <c r="G4" i="17"/>
  <c r="F4" i="17"/>
  <c r="O5" i="17"/>
  <c r="O24" i="16"/>
  <c r="O20" i="16"/>
  <c r="O16" i="16"/>
  <c r="O5" i="16"/>
  <c r="O177" i="28" s="1"/>
  <c r="O5" i="15"/>
  <c r="O24" i="14"/>
  <c r="O20" i="14"/>
  <c r="O16" i="14"/>
  <c r="O5" i="14"/>
  <c r="O161" i="28" s="1"/>
  <c r="O20" i="13"/>
  <c r="O5" i="13"/>
  <c r="O153" i="28" s="1"/>
  <c r="O98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O97" i="12"/>
  <c r="O95" i="12"/>
  <c r="O94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O93" i="12"/>
  <c r="O91" i="12"/>
  <c r="O90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O89" i="12"/>
  <c r="O87" i="12"/>
  <c r="O86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O85" i="12"/>
  <c r="O83" i="12"/>
  <c r="O82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O81" i="12"/>
  <c r="O79" i="12"/>
  <c r="O78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O77" i="12"/>
  <c r="O75" i="12"/>
  <c r="O74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O73" i="12"/>
  <c r="O71" i="12"/>
  <c r="O70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O69" i="12"/>
  <c r="O67" i="12"/>
  <c r="O66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O65" i="12"/>
  <c r="O63" i="12"/>
  <c r="O62" i="12"/>
  <c r="N60" i="12"/>
  <c r="M60" i="12"/>
  <c r="L60" i="12"/>
  <c r="K60" i="12"/>
  <c r="J60" i="12"/>
  <c r="I60" i="12"/>
  <c r="H60" i="12"/>
  <c r="G60" i="12"/>
  <c r="F60" i="12"/>
  <c r="E60" i="12"/>
  <c r="D60" i="12"/>
  <c r="C60" i="12"/>
  <c r="O61" i="12"/>
  <c r="O59" i="12"/>
  <c r="O58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O57" i="12"/>
  <c r="O55" i="12"/>
  <c r="O54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O53" i="12"/>
  <c r="O51" i="12"/>
  <c r="O46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O45" i="12"/>
  <c r="O43" i="12"/>
  <c r="O42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O41" i="12"/>
  <c r="O39" i="12"/>
  <c r="O26" i="12"/>
  <c r="O24" i="12"/>
  <c r="O25" i="12"/>
  <c r="O23" i="12"/>
  <c r="O22" i="12"/>
  <c r="O20" i="12"/>
  <c r="O21" i="12"/>
  <c r="O19" i="12"/>
  <c r="O18" i="12"/>
  <c r="O16" i="12"/>
  <c r="O17" i="12"/>
  <c r="O15" i="12"/>
  <c r="O5" i="12"/>
  <c r="O145" i="28" s="1"/>
  <c r="O5" i="11"/>
  <c r="O137" i="28" s="1"/>
  <c r="J4" i="10"/>
  <c r="J200" i="28" s="1"/>
  <c r="N4" i="10"/>
  <c r="N200" i="28" s="1"/>
  <c r="M4" i="10"/>
  <c r="M200" i="28" s="1"/>
  <c r="L4" i="10"/>
  <c r="L200" i="28" s="1"/>
  <c r="K4" i="10"/>
  <c r="K200" i="28" s="1"/>
  <c r="I4" i="10"/>
  <c r="I200" i="28" s="1"/>
  <c r="H4" i="10"/>
  <c r="H200" i="28" s="1"/>
  <c r="G4" i="10"/>
  <c r="G200" i="28" s="1"/>
  <c r="D4" i="10"/>
  <c r="D200" i="28" s="1"/>
  <c r="O5" i="10"/>
  <c r="O201" i="28" s="1"/>
  <c r="O48" i="9"/>
  <c r="O44" i="9"/>
  <c r="O40" i="9"/>
  <c r="O36" i="9"/>
  <c r="O32" i="9"/>
  <c r="O28" i="9"/>
  <c r="L4" i="9"/>
  <c r="J4" i="9"/>
  <c r="G4" i="9"/>
  <c r="D4" i="9"/>
  <c r="N4" i="9"/>
  <c r="M4" i="9"/>
  <c r="K4" i="9"/>
  <c r="I4" i="9"/>
  <c r="H4" i="9"/>
  <c r="F4" i="9"/>
  <c r="O5" i="9"/>
  <c r="E4" i="8"/>
  <c r="E71" i="28" s="1"/>
  <c r="D4" i="8"/>
  <c r="D71" i="28" s="1"/>
  <c r="O5" i="8"/>
  <c r="O72" i="28" s="1"/>
  <c r="O48" i="7"/>
  <c r="O44" i="7"/>
  <c r="N4" i="7"/>
  <c r="N19" i="28" s="1"/>
  <c r="M4" i="7"/>
  <c r="M19" i="28" s="1"/>
  <c r="L4" i="7"/>
  <c r="L19" i="28" s="1"/>
  <c r="K4" i="7"/>
  <c r="K19" i="28" s="1"/>
  <c r="J19" i="28"/>
  <c r="H19" i="28"/>
  <c r="E19" i="28"/>
  <c r="O5" i="7"/>
  <c r="O20" i="28" s="1"/>
  <c r="N4" i="6"/>
  <c r="N54" i="28" s="1"/>
  <c r="M4" i="6"/>
  <c r="M54" i="28" s="1"/>
  <c r="L4" i="6"/>
  <c r="L54" i="28" s="1"/>
  <c r="K4" i="6"/>
  <c r="K54" i="28" s="1"/>
  <c r="J4" i="6"/>
  <c r="J54" i="28" s="1"/>
  <c r="I4" i="6"/>
  <c r="I54" i="28" s="1"/>
  <c r="H4" i="6"/>
  <c r="H54" i="28" s="1"/>
  <c r="G4" i="6"/>
  <c r="G54" i="28" s="1"/>
  <c r="F4" i="6"/>
  <c r="F54" i="28" s="1"/>
  <c r="E4" i="6"/>
  <c r="E54" i="28" s="1"/>
  <c r="D4" i="6"/>
  <c r="D54" i="28" s="1"/>
  <c r="O5" i="6"/>
  <c r="O55" i="28" s="1"/>
  <c r="O40" i="5"/>
  <c r="O13" i="5"/>
  <c r="O11" i="5"/>
  <c r="O5" i="5"/>
  <c r="O47" i="28" s="1"/>
  <c r="O5" i="3"/>
  <c r="O29" i="28" s="1"/>
  <c r="O169" i="28" l="1"/>
  <c r="O7" i="15"/>
  <c r="C56" i="28"/>
  <c r="N56" i="28"/>
  <c r="N7" i="6"/>
  <c r="M56" i="28"/>
  <c r="M7" i="6"/>
  <c r="L56" i="28"/>
  <c r="L7" i="6"/>
  <c r="K56" i="28"/>
  <c r="K7" i="6"/>
  <c r="J56" i="28"/>
  <c r="J7" i="6"/>
  <c r="N48" i="28"/>
  <c r="N7" i="5"/>
  <c r="M48" i="28"/>
  <c r="M7" i="5"/>
  <c r="L48" i="28"/>
  <c r="L7" i="5"/>
  <c r="K48" i="28"/>
  <c r="K7" i="5"/>
  <c r="J48" i="28"/>
  <c r="J7" i="5"/>
  <c r="N39" i="28"/>
  <c r="N7" i="4"/>
  <c r="M39" i="28"/>
  <c r="M7" i="4"/>
  <c r="L39" i="28"/>
  <c r="L7" i="4"/>
  <c r="K39" i="28"/>
  <c r="K7" i="4"/>
  <c r="J39" i="28"/>
  <c r="J7" i="4"/>
  <c r="J8" i="17"/>
  <c r="K8" i="17"/>
  <c r="L8" i="17"/>
  <c r="M8" i="17"/>
  <c r="N8" i="17"/>
  <c r="N21" i="28"/>
  <c r="N7" i="7"/>
  <c r="M21" i="28"/>
  <c r="M7" i="7"/>
  <c r="L21" i="28"/>
  <c r="L7" i="7"/>
  <c r="L73" i="28"/>
  <c r="L7" i="8"/>
  <c r="K73" i="28"/>
  <c r="K7" i="8"/>
  <c r="J73" i="28"/>
  <c r="J7" i="8"/>
  <c r="N202" i="28"/>
  <c r="N7" i="10"/>
  <c r="N203" i="28" s="1"/>
  <c r="M202" i="28"/>
  <c r="M7" i="10"/>
  <c r="M203" i="28" s="1"/>
  <c r="L202" i="28"/>
  <c r="L7" i="10"/>
  <c r="L203" i="28" s="1"/>
  <c r="K202" i="28"/>
  <c r="K7" i="10"/>
  <c r="K203" i="28" s="1"/>
  <c r="J202" i="28"/>
  <c r="J7" i="10"/>
  <c r="J203" i="28" s="1"/>
  <c r="C8" i="11"/>
  <c r="C9" i="11" s="1"/>
  <c r="C141" i="28" s="1"/>
  <c r="N138" i="28"/>
  <c r="N7" i="11"/>
  <c r="N139" i="28" s="1"/>
  <c r="M138" i="28"/>
  <c r="M7" i="11"/>
  <c r="M139" i="28" s="1"/>
  <c r="K138" i="28"/>
  <c r="K7" i="11"/>
  <c r="K139" i="28" s="1"/>
  <c r="J138" i="28"/>
  <c r="J7" i="11"/>
  <c r="J139" i="28" s="1"/>
  <c r="C7" i="12"/>
  <c r="J8" i="12"/>
  <c r="K8" i="12"/>
  <c r="L8" i="12"/>
  <c r="M8" i="12"/>
  <c r="N8" i="12"/>
  <c r="N146" i="28"/>
  <c r="N7" i="12"/>
  <c r="M146" i="28"/>
  <c r="M7" i="12"/>
  <c r="L146" i="28"/>
  <c r="L7" i="12"/>
  <c r="K146" i="28"/>
  <c r="K7" i="12"/>
  <c r="J146" i="28"/>
  <c r="J7" i="12"/>
  <c r="J8" i="13"/>
  <c r="K8" i="13"/>
  <c r="L8" i="13"/>
  <c r="M8" i="13"/>
  <c r="N8" i="13"/>
  <c r="N154" i="28"/>
  <c r="N7" i="13"/>
  <c r="N155" i="28" s="1"/>
  <c r="M154" i="28"/>
  <c r="M7" i="13"/>
  <c r="M155" i="28" s="1"/>
  <c r="L154" i="28"/>
  <c r="L7" i="13"/>
  <c r="L155" i="28" s="1"/>
  <c r="K154" i="28"/>
  <c r="K7" i="13"/>
  <c r="K155" i="28" s="1"/>
  <c r="J154" i="28"/>
  <c r="J7" i="13"/>
  <c r="J155" i="28" s="1"/>
  <c r="N162" i="28"/>
  <c r="N7" i="14"/>
  <c r="N163" i="28" s="1"/>
  <c r="M162" i="28"/>
  <c r="M7" i="14"/>
  <c r="L162" i="28"/>
  <c r="L7" i="14"/>
  <c r="L163" i="28" s="1"/>
  <c r="K162" i="28"/>
  <c r="K7" i="14"/>
  <c r="J162" i="28"/>
  <c r="J7" i="14"/>
  <c r="J163" i="28" s="1"/>
  <c r="N170" i="28"/>
  <c r="N7" i="15"/>
  <c r="M170" i="28"/>
  <c r="M7" i="15"/>
  <c r="L170" i="28"/>
  <c r="L7" i="15"/>
  <c r="K170" i="28"/>
  <c r="K7" i="15"/>
  <c r="J170" i="28"/>
  <c r="J7" i="15"/>
  <c r="J8" i="16"/>
  <c r="K8" i="16"/>
  <c r="L8" i="16"/>
  <c r="M8" i="16"/>
  <c r="N8" i="16"/>
  <c r="N178" i="28"/>
  <c r="N7" i="16"/>
  <c r="M178" i="28"/>
  <c r="M7" i="16"/>
  <c r="L178" i="28"/>
  <c r="L7" i="16"/>
  <c r="K178" i="28"/>
  <c r="K7" i="16"/>
  <c r="J178" i="28"/>
  <c r="J7" i="16"/>
  <c r="C7" i="19"/>
  <c r="C8" i="20"/>
  <c r="J8" i="20"/>
  <c r="K8" i="20"/>
  <c r="L8" i="20"/>
  <c r="M8" i="20"/>
  <c r="N8" i="20"/>
  <c r="J186" i="28"/>
  <c r="J7" i="20"/>
  <c r="J187" i="28" s="1"/>
  <c r="K186" i="28"/>
  <c r="K7" i="20"/>
  <c r="K187" i="28" s="1"/>
  <c r="L186" i="28"/>
  <c r="L7" i="20"/>
  <c r="L187" i="28" s="1"/>
  <c r="M186" i="28"/>
  <c r="M7" i="20"/>
  <c r="M187" i="28" s="1"/>
  <c r="N186" i="28"/>
  <c r="N7" i="20"/>
  <c r="N187" i="28" s="1"/>
  <c r="J8" i="22"/>
  <c r="K8" i="22"/>
  <c r="L8" i="22"/>
  <c r="M8" i="22"/>
  <c r="N8" i="22"/>
  <c r="C8" i="23"/>
  <c r="J8" i="23"/>
  <c r="K8" i="23"/>
  <c r="L8" i="23"/>
  <c r="M8" i="23"/>
  <c r="N8" i="23"/>
  <c r="C7" i="24"/>
  <c r="J8" i="24"/>
  <c r="K8" i="24"/>
  <c r="L8" i="24"/>
  <c r="M8" i="24"/>
  <c r="N8" i="24"/>
  <c r="C8" i="25"/>
  <c r="J8" i="25"/>
  <c r="K8" i="25"/>
  <c r="L8" i="25"/>
  <c r="M8" i="25"/>
  <c r="N8" i="25"/>
  <c r="J194" i="28"/>
  <c r="J7" i="25"/>
  <c r="J195" i="28" s="1"/>
  <c r="K194" i="28"/>
  <c r="K7" i="25"/>
  <c r="K195" i="28" s="1"/>
  <c r="L194" i="28"/>
  <c r="L7" i="25"/>
  <c r="L195" i="28" s="1"/>
  <c r="M194" i="28"/>
  <c r="M7" i="25"/>
  <c r="M195" i="28" s="1"/>
  <c r="N194" i="28"/>
  <c r="N7" i="25"/>
  <c r="N195" i="28" s="1"/>
  <c r="C7" i="9"/>
  <c r="J8" i="5"/>
  <c r="K8" i="5"/>
  <c r="L8" i="5"/>
  <c r="M8" i="5"/>
  <c r="N8" i="5"/>
  <c r="L138" i="28"/>
  <c r="L7" i="11"/>
  <c r="L139" i="28" s="1"/>
  <c r="C130" i="28"/>
  <c r="J30" i="28"/>
  <c r="J7" i="3"/>
  <c r="K30" i="28"/>
  <c r="K7" i="3"/>
  <c r="L30" i="28"/>
  <c r="L7" i="3"/>
  <c r="C7" i="27"/>
  <c r="C65" i="28" s="1"/>
  <c r="K64" i="28"/>
  <c r="K7" i="27"/>
  <c r="K65" i="28" s="1"/>
  <c r="L64" i="28"/>
  <c r="L7" i="27"/>
  <c r="L65" i="28" s="1"/>
  <c r="M64" i="28"/>
  <c r="M7" i="27"/>
  <c r="M65" i="28" s="1"/>
  <c r="N64" i="28"/>
  <c r="N7" i="27"/>
  <c r="N65" i="28" s="1"/>
  <c r="N30" i="28"/>
  <c r="N7" i="3"/>
  <c r="M30" i="28"/>
  <c r="M7" i="3"/>
  <c r="C73" i="28"/>
  <c r="J64" i="28"/>
  <c r="J7" i="27"/>
  <c r="J65" i="28" s="1"/>
  <c r="H170" i="28"/>
  <c r="M8" i="15"/>
  <c r="J8" i="15"/>
  <c r="L8" i="15"/>
  <c r="N8" i="15"/>
  <c r="K8" i="15"/>
  <c r="N73" i="28"/>
  <c r="M73" i="28"/>
  <c r="F6" i="7"/>
  <c r="G6" i="7"/>
  <c r="G21" i="28" s="1"/>
  <c r="H6" i="7"/>
  <c r="I6" i="7"/>
  <c r="I6" i="4"/>
  <c r="J6" i="7"/>
  <c r="O130" i="9"/>
  <c r="H6" i="9"/>
  <c r="H98" i="1" s="1"/>
  <c r="G3" i="29"/>
  <c r="C59" i="1"/>
  <c r="H3" i="29"/>
  <c r="K11" i="29"/>
  <c r="C7" i="8"/>
  <c r="C74" i="28" s="1"/>
  <c r="O34" i="3"/>
  <c r="E107" i="1"/>
  <c r="F107" i="1"/>
  <c r="J4" i="4"/>
  <c r="J37" i="28" s="1"/>
  <c r="H6" i="4"/>
  <c r="L11" i="29"/>
  <c r="O34" i="11"/>
  <c r="O6" i="11" s="1"/>
  <c r="H4" i="4"/>
  <c r="H37" i="28" s="1"/>
  <c r="G6" i="9"/>
  <c r="G98" i="1" s="1"/>
  <c r="C8" i="27"/>
  <c r="C9" i="27" s="1"/>
  <c r="C67" i="28" s="1"/>
  <c r="N131" i="1"/>
  <c r="F6" i="9"/>
  <c r="L131" i="1"/>
  <c r="M3" i="29"/>
  <c r="J113" i="1"/>
  <c r="E113" i="1"/>
  <c r="E191" i="28"/>
  <c r="O22" i="14"/>
  <c r="C53" i="28"/>
  <c r="O22" i="3"/>
  <c r="O14" i="7"/>
  <c r="H125" i="1"/>
  <c r="O4" i="25"/>
  <c r="O192" i="28" s="1"/>
  <c r="O42" i="7"/>
  <c r="D59" i="1"/>
  <c r="G125" i="1"/>
  <c r="M25" i="1"/>
  <c r="O6" i="13"/>
  <c r="O154" i="28" s="1"/>
  <c r="F125" i="1"/>
  <c r="O3" i="20"/>
  <c r="O143" i="1" s="1"/>
  <c r="O14" i="6"/>
  <c r="O6" i="6" s="1"/>
  <c r="O50" i="3"/>
  <c r="O42" i="14"/>
  <c r="E125" i="1"/>
  <c r="O6" i="20"/>
  <c r="O8" i="20" s="1"/>
  <c r="O188" i="28" s="1"/>
  <c r="D3" i="29"/>
  <c r="N47" i="1"/>
  <c r="L25" i="1"/>
  <c r="N41" i="1"/>
  <c r="E3" i="29"/>
  <c r="M41" i="1"/>
  <c r="L119" i="1"/>
  <c r="D159" i="28"/>
  <c r="D183" i="28"/>
  <c r="O4" i="23"/>
  <c r="O101" i="29" s="1"/>
  <c r="D36" i="1"/>
  <c r="O6" i="23"/>
  <c r="O8" i="23" s="1"/>
  <c r="O116" i="28" s="1"/>
  <c r="G4" i="4"/>
  <c r="G37" i="28" s="1"/>
  <c r="D113" i="1"/>
  <c r="D107" i="1"/>
  <c r="H25" i="1"/>
  <c r="O18" i="4"/>
  <c r="O6" i="4" s="1"/>
  <c r="O8" i="4" s="1"/>
  <c r="O41" i="28" s="1"/>
  <c r="G6" i="19"/>
  <c r="K4" i="4"/>
  <c r="K37" i="28" s="1"/>
  <c r="G8" i="15"/>
  <c r="G9" i="15" s="1"/>
  <c r="G173" i="28" s="1"/>
  <c r="G12" i="28"/>
  <c r="F21" i="28"/>
  <c r="M47" i="1"/>
  <c r="N149" i="1"/>
  <c r="L4" i="4"/>
  <c r="L37" i="28" s="1"/>
  <c r="F6" i="27"/>
  <c r="E151" i="28"/>
  <c r="F6" i="10"/>
  <c r="O6" i="24"/>
  <c r="O8" i="24" s="1"/>
  <c r="O108" i="28" s="1"/>
  <c r="O6" i="25"/>
  <c r="O194" i="28" s="1"/>
  <c r="M4" i="4"/>
  <c r="M37" i="28" s="1"/>
  <c r="O3" i="27"/>
  <c r="O61" i="28" s="1"/>
  <c r="O4" i="27"/>
  <c r="O62" i="28" s="1"/>
  <c r="O6" i="26"/>
  <c r="O8" i="26" s="1"/>
  <c r="O132" i="28" s="1"/>
  <c r="K12" i="28"/>
  <c r="O38" i="14"/>
  <c r="O6" i="19"/>
  <c r="O8" i="19" s="1"/>
  <c r="O91" i="28" s="1"/>
  <c r="G6" i="14"/>
  <c r="G162" i="28" s="1"/>
  <c r="O6" i="17"/>
  <c r="O8" i="17" s="1"/>
  <c r="O100" i="28" s="1"/>
  <c r="G119" i="1"/>
  <c r="D11" i="29"/>
  <c r="F11" i="29"/>
  <c r="C33" i="1"/>
  <c r="J125" i="1"/>
  <c r="F25" i="1"/>
  <c r="E25" i="1"/>
  <c r="O4" i="22"/>
  <c r="O77" i="29" s="1"/>
  <c r="N12" i="28"/>
  <c r="D41" i="1"/>
  <c r="F119" i="1"/>
  <c r="O3" i="26"/>
  <c r="O101" i="1" s="1"/>
  <c r="M12" i="28"/>
  <c r="F167" i="28"/>
  <c r="N33" i="1"/>
  <c r="H131" i="1"/>
  <c r="G137" i="1"/>
  <c r="E143" i="1"/>
  <c r="O4" i="20"/>
  <c r="O184" i="28" s="1"/>
  <c r="G11" i="29"/>
  <c r="I3" i="29"/>
  <c r="L12" i="28"/>
  <c r="D167" i="28"/>
  <c r="O6" i="8"/>
  <c r="O7" i="8" s="1"/>
  <c r="O74" i="28" s="1"/>
  <c r="K4" i="12"/>
  <c r="K144" i="28" s="1"/>
  <c r="O46" i="14"/>
  <c r="H6" i="14"/>
  <c r="H162" i="28" s="1"/>
  <c r="M11" i="29"/>
  <c r="O4" i="19"/>
  <c r="O73" i="1" s="1"/>
  <c r="F143" i="28"/>
  <c r="I4" i="12"/>
  <c r="I144" i="28" s="1"/>
  <c r="O52" i="12"/>
  <c r="O68" i="12"/>
  <c r="O84" i="12"/>
  <c r="H12" i="28"/>
  <c r="G167" i="28"/>
  <c r="O8" i="16"/>
  <c r="O180" i="28" s="1"/>
  <c r="E11" i="29"/>
  <c r="O3" i="10"/>
  <c r="O199" i="28" s="1"/>
  <c r="F143" i="1"/>
  <c r="O4" i="24"/>
  <c r="O95" i="29" s="1"/>
  <c r="E4" i="4"/>
  <c r="E37" i="28" s="1"/>
  <c r="N4" i="4"/>
  <c r="N37" i="28" s="1"/>
  <c r="O4" i="26"/>
  <c r="O103" i="1" s="1"/>
  <c r="O30" i="14"/>
  <c r="G6" i="3"/>
  <c r="G30" i="28" s="1"/>
  <c r="G6" i="27"/>
  <c r="G64" i="28" s="1"/>
  <c r="H11" i="29"/>
  <c r="O3" i="5"/>
  <c r="O45" i="28" s="1"/>
  <c r="F6" i="6"/>
  <c r="C25" i="1"/>
  <c r="F16" i="1"/>
  <c r="O6" i="10"/>
  <c r="O8" i="10" s="1"/>
  <c r="O204" i="28" s="1"/>
  <c r="D8" i="13"/>
  <c r="D9" i="13" s="1"/>
  <c r="D157" i="28" s="1"/>
  <c r="E137" i="1"/>
  <c r="F6" i="26"/>
  <c r="O26" i="27"/>
  <c r="O6" i="27" s="1"/>
  <c r="G6" i="8"/>
  <c r="O78" i="9"/>
  <c r="O6" i="9" s="1"/>
  <c r="O8" i="9" s="1"/>
  <c r="O124" i="28" s="1"/>
  <c r="I11" i="29"/>
  <c r="J11" i="29"/>
  <c r="J12" i="28"/>
  <c r="E12" i="28"/>
  <c r="N11" i="29"/>
  <c r="G25" i="1"/>
  <c r="F47" i="1"/>
  <c r="J119" i="1"/>
  <c r="H21" i="28"/>
  <c r="O6" i="22"/>
  <c r="O8" i="22" s="1"/>
  <c r="O83" i="28" s="1"/>
  <c r="M4" i="12"/>
  <c r="M144" i="28" s="1"/>
  <c r="M33" i="1"/>
  <c r="G16" i="1"/>
  <c r="D119" i="1"/>
  <c r="F137" i="1"/>
  <c r="N25" i="1"/>
  <c r="E16" i="1"/>
  <c r="O6" i="5"/>
  <c r="O8" i="5" s="1"/>
  <c r="O50" i="28" s="1"/>
  <c r="O3" i="17"/>
  <c r="G107" i="1"/>
  <c r="E131" i="1"/>
  <c r="D137" i="1"/>
  <c r="D4" i="4"/>
  <c r="D37" i="28" s="1"/>
  <c r="F6" i="3"/>
  <c r="O14" i="14"/>
  <c r="L3" i="29"/>
  <c r="C8" i="19"/>
  <c r="C9" i="19" s="1"/>
  <c r="C92" i="28" s="1"/>
  <c r="I12" i="28"/>
  <c r="D12" i="28"/>
  <c r="J4" i="12"/>
  <c r="J144" i="28" s="1"/>
  <c r="K3" i="29"/>
  <c r="O32" i="12"/>
  <c r="O36" i="4"/>
  <c r="E47" i="1"/>
  <c r="K25" i="1"/>
  <c r="I119" i="1"/>
  <c r="H143" i="28"/>
  <c r="L4" i="12"/>
  <c r="L144" i="28" s="1"/>
  <c r="O56" i="12"/>
  <c r="O72" i="12"/>
  <c r="O88" i="12"/>
  <c r="D47" i="1"/>
  <c r="O3" i="9"/>
  <c r="O105" i="29" s="1"/>
  <c r="F6" i="11"/>
  <c r="H119" i="1"/>
  <c r="I125" i="1"/>
  <c r="N3" i="29"/>
  <c r="D8" i="27"/>
  <c r="G143" i="28"/>
  <c r="O18" i="3"/>
  <c r="O3" i="6"/>
  <c r="O53" i="28" s="1"/>
  <c r="D25" i="1"/>
  <c r="H59" i="1"/>
  <c r="F3" i="29"/>
  <c r="H135" i="28"/>
  <c r="F6" i="14"/>
  <c r="O40" i="12"/>
  <c r="O76" i="12"/>
  <c r="O3" i="11"/>
  <c r="O135" i="28" s="1"/>
  <c r="I113" i="1"/>
  <c r="O68" i="5"/>
  <c r="E4" i="12"/>
  <c r="E144" i="28" s="1"/>
  <c r="G59" i="1"/>
  <c r="G143" i="1"/>
  <c r="C4" i="4"/>
  <c r="C37" i="28" s="1"/>
  <c r="O3" i="4"/>
  <c r="O36" i="28" s="1"/>
  <c r="O60" i="12"/>
  <c r="F4" i="12"/>
  <c r="F144" i="28" s="1"/>
  <c r="O44" i="12"/>
  <c r="O64" i="12"/>
  <c r="O80" i="12"/>
  <c r="O96" i="12"/>
  <c r="D33" i="1"/>
  <c r="E59" i="1"/>
  <c r="H143" i="1"/>
  <c r="O3" i="24"/>
  <c r="O83" i="1" s="1"/>
  <c r="G149" i="1"/>
  <c r="O36" i="3"/>
  <c r="O4" i="3" s="1"/>
  <c r="H8" i="15"/>
  <c r="H9" i="15" s="1"/>
  <c r="H173" i="28" s="1"/>
  <c r="N4" i="12"/>
  <c r="N144" i="28" s="1"/>
  <c r="O92" i="12"/>
  <c r="H6" i="8"/>
  <c r="H73" i="28" s="1"/>
  <c r="G4" i="12"/>
  <c r="G144" i="28" s="1"/>
  <c r="O3" i="8"/>
  <c r="O70" i="28" s="1"/>
  <c r="M149" i="1"/>
  <c r="O28" i="12"/>
  <c r="O32" i="4"/>
  <c r="I73" i="28"/>
  <c r="O36" i="12"/>
  <c r="H4" i="12"/>
  <c r="H144" i="28" s="1"/>
  <c r="M131" i="1"/>
  <c r="O3" i="16"/>
  <c r="O175" i="28" s="1"/>
  <c r="J3" i="29"/>
  <c r="F191" i="28"/>
  <c r="L33" i="1"/>
  <c r="H8" i="24"/>
  <c r="H108" i="28" s="1"/>
  <c r="E8" i="26"/>
  <c r="E132" i="28" s="1"/>
  <c r="G8" i="24"/>
  <c r="G9" i="24" s="1"/>
  <c r="G109" i="28" s="1"/>
  <c r="E8" i="16"/>
  <c r="E9" i="16" s="1"/>
  <c r="E181" i="28" s="1"/>
  <c r="N16" i="1"/>
  <c r="K33" i="1"/>
  <c r="L125" i="1"/>
  <c r="I7" i="12"/>
  <c r="I117" i="1" s="1"/>
  <c r="G33" i="1"/>
  <c r="D8" i="24"/>
  <c r="D9" i="24" s="1"/>
  <c r="D109" i="28" s="1"/>
  <c r="I8" i="15"/>
  <c r="I9" i="15" s="1"/>
  <c r="I173" i="28" s="1"/>
  <c r="F33" i="1"/>
  <c r="M16" i="1"/>
  <c r="L137" i="1"/>
  <c r="C8" i="26"/>
  <c r="C9" i="26" s="1"/>
  <c r="C133" i="28" s="1"/>
  <c r="H8" i="12"/>
  <c r="N175" i="28"/>
  <c r="G41" i="1"/>
  <c r="E33" i="1"/>
  <c r="L16" i="1"/>
  <c r="M59" i="1"/>
  <c r="L107" i="1"/>
  <c r="J137" i="1"/>
  <c r="J143" i="1"/>
  <c r="C7" i="11"/>
  <c r="M175" i="28"/>
  <c r="M125" i="1"/>
  <c r="J33" i="1"/>
  <c r="I33" i="1"/>
  <c r="D8" i="23"/>
  <c r="I53" i="28"/>
  <c r="L70" i="28"/>
  <c r="N151" i="28"/>
  <c r="J41" i="1"/>
  <c r="K70" i="28"/>
  <c r="M151" i="28"/>
  <c r="I41" i="1"/>
  <c r="N59" i="1"/>
  <c r="I7" i="15"/>
  <c r="I135" i="1" s="1"/>
  <c r="J16" i="1"/>
  <c r="J107" i="1"/>
  <c r="I137" i="1"/>
  <c r="L143" i="1"/>
  <c r="F8" i="13"/>
  <c r="I191" i="28"/>
  <c r="E41" i="1"/>
  <c r="I16" i="1"/>
  <c r="C41" i="1"/>
  <c r="I107" i="1"/>
  <c r="H137" i="1"/>
  <c r="M143" i="1"/>
  <c r="H149" i="1"/>
  <c r="E8" i="13"/>
  <c r="E9" i="13" s="1"/>
  <c r="E157" i="28" s="1"/>
  <c r="I194" i="28"/>
  <c r="L41" i="1"/>
  <c r="N107" i="1"/>
  <c r="I143" i="1"/>
  <c r="J47" i="1"/>
  <c r="F41" i="1"/>
  <c r="G47" i="1"/>
  <c r="H16" i="1"/>
  <c r="G19" i="1"/>
  <c r="I59" i="1"/>
  <c r="L149" i="1"/>
  <c r="E8" i="27"/>
  <c r="L143" i="28"/>
  <c r="J167" i="28"/>
  <c r="C9" i="25"/>
  <c r="C197" i="28" s="1"/>
  <c r="C196" i="28"/>
  <c r="K149" i="1"/>
  <c r="K191" i="28"/>
  <c r="K107" i="1"/>
  <c r="K135" i="28"/>
  <c r="D8" i="10"/>
  <c r="C8" i="10"/>
  <c r="E8" i="10"/>
  <c r="C7" i="10"/>
  <c r="C98" i="1"/>
  <c r="D8" i="22"/>
  <c r="C8" i="22"/>
  <c r="E8" i="22"/>
  <c r="C7" i="22"/>
  <c r="C69" i="1" s="1"/>
  <c r="F8" i="22"/>
  <c r="G8" i="22"/>
  <c r="H8" i="22"/>
  <c r="G8" i="13"/>
  <c r="H8" i="13"/>
  <c r="I8" i="13"/>
  <c r="C8" i="13"/>
  <c r="C7" i="13"/>
  <c r="C7" i="20"/>
  <c r="C147" i="1" s="1"/>
  <c r="D8" i="20"/>
  <c r="I8" i="20"/>
  <c r="E8" i="20"/>
  <c r="G8" i="23"/>
  <c r="H8" i="23"/>
  <c r="E8" i="23"/>
  <c r="C7" i="23"/>
  <c r="C93" i="1" s="1"/>
  <c r="F8" i="23"/>
  <c r="I8" i="23"/>
  <c r="F8" i="19"/>
  <c r="I8" i="25"/>
  <c r="G8" i="25"/>
  <c r="H8" i="25"/>
  <c r="K143" i="28"/>
  <c r="K113" i="1"/>
  <c r="H45" i="28"/>
  <c r="H41" i="1"/>
  <c r="E8" i="25"/>
  <c r="I186" i="28"/>
  <c r="I7" i="20"/>
  <c r="I187" i="28" s="1"/>
  <c r="C7" i="25"/>
  <c r="C153" i="1" s="1"/>
  <c r="K16" i="1"/>
  <c r="E8" i="24"/>
  <c r="K151" i="28"/>
  <c r="F69" i="29"/>
  <c r="F70" i="28"/>
  <c r="I7" i="14"/>
  <c r="I163" i="28" s="1"/>
  <c r="I162" i="28"/>
  <c r="C9" i="23"/>
  <c r="C117" i="28" s="1"/>
  <c r="C116" i="28"/>
  <c r="I138" i="28"/>
  <c r="I7" i="11"/>
  <c r="I139" i="28" s="1"/>
  <c r="C18" i="28"/>
  <c r="C16" i="1"/>
  <c r="L53" i="28"/>
  <c r="L47" i="1"/>
  <c r="I27" i="28"/>
  <c r="I25" i="1"/>
  <c r="E8" i="19"/>
  <c r="H8" i="20"/>
  <c r="D191" i="28"/>
  <c r="E8" i="17"/>
  <c r="F8" i="17"/>
  <c r="G8" i="17"/>
  <c r="H8" i="17"/>
  <c r="C8" i="17"/>
  <c r="I8" i="17"/>
  <c r="C7" i="17"/>
  <c r="C81" i="1" s="1"/>
  <c r="E8" i="9"/>
  <c r="C8" i="9"/>
  <c r="K143" i="1"/>
  <c r="D8" i="25"/>
  <c r="F8" i="24"/>
  <c r="K131" i="1"/>
  <c r="F8" i="16"/>
  <c r="E8" i="8"/>
  <c r="F8" i="8"/>
  <c r="C8" i="8"/>
  <c r="C9" i="8" s="1"/>
  <c r="C76" i="28" s="1"/>
  <c r="F73" i="28"/>
  <c r="F72" i="29"/>
  <c r="K175" i="28"/>
  <c r="C8" i="6"/>
  <c r="C7" i="6"/>
  <c r="C57" i="28" s="1"/>
  <c r="H33" i="1"/>
  <c r="D8" i="15"/>
  <c r="C8" i="15"/>
  <c r="E8" i="15"/>
  <c r="C7" i="15"/>
  <c r="C135" i="1" s="1"/>
  <c r="F8" i="15"/>
  <c r="N183" i="28"/>
  <c r="N143" i="1"/>
  <c r="N143" i="28"/>
  <c r="N113" i="1"/>
  <c r="K53" i="28"/>
  <c r="K47" i="1"/>
  <c r="K45" i="28"/>
  <c r="K41" i="1"/>
  <c r="J27" i="28"/>
  <c r="J25" i="1"/>
  <c r="G8" i="20"/>
  <c r="F59" i="1"/>
  <c r="E8" i="6"/>
  <c r="D8" i="8"/>
  <c r="D8" i="17"/>
  <c r="E8" i="11"/>
  <c r="F8" i="20"/>
  <c r="C140" i="28"/>
  <c r="I8" i="22"/>
  <c r="I7" i="16"/>
  <c r="I179" i="28" s="1"/>
  <c r="H47" i="1"/>
  <c r="H53" i="28"/>
  <c r="C9" i="20"/>
  <c r="C189" i="28" s="1"/>
  <c r="C188" i="28"/>
  <c r="K125" i="1"/>
  <c r="I8" i="16"/>
  <c r="C7" i="16"/>
  <c r="D8" i="16"/>
  <c r="G8" i="16"/>
  <c r="H8" i="16"/>
  <c r="C8" i="16"/>
  <c r="F71" i="28"/>
  <c r="F71" i="29"/>
  <c r="J59" i="1"/>
  <c r="D8" i="12"/>
  <c r="E8" i="12"/>
  <c r="I8" i="12"/>
  <c r="F8" i="12"/>
  <c r="G8" i="12"/>
  <c r="N125" i="1"/>
  <c r="N159" i="28"/>
  <c r="D8" i="14"/>
  <c r="E8" i="14"/>
  <c r="C8" i="14"/>
  <c r="C7" i="14"/>
  <c r="D8" i="6"/>
  <c r="C8" i="12"/>
  <c r="D8" i="9"/>
  <c r="D8" i="11"/>
  <c r="F8" i="25"/>
  <c r="C7" i="26"/>
  <c r="C131" i="28" s="1"/>
  <c r="D8" i="26"/>
  <c r="M135" i="28"/>
  <c r="I8" i="24"/>
  <c r="M143" i="28"/>
  <c r="I7" i="6"/>
  <c r="I57" i="28" s="1"/>
  <c r="I56" i="28"/>
  <c r="I154" i="28"/>
  <c r="I7" i="13"/>
  <c r="I155" i="28" s="1"/>
  <c r="J191" i="28"/>
  <c r="J149" i="1"/>
  <c r="C8" i="24"/>
  <c r="I167" i="28"/>
  <c r="I64" i="28"/>
  <c r="I202" i="28"/>
  <c r="D8" i="19"/>
  <c r="C64" i="28"/>
  <c r="C21" i="28"/>
  <c r="C8" i="7"/>
  <c r="C7" i="7"/>
  <c r="C22" i="28" s="1"/>
  <c r="D8" i="7"/>
  <c r="E8" i="7"/>
  <c r="I7" i="7"/>
  <c r="I22" i="28" s="1"/>
  <c r="I21" i="28"/>
  <c r="C7" i="4"/>
  <c r="C40" i="28" s="1"/>
  <c r="C39" i="28"/>
  <c r="C8" i="4"/>
  <c r="D8" i="4"/>
  <c r="E8" i="4"/>
  <c r="F8" i="4"/>
  <c r="G8" i="4"/>
  <c r="I7" i="4"/>
  <c r="I40" i="28" s="1"/>
  <c r="I39" i="28"/>
  <c r="I7" i="5"/>
  <c r="I49" i="28" s="1"/>
  <c r="I48" i="28"/>
  <c r="G48" i="28"/>
  <c r="G7" i="5"/>
  <c r="G49" i="28" s="1"/>
  <c r="I8" i="5"/>
  <c r="C48" i="28"/>
  <c r="D8" i="5"/>
  <c r="E8" i="5"/>
  <c r="F8" i="5"/>
  <c r="G8" i="5"/>
  <c r="H8" i="5"/>
  <c r="C8" i="5"/>
  <c r="C7" i="5"/>
  <c r="C49" i="28" s="1"/>
  <c r="C30" i="28"/>
  <c r="C8" i="3"/>
  <c r="C7" i="3"/>
  <c r="C31" i="28" s="1"/>
  <c r="D8" i="3"/>
  <c r="E8" i="3"/>
  <c r="I7" i="3"/>
  <c r="I31" i="28" s="1"/>
  <c r="I30" i="28"/>
  <c r="H6" i="3"/>
  <c r="H29" i="29" s="1"/>
  <c r="O34" i="1"/>
  <c r="O38" i="28"/>
  <c r="N4" i="28"/>
  <c r="M4" i="28"/>
  <c r="L4" i="28"/>
  <c r="K4" i="28"/>
  <c r="J4" i="28"/>
  <c r="I4" i="28"/>
  <c r="H4" i="28"/>
  <c r="G4" i="28"/>
  <c r="F4" i="28"/>
  <c r="E4" i="28"/>
  <c r="D4" i="28"/>
  <c r="C4" i="28"/>
  <c r="O160" i="29"/>
  <c r="O150" i="1"/>
  <c r="C161" i="29"/>
  <c r="C192" i="28"/>
  <c r="D161" i="29"/>
  <c r="E161" i="29"/>
  <c r="F161" i="29"/>
  <c r="G161" i="29"/>
  <c r="H161" i="29"/>
  <c r="I161" i="29"/>
  <c r="J161" i="29"/>
  <c r="K161" i="29"/>
  <c r="L161" i="29"/>
  <c r="M161" i="29"/>
  <c r="N161" i="29"/>
  <c r="C162" i="29"/>
  <c r="C194" i="28"/>
  <c r="D162" i="29"/>
  <c r="E162" i="29"/>
  <c r="F162" i="29"/>
  <c r="G162" i="29"/>
  <c r="H162" i="29"/>
  <c r="I162" i="29"/>
  <c r="J162" i="29"/>
  <c r="K162" i="29"/>
  <c r="L162" i="29"/>
  <c r="M162" i="29"/>
  <c r="N162" i="29"/>
  <c r="O3" i="25"/>
  <c r="O191" i="28" s="1"/>
  <c r="N159" i="29"/>
  <c r="M159" i="29"/>
  <c r="L159" i="29"/>
  <c r="K159" i="29"/>
  <c r="J159" i="29"/>
  <c r="I159" i="29"/>
  <c r="H159" i="29"/>
  <c r="G159" i="29"/>
  <c r="F159" i="29"/>
  <c r="E159" i="29"/>
  <c r="D159" i="29"/>
  <c r="C159" i="29"/>
  <c r="C191" i="28"/>
  <c r="O144" i="1"/>
  <c r="O154" i="29"/>
  <c r="C155" i="29"/>
  <c r="C184" i="28"/>
  <c r="D155" i="29"/>
  <c r="E155" i="29"/>
  <c r="F155" i="29"/>
  <c r="G155" i="29"/>
  <c r="H155" i="29"/>
  <c r="I155" i="29"/>
  <c r="J155" i="29"/>
  <c r="K155" i="29"/>
  <c r="L155" i="29"/>
  <c r="M155" i="29"/>
  <c r="N155" i="29"/>
  <c r="C156" i="29"/>
  <c r="C186" i="28"/>
  <c r="D156" i="29"/>
  <c r="E156" i="29"/>
  <c r="F156" i="29"/>
  <c r="G156" i="29"/>
  <c r="H156" i="29"/>
  <c r="I156" i="29"/>
  <c r="J156" i="29"/>
  <c r="K156" i="29"/>
  <c r="L156" i="29"/>
  <c r="M156" i="29"/>
  <c r="N156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C183" i="28"/>
  <c r="O148" i="29"/>
  <c r="F149" i="29"/>
  <c r="C150" i="29"/>
  <c r="C178" i="28"/>
  <c r="N150" i="29"/>
  <c r="M150" i="29"/>
  <c r="L150" i="29"/>
  <c r="K150" i="29"/>
  <c r="J150" i="29"/>
  <c r="I150" i="29"/>
  <c r="H150" i="29"/>
  <c r="G150" i="29"/>
  <c r="F150" i="29"/>
  <c r="E150" i="29"/>
  <c r="D150" i="29"/>
  <c r="N147" i="29"/>
  <c r="M147" i="29"/>
  <c r="L147" i="29"/>
  <c r="K147" i="29"/>
  <c r="J147" i="29"/>
  <c r="I147" i="29"/>
  <c r="H147" i="29"/>
  <c r="G147" i="29"/>
  <c r="F147" i="29"/>
  <c r="E147" i="29"/>
  <c r="D147" i="29"/>
  <c r="C147" i="29"/>
  <c r="C175" i="28"/>
  <c r="O132" i="1"/>
  <c r="O142" i="29"/>
  <c r="C144" i="29"/>
  <c r="C170" i="28"/>
  <c r="N144" i="29"/>
  <c r="M144" i="29"/>
  <c r="L144" i="29"/>
  <c r="K144" i="29"/>
  <c r="J144" i="29"/>
  <c r="I144" i="29"/>
  <c r="H144" i="29"/>
  <c r="G144" i="29"/>
  <c r="F144" i="29"/>
  <c r="E144" i="29"/>
  <c r="D144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C167" i="28"/>
  <c r="O136" i="29"/>
  <c r="C138" i="29"/>
  <c r="C162" i="28"/>
  <c r="N138" i="29"/>
  <c r="M138" i="29"/>
  <c r="L138" i="29"/>
  <c r="K138" i="29"/>
  <c r="J138" i="29"/>
  <c r="I138" i="29"/>
  <c r="E138" i="29"/>
  <c r="D138" i="29"/>
  <c r="N135" i="29"/>
  <c r="M135" i="29"/>
  <c r="L135" i="29"/>
  <c r="K135" i="29"/>
  <c r="J135" i="29"/>
  <c r="I135" i="29"/>
  <c r="H135" i="29"/>
  <c r="G135" i="29"/>
  <c r="F135" i="29"/>
  <c r="E135" i="29"/>
  <c r="D135" i="29"/>
  <c r="C135" i="29"/>
  <c r="C159" i="28"/>
  <c r="O120" i="1"/>
  <c r="O130" i="29"/>
  <c r="C132" i="29"/>
  <c r="C154" i="28"/>
  <c r="N132" i="29"/>
  <c r="M132" i="29"/>
  <c r="L132" i="29"/>
  <c r="K132" i="29"/>
  <c r="J132" i="29"/>
  <c r="I132" i="29"/>
  <c r="H132" i="29"/>
  <c r="G132" i="29"/>
  <c r="F132" i="29"/>
  <c r="E132" i="29"/>
  <c r="D132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C151" i="28"/>
  <c r="O114" i="1"/>
  <c r="O124" i="29"/>
  <c r="D4" i="12"/>
  <c r="D144" i="28" s="1"/>
  <c r="C126" i="29"/>
  <c r="C146" i="28"/>
  <c r="N126" i="29"/>
  <c r="M126" i="29"/>
  <c r="L126" i="29"/>
  <c r="K126" i="29"/>
  <c r="J126" i="29"/>
  <c r="I126" i="29"/>
  <c r="H126" i="29"/>
  <c r="G126" i="29"/>
  <c r="F126" i="29"/>
  <c r="E126" i="29"/>
  <c r="D126" i="29"/>
  <c r="N123" i="29"/>
  <c r="M123" i="29"/>
  <c r="L123" i="29"/>
  <c r="K123" i="29"/>
  <c r="J123" i="29"/>
  <c r="I123" i="29"/>
  <c r="H123" i="29"/>
  <c r="G123" i="29"/>
  <c r="F123" i="29"/>
  <c r="E123" i="29"/>
  <c r="D123" i="29"/>
  <c r="C123" i="29"/>
  <c r="C143" i="28"/>
  <c r="O118" i="29"/>
  <c r="C120" i="29"/>
  <c r="C138" i="28"/>
  <c r="N120" i="29"/>
  <c r="M120" i="29"/>
  <c r="K120" i="29"/>
  <c r="J120" i="29"/>
  <c r="I120" i="29"/>
  <c r="H120" i="29"/>
  <c r="G120" i="29"/>
  <c r="E120" i="29"/>
  <c r="D120" i="29"/>
  <c r="L120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C135" i="28"/>
  <c r="C111" i="29"/>
  <c r="C127" i="28"/>
  <c r="C101" i="1"/>
  <c r="D111" i="29"/>
  <c r="D127" i="28"/>
  <c r="D101" i="1"/>
  <c r="E101" i="1"/>
  <c r="E111" i="29"/>
  <c r="E127" i="28"/>
  <c r="F101" i="1"/>
  <c r="F111" i="29"/>
  <c r="F127" i="28"/>
  <c r="G101" i="1"/>
  <c r="G111" i="29"/>
  <c r="G127" i="28"/>
  <c r="H111" i="29"/>
  <c r="H127" i="28"/>
  <c r="H101" i="1"/>
  <c r="I111" i="29"/>
  <c r="I127" i="28"/>
  <c r="I101" i="1"/>
  <c r="J111" i="29"/>
  <c r="J127" i="28"/>
  <c r="J101" i="1"/>
  <c r="K111" i="29"/>
  <c r="K127" i="28"/>
  <c r="K101" i="1"/>
  <c r="L111" i="29"/>
  <c r="L127" i="28"/>
  <c r="L101" i="1"/>
  <c r="M111" i="29"/>
  <c r="M127" i="28"/>
  <c r="M101" i="1"/>
  <c r="N111" i="29"/>
  <c r="N127" i="28"/>
  <c r="N101" i="1"/>
  <c r="O112" i="29"/>
  <c r="O129" i="28"/>
  <c r="O102" i="1"/>
  <c r="C113" i="29"/>
  <c r="C103" i="1"/>
  <c r="D113" i="29"/>
  <c r="D128" i="28"/>
  <c r="D103" i="1"/>
  <c r="E103" i="1"/>
  <c r="E113" i="29"/>
  <c r="E128" i="28"/>
  <c r="F103" i="1"/>
  <c r="F113" i="29"/>
  <c r="F128" i="28"/>
  <c r="G103" i="1"/>
  <c r="G113" i="29"/>
  <c r="G128" i="28"/>
  <c r="H113" i="29"/>
  <c r="H128" i="28"/>
  <c r="H103" i="1"/>
  <c r="I113" i="29"/>
  <c r="I128" i="28"/>
  <c r="I103" i="1"/>
  <c r="J113" i="29"/>
  <c r="J128" i="28"/>
  <c r="J103" i="1"/>
  <c r="K113" i="29"/>
  <c r="K128" i="28"/>
  <c r="K103" i="1"/>
  <c r="L113" i="29"/>
  <c r="L128" i="28"/>
  <c r="L103" i="1"/>
  <c r="M113" i="29"/>
  <c r="M128" i="28"/>
  <c r="M103" i="1"/>
  <c r="N113" i="29"/>
  <c r="N128" i="28"/>
  <c r="N103" i="1"/>
  <c r="C114" i="29"/>
  <c r="C104" i="1"/>
  <c r="D7" i="26"/>
  <c r="D131" i="28" s="1"/>
  <c r="D114" i="29"/>
  <c r="D130" i="28"/>
  <c r="D104" i="1"/>
  <c r="E114" i="29"/>
  <c r="E130" i="28"/>
  <c r="G114" i="29"/>
  <c r="G130" i="28"/>
  <c r="H7" i="26"/>
  <c r="H131" i="28" s="1"/>
  <c r="H114" i="29"/>
  <c r="H130" i="28"/>
  <c r="H104" i="1"/>
  <c r="I114" i="29"/>
  <c r="I130" i="28"/>
  <c r="I104" i="1"/>
  <c r="J114" i="29"/>
  <c r="J130" i="28"/>
  <c r="J104" i="1"/>
  <c r="K114" i="29"/>
  <c r="K130" i="28"/>
  <c r="K104" i="1"/>
  <c r="L114" i="29"/>
  <c r="L130" i="28"/>
  <c r="L104" i="1"/>
  <c r="M114" i="29"/>
  <c r="M130" i="28"/>
  <c r="M104" i="1"/>
  <c r="N114" i="29"/>
  <c r="N130" i="28"/>
  <c r="N104" i="1"/>
  <c r="O170" i="29"/>
  <c r="O160" i="1"/>
  <c r="D161" i="1"/>
  <c r="D171" i="29"/>
  <c r="G161" i="1"/>
  <c r="G171" i="29"/>
  <c r="H161" i="1"/>
  <c r="H171" i="29"/>
  <c r="I161" i="1"/>
  <c r="I171" i="29"/>
  <c r="K161" i="1"/>
  <c r="K171" i="29"/>
  <c r="L161" i="1"/>
  <c r="L171" i="29"/>
  <c r="M161" i="1"/>
  <c r="M171" i="29"/>
  <c r="N161" i="1"/>
  <c r="N171" i="29"/>
  <c r="J161" i="1"/>
  <c r="J171" i="29"/>
  <c r="C162" i="1"/>
  <c r="C172" i="29"/>
  <c r="C202" i="28"/>
  <c r="N162" i="1"/>
  <c r="N172" i="29"/>
  <c r="M162" i="1"/>
  <c r="M172" i="29"/>
  <c r="L162" i="1"/>
  <c r="L172" i="29"/>
  <c r="K162" i="1"/>
  <c r="K172" i="29"/>
  <c r="J162" i="1"/>
  <c r="J172" i="29"/>
  <c r="I162" i="1"/>
  <c r="I172" i="29"/>
  <c r="H162" i="1"/>
  <c r="H172" i="29"/>
  <c r="G162" i="1"/>
  <c r="G172" i="29"/>
  <c r="E172" i="29"/>
  <c r="D162" i="1"/>
  <c r="D172" i="29"/>
  <c r="N159" i="1"/>
  <c r="N169" i="29"/>
  <c r="M159" i="1"/>
  <c r="M169" i="29"/>
  <c r="L159" i="1"/>
  <c r="L169" i="29"/>
  <c r="K159" i="1"/>
  <c r="K169" i="29"/>
  <c r="J159" i="1"/>
  <c r="J169" i="29"/>
  <c r="I159" i="1"/>
  <c r="I169" i="29"/>
  <c r="H159" i="1"/>
  <c r="H169" i="29"/>
  <c r="G159" i="1"/>
  <c r="G169" i="29"/>
  <c r="F159" i="1"/>
  <c r="F169" i="29"/>
  <c r="E159" i="1"/>
  <c r="E169" i="29"/>
  <c r="D159" i="1"/>
  <c r="D169" i="29"/>
  <c r="C159" i="1"/>
  <c r="C169" i="29"/>
  <c r="C199" i="28"/>
  <c r="O106" i="29"/>
  <c r="O121" i="28"/>
  <c r="F97" i="1"/>
  <c r="F107" i="29"/>
  <c r="F120" i="28"/>
  <c r="H97" i="1"/>
  <c r="H107" i="29"/>
  <c r="H120" i="28"/>
  <c r="I97" i="1"/>
  <c r="I107" i="29"/>
  <c r="I120" i="28"/>
  <c r="K107" i="29"/>
  <c r="K120" i="28"/>
  <c r="M107" i="29"/>
  <c r="M120" i="28"/>
  <c r="N107" i="29"/>
  <c r="N120" i="28"/>
  <c r="D107" i="29"/>
  <c r="D120" i="28"/>
  <c r="G97" i="1"/>
  <c r="G107" i="29"/>
  <c r="G120" i="28"/>
  <c r="J107" i="29"/>
  <c r="J120" i="28"/>
  <c r="L107" i="29"/>
  <c r="L120" i="28"/>
  <c r="N108" i="29"/>
  <c r="N122" i="28"/>
  <c r="M108" i="29"/>
  <c r="M122" i="28"/>
  <c r="L108" i="29"/>
  <c r="L122" i="28"/>
  <c r="K108" i="29"/>
  <c r="K122" i="28"/>
  <c r="J108" i="29"/>
  <c r="J122" i="28"/>
  <c r="I108" i="29"/>
  <c r="I122" i="28"/>
  <c r="H7" i="9"/>
  <c r="H99" i="1" s="1"/>
  <c r="H108" i="29"/>
  <c r="D7" i="9"/>
  <c r="D99" i="1" s="1"/>
  <c r="D108" i="29"/>
  <c r="D122" i="28"/>
  <c r="C108" i="29"/>
  <c r="C122" i="28"/>
  <c r="C97" i="1"/>
  <c r="C107" i="29"/>
  <c r="C120" i="28"/>
  <c r="N105" i="29"/>
  <c r="N119" i="28"/>
  <c r="M105" i="29"/>
  <c r="M119" i="28"/>
  <c r="L105" i="29"/>
  <c r="L119" i="28"/>
  <c r="K105" i="29"/>
  <c r="K119" i="28"/>
  <c r="J105" i="29"/>
  <c r="J119" i="28"/>
  <c r="I105" i="29"/>
  <c r="I119" i="28"/>
  <c r="H105" i="29"/>
  <c r="H119" i="28"/>
  <c r="G105" i="29"/>
  <c r="G119" i="28"/>
  <c r="F105" i="29"/>
  <c r="F119" i="28"/>
  <c r="E105" i="29"/>
  <c r="E119" i="28"/>
  <c r="D105" i="29"/>
  <c r="D119" i="28"/>
  <c r="C105" i="29"/>
  <c r="C119" i="28"/>
  <c r="E108" i="29"/>
  <c r="E122" i="28"/>
  <c r="O90" i="1"/>
  <c r="O100" i="29"/>
  <c r="O113" i="28"/>
  <c r="C101" i="29"/>
  <c r="C112" i="28"/>
  <c r="D101" i="29"/>
  <c r="D112" i="28"/>
  <c r="E101" i="29"/>
  <c r="E112" i="28"/>
  <c r="F101" i="29"/>
  <c r="F112" i="28"/>
  <c r="H101" i="29"/>
  <c r="H112" i="28"/>
  <c r="I101" i="29"/>
  <c r="I112" i="28"/>
  <c r="J101" i="29"/>
  <c r="J112" i="28"/>
  <c r="L101" i="29"/>
  <c r="L112" i="28"/>
  <c r="M101" i="29"/>
  <c r="M112" i="28"/>
  <c r="N101" i="29"/>
  <c r="N112" i="28"/>
  <c r="C102" i="29"/>
  <c r="C114" i="28"/>
  <c r="D102" i="29"/>
  <c r="D114" i="28"/>
  <c r="E102" i="29"/>
  <c r="E114" i="28"/>
  <c r="F102" i="29"/>
  <c r="F114" i="28"/>
  <c r="G102" i="29"/>
  <c r="G114" i="28"/>
  <c r="H102" i="29"/>
  <c r="H114" i="28"/>
  <c r="I102" i="29"/>
  <c r="I114" i="28"/>
  <c r="J102" i="29"/>
  <c r="J114" i="28"/>
  <c r="K102" i="29"/>
  <c r="K114" i="28"/>
  <c r="L102" i="29"/>
  <c r="L114" i="28"/>
  <c r="M102" i="29"/>
  <c r="M114" i="28"/>
  <c r="N102" i="29"/>
  <c r="N114" i="28"/>
  <c r="N99" i="29"/>
  <c r="N111" i="28"/>
  <c r="M99" i="29"/>
  <c r="M111" i="28"/>
  <c r="L99" i="29"/>
  <c r="L111" i="28"/>
  <c r="K99" i="29"/>
  <c r="K111" i="28"/>
  <c r="J99" i="29"/>
  <c r="J111" i="28"/>
  <c r="I99" i="29"/>
  <c r="I111" i="28"/>
  <c r="H99" i="29"/>
  <c r="H111" i="28"/>
  <c r="G99" i="29"/>
  <c r="G111" i="28"/>
  <c r="F99" i="29"/>
  <c r="F111" i="28"/>
  <c r="E99" i="29"/>
  <c r="E111" i="28"/>
  <c r="D99" i="29"/>
  <c r="D111" i="28"/>
  <c r="C99" i="29"/>
  <c r="C111" i="28"/>
  <c r="O94" i="29"/>
  <c r="O105" i="28"/>
  <c r="C95" i="29"/>
  <c r="C104" i="28"/>
  <c r="D95" i="29"/>
  <c r="D104" i="28"/>
  <c r="E95" i="29"/>
  <c r="E104" i="28"/>
  <c r="F95" i="29"/>
  <c r="F104" i="28"/>
  <c r="G95" i="29"/>
  <c r="G104" i="28"/>
  <c r="H95" i="29"/>
  <c r="H104" i="28"/>
  <c r="I95" i="29"/>
  <c r="I104" i="28"/>
  <c r="J95" i="29"/>
  <c r="J104" i="28"/>
  <c r="K95" i="29"/>
  <c r="K104" i="28"/>
  <c r="L95" i="29"/>
  <c r="L104" i="28"/>
  <c r="M95" i="29"/>
  <c r="M104" i="28"/>
  <c r="N95" i="29"/>
  <c r="N104" i="28"/>
  <c r="C96" i="29"/>
  <c r="C106" i="28"/>
  <c r="D96" i="29"/>
  <c r="D106" i="28"/>
  <c r="E96" i="29"/>
  <c r="E106" i="28"/>
  <c r="F96" i="29"/>
  <c r="F106" i="28"/>
  <c r="G96" i="29"/>
  <c r="G106" i="28"/>
  <c r="H96" i="29"/>
  <c r="H106" i="28"/>
  <c r="I96" i="29"/>
  <c r="I106" i="28"/>
  <c r="J96" i="29"/>
  <c r="J106" i="28"/>
  <c r="K96" i="29"/>
  <c r="K106" i="28"/>
  <c r="L96" i="29"/>
  <c r="L106" i="28"/>
  <c r="M96" i="29"/>
  <c r="M106" i="28"/>
  <c r="N96" i="29"/>
  <c r="N106" i="28"/>
  <c r="N93" i="29"/>
  <c r="N103" i="28"/>
  <c r="M93" i="29"/>
  <c r="M103" i="28"/>
  <c r="L93" i="29"/>
  <c r="L103" i="28"/>
  <c r="K93" i="29"/>
  <c r="K103" i="28"/>
  <c r="J93" i="29"/>
  <c r="J103" i="28"/>
  <c r="I93" i="29"/>
  <c r="I103" i="28"/>
  <c r="H93" i="29"/>
  <c r="H103" i="28"/>
  <c r="G93" i="29"/>
  <c r="G103" i="28"/>
  <c r="F93" i="29"/>
  <c r="F103" i="28"/>
  <c r="E93" i="29"/>
  <c r="E103" i="28"/>
  <c r="D93" i="29"/>
  <c r="D103" i="28"/>
  <c r="C93" i="29"/>
  <c r="C103" i="28"/>
  <c r="O78" i="1"/>
  <c r="O88" i="29"/>
  <c r="O97" i="28"/>
  <c r="F79" i="1"/>
  <c r="F89" i="29"/>
  <c r="F96" i="28"/>
  <c r="G79" i="1"/>
  <c r="G89" i="29"/>
  <c r="G96" i="28"/>
  <c r="H79" i="1"/>
  <c r="H89" i="29"/>
  <c r="H96" i="28"/>
  <c r="I79" i="1"/>
  <c r="I89" i="29"/>
  <c r="I96" i="28"/>
  <c r="J89" i="29"/>
  <c r="J96" i="28"/>
  <c r="L89" i="29"/>
  <c r="L96" i="28"/>
  <c r="M89" i="29"/>
  <c r="M96" i="28"/>
  <c r="N89" i="29"/>
  <c r="N96" i="28"/>
  <c r="D79" i="1"/>
  <c r="D89" i="29"/>
  <c r="D96" i="28"/>
  <c r="K89" i="29"/>
  <c r="K96" i="28"/>
  <c r="C90" i="29"/>
  <c r="C98" i="28"/>
  <c r="N90" i="29"/>
  <c r="N98" i="28"/>
  <c r="M90" i="29"/>
  <c r="M98" i="28"/>
  <c r="L90" i="29"/>
  <c r="L98" i="28"/>
  <c r="K90" i="29"/>
  <c r="K98" i="28"/>
  <c r="J90" i="29"/>
  <c r="J98" i="28"/>
  <c r="I90" i="29"/>
  <c r="I98" i="28"/>
  <c r="H90" i="29"/>
  <c r="H98" i="28"/>
  <c r="G90" i="29"/>
  <c r="G98" i="28"/>
  <c r="F90" i="29"/>
  <c r="F98" i="28"/>
  <c r="E90" i="29"/>
  <c r="E98" i="28"/>
  <c r="D90" i="29"/>
  <c r="D98" i="28"/>
  <c r="N87" i="29"/>
  <c r="N95" i="28"/>
  <c r="M87" i="29"/>
  <c r="M95" i="28"/>
  <c r="L87" i="29"/>
  <c r="L95" i="28"/>
  <c r="K87" i="29"/>
  <c r="K95" i="28"/>
  <c r="J87" i="29"/>
  <c r="J95" i="28"/>
  <c r="I87" i="29"/>
  <c r="I95" i="28"/>
  <c r="H87" i="29"/>
  <c r="H95" i="28"/>
  <c r="G87" i="29"/>
  <c r="G95" i="28"/>
  <c r="F87" i="29"/>
  <c r="F95" i="28"/>
  <c r="E87" i="29"/>
  <c r="E95" i="28"/>
  <c r="D87" i="29"/>
  <c r="D95" i="28"/>
  <c r="C87" i="29"/>
  <c r="C95" i="28"/>
  <c r="O72" i="1"/>
  <c r="O82" i="29"/>
  <c r="O88" i="28"/>
  <c r="C83" i="29"/>
  <c r="C87" i="28"/>
  <c r="D73" i="1"/>
  <c r="D83" i="29"/>
  <c r="D87" i="28"/>
  <c r="E73" i="1"/>
  <c r="E83" i="29"/>
  <c r="E87" i="28"/>
  <c r="F73" i="1"/>
  <c r="F83" i="29"/>
  <c r="F87" i="28"/>
  <c r="G73" i="1"/>
  <c r="G83" i="29"/>
  <c r="G87" i="28"/>
  <c r="H73" i="1"/>
  <c r="H83" i="29"/>
  <c r="H87" i="28"/>
  <c r="I73" i="1"/>
  <c r="I83" i="29"/>
  <c r="I87" i="28"/>
  <c r="J73" i="1"/>
  <c r="J83" i="29"/>
  <c r="J87" i="28"/>
  <c r="K73" i="1"/>
  <c r="K83" i="29"/>
  <c r="K87" i="28"/>
  <c r="L73" i="1"/>
  <c r="L83" i="29"/>
  <c r="L87" i="28"/>
  <c r="M73" i="1"/>
  <c r="M83" i="29"/>
  <c r="M87" i="28"/>
  <c r="N73" i="1"/>
  <c r="N83" i="29"/>
  <c r="N87" i="28"/>
  <c r="C84" i="29"/>
  <c r="C89" i="28"/>
  <c r="D84" i="29"/>
  <c r="D89" i="28"/>
  <c r="E84" i="29"/>
  <c r="E89" i="28"/>
  <c r="F84" i="29"/>
  <c r="F89" i="28"/>
  <c r="H84" i="29"/>
  <c r="H89" i="28"/>
  <c r="I84" i="29"/>
  <c r="I89" i="28"/>
  <c r="J84" i="29"/>
  <c r="J89" i="28"/>
  <c r="K84" i="29"/>
  <c r="K89" i="28"/>
  <c r="L84" i="29"/>
  <c r="L89" i="28"/>
  <c r="M84" i="29"/>
  <c r="M89" i="28"/>
  <c r="N84" i="29"/>
  <c r="N89" i="28"/>
  <c r="N81" i="29"/>
  <c r="N86" i="28"/>
  <c r="M81" i="29"/>
  <c r="M86" i="28"/>
  <c r="L81" i="29"/>
  <c r="L86" i="28"/>
  <c r="K81" i="29"/>
  <c r="K86" i="28"/>
  <c r="J81" i="29"/>
  <c r="J86" i="28"/>
  <c r="I81" i="29"/>
  <c r="I86" i="28"/>
  <c r="H81" i="29"/>
  <c r="H86" i="28"/>
  <c r="G81" i="29"/>
  <c r="G86" i="28"/>
  <c r="F81" i="29"/>
  <c r="F86" i="28"/>
  <c r="E81" i="29"/>
  <c r="E86" i="28"/>
  <c r="D81" i="29"/>
  <c r="D86" i="28"/>
  <c r="C81" i="29"/>
  <c r="C86" i="28"/>
  <c r="O76" i="29"/>
  <c r="O80" i="28"/>
  <c r="O66" i="1"/>
  <c r="C77" i="29"/>
  <c r="C79" i="28"/>
  <c r="D77" i="29"/>
  <c r="D79" i="28"/>
  <c r="E77" i="29"/>
  <c r="E79" i="28"/>
  <c r="F77" i="29"/>
  <c r="F79" i="28"/>
  <c r="G77" i="29"/>
  <c r="G79" i="28"/>
  <c r="H77" i="29"/>
  <c r="H79" i="28"/>
  <c r="I77" i="29"/>
  <c r="I79" i="28"/>
  <c r="J77" i="29"/>
  <c r="J79" i="28"/>
  <c r="K77" i="29"/>
  <c r="K79" i="28"/>
  <c r="L77" i="29"/>
  <c r="L79" i="28"/>
  <c r="M77" i="29"/>
  <c r="M79" i="28"/>
  <c r="N77" i="29"/>
  <c r="N79" i="28"/>
  <c r="C78" i="29"/>
  <c r="C81" i="28"/>
  <c r="D78" i="29"/>
  <c r="D81" i="28"/>
  <c r="E78" i="29"/>
  <c r="E81" i="28"/>
  <c r="F78" i="29"/>
  <c r="F81" i="28"/>
  <c r="G78" i="29"/>
  <c r="G81" i="28"/>
  <c r="H78" i="29"/>
  <c r="H81" i="28"/>
  <c r="I78" i="29"/>
  <c r="I81" i="28"/>
  <c r="J78" i="29"/>
  <c r="J81" i="28"/>
  <c r="K78" i="29"/>
  <c r="K81" i="28"/>
  <c r="L78" i="29"/>
  <c r="L81" i="28"/>
  <c r="M78" i="29"/>
  <c r="M81" i="28"/>
  <c r="N78" i="29"/>
  <c r="N81" i="28"/>
  <c r="O3" i="22"/>
  <c r="N75" i="29"/>
  <c r="N78" i="28"/>
  <c r="M75" i="29"/>
  <c r="M78" i="28"/>
  <c r="L75" i="29"/>
  <c r="L78" i="28"/>
  <c r="K75" i="29"/>
  <c r="K78" i="28"/>
  <c r="J75" i="29"/>
  <c r="J78" i="28"/>
  <c r="I75" i="29"/>
  <c r="I78" i="28"/>
  <c r="H75" i="29"/>
  <c r="H78" i="28"/>
  <c r="G75" i="29"/>
  <c r="G78" i="28"/>
  <c r="F75" i="29"/>
  <c r="F78" i="28"/>
  <c r="E75" i="29"/>
  <c r="E78" i="28"/>
  <c r="D75" i="29"/>
  <c r="D78" i="28"/>
  <c r="C75" i="29"/>
  <c r="C78" i="28"/>
  <c r="O70" i="29"/>
  <c r="D71" i="29"/>
  <c r="E71" i="29"/>
  <c r="I71" i="29"/>
  <c r="J71" i="29"/>
  <c r="K71" i="29"/>
  <c r="L71" i="29"/>
  <c r="M71" i="29"/>
  <c r="N71" i="29"/>
  <c r="C72" i="29"/>
  <c r="N72" i="29"/>
  <c r="M72" i="29"/>
  <c r="L72" i="29"/>
  <c r="K72" i="29"/>
  <c r="J72" i="29"/>
  <c r="I72" i="29"/>
  <c r="E72" i="29"/>
  <c r="D72" i="29"/>
  <c r="N69" i="29"/>
  <c r="M69" i="29"/>
  <c r="L69" i="29"/>
  <c r="K69" i="29"/>
  <c r="J69" i="29"/>
  <c r="I69" i="29"/>
  <c r="H69" i="29"/>
  <c r="G69" i="29"/>
  <c r="E69" i="29"/>
  <c r="D69" i="29"/>
  <c r="C69" i="29"/>
  <c r="C60" i="29"/>
  <c r="C53" i="1"/>
  <c r="D60" i="29"/>
  <c r="D53" i="1"/>
  <c r="E53" i="1"/>
  <c r="E60" i="29"/>
  <c r="F53" i="1"/>
  <c r="F60" i="29"/>
  <c r="G53" i="1"/>
  <c r="G60" i="29"/>
  <c r="H53" i="1"/>
  <c r="H60" i="29"/>
  <c r="I60" i="29"/>
  <c r="I53" i="1"/>
  <c r="J60" i="29"/>
  <c r="J53" i="1"/>
  <c r="K60" i="29"/>
  <c r="K53" i="1"/>
  <c r="L60" i="29"/>
  <c r="L53" i="1"/>
  <c r="M60" i="29"/>
  <c r="M53" i="1"/>
  <c r="N60" i="29"/>
  <c r="N53" i="1"/>
  <c r="O61" i="29"/>
  <c r="O54" i="1"/>
  <c r="C62" i="29"/>
  <c r="C55" i="1"/>
  <c r="D62" i="29"/>
  <c r="D55" i="1"/>
  <c r="E55" i="1"/>
  <c r="E62" i="29"/>
  <c r="F55" i="1"/>
  <c r="F62" i="29"/>
  <c r="G55" i="1"/>
  <c r="G62" i="29"/>
  <c r="H55" i="1"/>
  <c r="H62" i="29"/>
  <c r="I62" i="29"/>
  <c r="I55" i="1"/>
  <c r="J62" i="29"/>
  <c r="J55" i="1"/>
  <c r="K62" i="29"/>
  <c r="K55" i="1"/>
  <c r="L62" i="29"/>
  <c r="L55" i="1"/>
  <c r="M62" i="29"/>
  <c r="M55" i="1"/>
  <c r="N62" i="29"/>
  <c r="N55" i="1"/>
  <c r="C63" i="29"/>
  <c r="C65" i="29" s="1"/>
  <c r="C66" i="29" s="1"/>
  <c r="C56" i="1"/>
  <c r="D7" i="27"/>
  <c r="D65" i="28" s="1"/>
  <c r="D63" i="29"/>
  <c r="D56" i="1"/>
  <c r="E63" i="29"/>
  <c r="H63" i="29"/>
  <c r="I63" i="29"/>
  <c r="I56" i="1"/>
  <c r="J63" i="29"/>
  <c r="J56" i="1"/>
  <c r="K63" i="29"/>
  <c r="K56" i="1"/>
  <c r="L63" i="29"/>
  <c r="L56" i="1"/>
  <c r="M63" i="29"/>
  <c r="M56" i="1"/>
  <c r="N63" i="29"/>
  <c r="N56" i="1"/>
  <c r="D54" i="29"/>
  <c r="E54" i="29"/>
  <c r="F54" i="29"/>
  <c r="G54" i="29"/>
  <c r="H54" i="29"/>
  <c r="I54" i="29"/>
  <c r="J54" i="29"/>
  <c r="K54" i="29"/>
  <c r="L54" i="29"/>
  <c r="M54" i="29"/>
  <c r="N54" i="29"/>
  <c r="C55" i="29"/>
  <c r="C57" i="29" s="1"/>
  <c r="C58" i="29" s="1"/>
  <c r="N55" i="29"/>
  <c r="M55" i="29"/>
  <c r="L55" i="29"/>
  <c r="K55" i="29"/>
  <c r="J55" i="29"/>
  <c r="I55" i="29"/>
  <c r="H55" i="29"/>
  <c r="G55" i="29"/>
  <c r="E55" i="29"/>
  <c r="D55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J46" i="29"/>
  <c r="K46" i="29"/>
  <c r="L46" i="29"/>
  <c r="M46" i="29"/>
  <c r="N46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C46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C37" i="29"/>
  <c r="C39" i="29" s="1"/>
  <c r="C40" i="29" s="1"/>
  <c r="N37" i="29"/>
  <c r="M37" i="29"/>
  <c r="L37" i="29"/>
  <c r="K37" i="29"/>
  <c r="J37" i="29"/>
  <c r="I37" i="29"/>
  <c r="G37" i="29"/>
  <c r="F37" i="29"/>
  <c r="E37" i="29"/>
  <c r="D7" i="4"/>
  <c r="D40" i="28" s="1"/>
  <c r="D37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L28" i="29"/>
  <c r="K28" i="29"/>
  <c r="J28" i="29"/>
  <c r="I28" i="29"/>
  <c r="H28" i="29"/>
  <c r="G28" i="29"/>
  <c r="F28" i="29"/>
  <c r="E28" i="29"/>
  <c r="D28" i="29"/>
  <c r="D26" i="29"/>
  <c r="E26" i="29"/>
  <c r="F26" i="29"/>
  <c r="G26" i="29"/>
  <c r="H26" i="29"/>
  <c r="I26" i="29"/>
  <c r="J26" i="29"/>
  <c r="K26" i="29"/>
  <c r="L26" i="29"/>
  <c r="M26" i="29"/>
  <c r="N26" i="29"/>
  <c r="C29" i="29"/>
  <c r="C31" i="29" s="1"/>
  <c r="C32" i="29" s="1"/>
  <c r="D29" i="29"/>
  <c r="D7" i="3"/>
  <c r="E29" i="29"/>
  <c r="I29" i="29"/>
  <c r="J29" i="29"/>
  <c r="K29" i="29"/>
  <c r="L29" i="29"/>
  <c r="M29" i="29"/>
  <c r="N29" i="29"/>
  <c r="C28" i="29"/>
  <c r="C26" i="29"/>
  <c r="O18" i="29"/>
  <c r="E19" i="29"/>
  <c r="H19" i="29"/>
  <c r="J19" i="29"/>
  <c r="K19" i="29"/>
  <c r="L19" i="29"/>
  <c r="M19" i="29"/>
  <c r="N19" i="29"/>
  <c r="C20" i="29"/>
  <c r="N20" i="29"/>
  <c r="M20" i="29"/>
  <c r="L20" i="29"/>
  <c r="K20" i="29"/>
  <c r="J20" i="29"/>
  <c r="I20" i="29"/>
  <c r="E20" i="29"/>
  <c r="D20" i="29"/>
  <c r="G7" i="7"/>
  <c r="G20" i="29"/>
  <c r="N17" i="29"/>
  <c r="M17" i="29"/>
  <c r="L17" i="29"/>
  <c r="K17" i="29"/>
  <c r="J17" i="29"/>
  <c r="I17" i="29"/>
  <c r="H17" i="29"/>
  <c r="G17" i="29"/>
  <c r="F17" i="29"/>
  <c r="E17" i="29"/>
  <c r="D16" i="1"/>
  <c r="D17" i="29"/>
  <c r="C17" i="29"/>
  <c r="C3" i="29"/>
  <c r="C11" i="29"/>
  <c r="C12" i="28"/>
  <c r="F12" i="28"/>
  <c r="H7" i="27"/>
  <c r="H65" i="28" s="1"/>
  <c r="H56" i="1"/>
  <c r="G7" i="26"/>
  <c r="G131" i="28" s="1"/>
  <c r="G104" i="1"/>
  <c r="D10" i="1"/>
  <c r="D3" i="1" s="1"/>
  <c r="N10" i="1"/>
  <c r="N3" i="1" s="1"/>
  <c r="M10" i="1"/>
  <c r="M3" i="1" s="1"/>
  <c r="L10" i="1"/>
  <c r="L3" i="1" s="1"/>
  <c r="K10" i="1"/>
  <c r="K3" i="1" s="1"/>
  <c r="J10" i="1"/>
  <c r="J3" i="1" s="1"/>
  <c r="I10" i="1"/>
  <c r="I3" i="1" s="1"/>
  <c r="H10" i="1"/>
  <c r="H3" i="1" s="1"/>
  <c r="G10" i="1"/>
  <c r="G3" i="1" s="1"/>
  <c r="F10" i="1"/>
  <c r="F3" i="1" s="1"/>
  <c r="E10" i="1"/>
  <c r="E3" i="1" s="1"/>
  <c r="C10" i="1"/>
  <c r="C3" i="1" s="1"/>
  <c r="E7" i="26"/>
  <c r="E131" i="28" s="1"/>
  <c r="E104" i="1"/>
  <c r="E7" i="27"/>
  <c r="E65" i="28" s="1"/>
  <c r="E56" i="1"/>
  <c r="E7" i="10"/>
  <c r="E203" i="28" s="1"/>
  <c r="E162" i="1"/>
  <c r="O3" i="3"/>
  <c r="O27" i="28" s="1"/>
  <c r="O3" i="15"/>
  <c r="O167" i="28" s="1"/>
  <c r="O3" i="14"/>
  <c r="O159" i="28" s="1"/>
  <c r="O3" i="13"/>
  <c r="O151" i="28" s="1"/>
  <c r="O3" i="12"/>
  <c r="O143" i="28" s="1"/>
  <c r="O3" i="23"/>
  <c r="O3" i="19"/>
  <c r="O3" i="7"/>
  <c r="O18" i="28" s="1"/>
  <c r="C80" i="1"/>
  <c r="N80" i="1"/>
  <c r="M80" i="1"/>
  <c r="J80" i="1"/>
  <c r="I80" i="1"/>
  <c r="H80" i="1"/>
  <c r="H7" i="17"/>
  <c r="H81" i="1" s="1"/>
  <c r="G80" i="1"/>
  <c r="G7" i="17"/>
  <c r="G81" i="1" s="1"/>
  <c r="F80" i="1"/>
  <c r="F7" i="17"/>
  <c r="F81" i="1" s="1"/>
  <c r="E80" i="1"/>
  <c r="E7" i="17"/>
  <c r="D80" i="1"/>
  <c r="D7" i="17"/>
  <c r="D81" i="1" s="1"/>
  <c r="C146" i="1"/>
  <c r="D146" i="1"/>
  <c r="D7" i="20"/>
  <c r="D187" i="28" s="1"/>
  <c r="E146" i="1"/>
  <c r="E7" i="20"/>
  <c r="E187" i="28" s="1"/>
  <c r="F146" i="1"/>
  <c r="F7" i="20"/>
  <c r="F187" i="28" s="1"/>
  <c r="G146" i="1"/>
  <c r="G7" i="20"/>
  <c r="G187" i="28" s="1"/>
  <c r="H146" i="1"/>
  <c r="H7" i="20"/>
  <c r="H187" i="28" s="1"/>
  <c r="I146" i="1"/>
  <c r="J146" i="1"/>
  <c r="K146" i="1"/>
  <c r="L146" i="1"/>
  <c r="M146" i="1"/>
  <c r="N146" i="1"/>
  <c r="C86" i="1"/>
  <c r="D86" i="1"/>
  <c r="D7" i="24"/>
  <c r="D87" i="1" s="1"/>
  <c r="E86" i="1"/>
  <c r="E7" i="24"/>
  <c r="E87" i="1" s="1"/>
  <c r="F86" i="1"/>
  <c r="F7" i="24"/>
  <c r="F87" i="1" s="1"/>
  <c r="G86" i="1"/>
  <c r="G7" i="24"/>
  <c r="G87" i="1" s="1"/>
  <c r="H86" i="1"/>
  <c r="H7" i="24"/>
  <c r="H87" i="1" s="1"/>
  <c r="I86" i="1"/>
  <c r="J86" i="1"/>
  <c r="K86" i="1"/>
  <c r="L86" i="1"/>
  <c r="M86" i="1"/>
  <c r="N86" i="1"/>
  <c r="C152" i="1"/>
  <c r="D152" i="1"/>
  <c r="D7" i="25"/>
  <c r="D195" i="28" s="1"/>
  <c r="E152" i="1"/>
  <c r="E7" i="25"/>
  <c r="E195" i="28" s="1"/>
  <c r="F152" i="1"/>
  <c r="F7" i="25"/>
  <c r="F195" i="28" s="1"/>
  <c r="G152" i="1"/>
  <c r="G7" i="25"/>
  <c r="G195" i="28" s="1"/>
  <c r="H152" i="1"/>
  <c r="H7" i="25"/>
  <c r="H195" i="28" s="1"/>
  <c r="I152" i="1"/>
  <c r="J152" i="1"/>
  <c r="K152" i="1"/>
  <c r="L152" i="1"/>
  <c r="M152" i="1"/>
  <c r="N152" i="1"/>
  <c r="L80" i="1"/>
  <c r="K80" i="1"/>
  <c r="C140" i="1"/>
  <c r="N140" i="1"/>
  <c r="N179" i="28"/>
  <c r="M140" i="1"/>
  <c r="M179" i="28"/>
  <c r="L140" i="1"/>
  <c r="L179" i="28"/>
  <c r="K140" i="1"/>
  <c r="K179" i="28"/>
  <c r="J140" i="1"/>
  <c r="J179" i="28"/>
  <c r="I140" i="1"/>
  <c r="H140" i="1"/>
  <c r="H7" i="16"/>
  <c r="H179" i="28" s="1"/>
  <c r="G140" i="1"/>
  <c r="G7" i="16"/>
  <c r="G179" i="28" s="1"/>
  <c r="F140" i="1"/>
  <c r="F7" i="16"/>
  <c r="F179" i="28" s="1"/>
  <c r="E140" i="1"/>
  <c r="E7" i="16"/>
  <c r="E179" i="28" s="1"/>
  <c r="D140" i="1"/>
  <c r="D7" i="16"/>
  <c r="D179" i="28" s="1"/>
  <c r="C134" i="1"/>
  <c r="N134" i="1"/>
  <c r="N171" i="28"/>
  <c r="M134" i="1"/>
  <c r="M171" i="28"/>
  <c r="L134" i="1"/>
  <c r="L171" i="28"/>
  <c r="K134" i="1"/>
  <c r="K171" i="28"/>
  <c r="J134" i="1"/>
  <c r="J171" i="28"/>
  <c r="I134" i="1"/>
  <c r="H134" i="1"/>
  <c r="H7" i="15"/>
  <c r="H171" i="28" s="1"/>
  <c r="G134" i="1"/>
  <c r="G7" i="15"/>
  <c r="G171" i="28" s="1"/>
  <c r="F134" i="1"/>
  <c r="F7" i="15"/>
  <c r="F171" i="28" s="1"/>
  <c r="E134" i="1"/>
  <c r="E7" i="15"/>
  <c r="E171" i="28" s="1"/>
  <c r="D134" i="1"/>
  <c r="D7" i="15"/>
  <c r="D171" i="28" s="1"/>
  <c r="C128" i="1"/>
  <c r="N128" i="1"/>
  <c r="M128" i="1"/>
  <c r="M163" i="28"/>
  <c r="L128" i="1"/>
  <c r="K128" i="1"/>
  <c r="K163" i="28"/>
  <c r="J128" i="1"/>
  <c r="I128" i="1"/>
  <c r="E128" i="1"/>
  <c r="E7" i="14"/>
  <c r="E163" i="28" s="1"/>
  <c r="D128" i="1"/>
  <c r="D7" i="14"/>
  <c r="D163" i="28" s="1"/>
  <c r="C122" i="1"/>
  <c r="N122" i="1"/>
  <c r="M122" i="1"/>
  <c r="L122" i="1"/>
  <c r="K122" i="1"/>
  <c r="J122" i="1"/>
  <c r="I122" i="1"/>
  <c r="H122" i="1"/>
  <c r="H7" i="13"/>
  <c r="H155" i="28" s="1"/>
  <c r="G122" i="1"/>
  <c r="G7" i="13"/>
  <c r="G155" i="28" s="1"/>
  <c r="F122" i="1"/>
  <c r="F7" i="13"/>
  <c r="F155" i="28" s="1"/>
  <c r="D122" i="1"/>
  <c r="D7" i="13"/>
  <c r="D155" i="28" s="1"/>
  <c r="C110" i="1"/>
  <c r="N110" i="1"/>
  <c r="M110" i="1"/>
  <c r="L110" i="1"/>
  <c r="K110" i="1"/>
  <c r="J110" i="1"/>
  <c r="I110" i="1"/>
  <c r="H110" i="1"/>
  <c r="H7" i="11"/>
  <c r="H139" i="28" s="1"/>
  <c r="G110" i="1"/>
  <c r="G7" i="11"/>
  <c r="G139" i="28" s="1"/>
  <c r="D110" i="1"/>
  <c r="D7" i="11"/>
  <c r="D139" i="28" s="1"/>
  <c r="N98" i="1"/>
  <c r="M98" i="1"/>
  <c r="L98" i="1"/>
  <c r="K98" i="1"/>
  <c r="J98" i="1"/>
  <c r="I98" i="1"/>
  <c r="C92" i="1"/>
  <c r="D92" i="1"/>
  <c r="D7" i="23"/>
  <c r="D93" i="1" s="1"/>
  <c r="E92" i="1"/>
  <c r="E7" i="23"/>
  <c r="E93" i="1" s="1"/>
  <c r="F92" i="1"/>
  <c r="F7" i="23"/>
  <c r="F93" i="1" s="1"/>
  <c r="G92" i="1"/>
  <c r="G7" i="23"/>
  <c r="G93" i="1" s="1"/>
  <c r="H92" i="1"/>
  <c r="H7" i="23"/>
  <c r="H93" i="1" s="1"/>
  <c r="I92" i="1"/>
  <c r="J92" i="1"/>
  <c r="K92" i="1"/>
  <c r="L92" i="1"/>
  <c r="M92" i="1"/>
  <c r="N92" i="1"/>
  <c r="C68" i="1"/>
  <c r="D68" i="1"/>
  <c r="D7" i="22"/>
  <c r="D69" i="1" s="1"/>
  <c r="E68" i="1"/>
  <c r="E7" i="22"/>
  <c r="E69" i="1" s="1"/>
  <c r="F68" i="1"/>
  <c r="F7" i="22"/>
  <c r="F69" i="1" s="1"/>
  <c r="G68" i="1"/>
  <c r="G7" i="22"/>
  <c r="G69" i="1" s="1"/>
  <c r="H68" i="1"/>
  <c r="H7" i="22"/>
  <c r="H69" i="1" s="1"/>
  <c r="I68" i="1"/>
  <c r="J68" i="1"/>
  <c r="K68" i="1"/>
  <c r="L68" i="1"/>
  <c r="M68" i="1"/>
  <c r="N68" i="1"/>
  <c r="C73" i="1"/>
  <c r="C74" i="1"/>
  <c r="D74" i="1"/>
  <c r="D7" i="19"/>
  <c r="D75" i="1" s="1"/>
  <c r="H74" i="1"/>
  <c r="H7" i="19"/>
  <c r="H75" i="1" s="1"/>
  <c r="I74" i="1"/>
  <c r="J74" i="1"/>
  <c r="K74" i="1"/>
  <c r="L74" i="1"/>
  <c r="M74" i="1"/>
  <c r="N74" i="1"/>
  <c r="C62" i="1"/>
  <c r="N62" i="1"/>
  <c r="N74" i="28"/>
  <c r="M62" i="1"/>
  <c r="M74" i="28"/>
  <c r="L62" i="1"/>
  <c r="L74" i="28"/>
  <c r="K62" i="1"/>
  <c r="K74" i="28"/>
  <c r="J62" i="1"/>
  <c r="J74" i="28"/>
  <c r="I62" i="1"/>
  <c r="I74" i="28"/>
  <c r="D62" i="1"/>
  <c r="D7" i="8"/>
  <c r="D74" i="28" s="1"/>
  <c r="C50" i="1"/>
  <c r="N50" i="1"/>
  <c r="N57" i="28"/>
  <c r="M50" i="1"/>
  <c r="M57" i="28"/>
  <c r="L50" i="1"/>
  <c r="L57" i="28"/>
  <c r="K50" i="1"/>
  <c r="K57" i="28"/>
  <c r="J50" i="1"/>
  <c r="J57" i="28"/>
  <c r="I50" i="1"/>
  <c r="H50" i="1"/>
  <c r="H7" i="6"/>
  <c r="H57" i="28" s="1"/>
  <c r="E50" i="1"/>
  <c r="E7" i="6"/>
  <c r="E57" i="28" s="1"/>
  <c r="D50" i="1"/>
  <c r="D7" i="6"/>
  <c r="D57" i="28" s="1"/>
  <c r="C44" i="1"/>
  <c r="N44" i="1"/>
  <c r="N49" i="28"/>
  <c r="M44" i="1"/>
  <c r="M49" i="28"/>
  <c r="L44" i="1"/>
  <c r="L49" i="28"/>
  <c r="K44" i="1"/>
  <c r="K49" i="28"/>
  <c r="J44" i="1"/>
  <c r="J49" i="28"/>
  <c r="I44" i="1"/>
  <c r="H44" i="1"/>
  <c r="H7" i="5"/>
  <c r="H49" i="28" s="1"/>
  <c r="N19" i="1"/>
  <c r="N22" i="28"/>
  <c r="M19" i="1"/>
  <c r="M22" i="28"/>
  <c r="L19" i="1"/>
  <c r="L22" i="28"/>
  <c r="K19" i="1"/>
  <c r="K22" i="28"/>
  <c r="J19" i="1"/>
  <c r="I19" i="1"/>
  <c r="G50" i="1"/>
  <c r="G7" i="6"/>
  <c r="G57" i="28" s="1"/>
  <c r="G44" i="1"/>
  <c r="F62" i="1"/>
  <c r="F7" i="8"/>
  <c r="F74" i="28" s="1"/>
  <c r="D19" i="1"/>
  <c r="D7" i="7"/>
  <c r="C19" i="1"/>
  <c r="E122" i="1"/>
  <c r="E7" i="13"/>
  <c r="E155" i="28" s="1"/>
  <c r="E110" i="1"/>
  <c r="E7" i="11"/>
  <c r="E139" i="28" s="1"/>
  <c r="F74" i="1"/>
  <c r="F7" i="19"/>
  <c r="F75" i="1" s="1"/>
  <c r="E62" i="1"/>
  <c r="E7" i="8"/>
  <c r="E74" i="28" s="1"/>
  <c r="E98" i="1"/>
  <c r="E7" i="9"/>
  <c r="E74" i="1"/>
  <c r="E7" i="19"/>
  <c r="E75" i="1" s="1"/>
  <c r="F44" i="1"/>
  <c r="F7" i="5"/>
  <c r="F49" i="28" s="1"/>
  <c r="E19" i="1"/>
  <c r="E7" i="7"/>
  <c r="E20" i="1" s="1"/>
  <c r="N28" i="1"/>
  <c r="M28" i="1"/>
  <c r="L28" i="1"/>
  <c r="K28" i="1"/>
  <c r="J28" i="1"/>
  <c r="I28" i="1"/>
  <c r="E28" i="1"/>
  <c r="E7" i="3"/>
  <c r="D28" i="1"/>
  <c r="E44" i="1"/>
  <c r="E7" i="5"/>
  <c r="E49" i="28" s="1"/>
  <c r="H7" i="10"/>
  <c r="H203" i="28" s="1"/>
  <c r="G7" i="10"/>
  <c r="G203" i="28" s="1"/>
  <c r="D7" i="10"/>
  <c r="D203" i="28" s="1"/>
  <c r="C28" i="1"/>
  <c r="D44" i="1"/>
  <c r="D7" i="5"/>
  <c r="D49" i="28" s="1"/>
  <c r="O126" i="1"/>
  <c r="O138" i="1"/>
  <c r="O108" i="1"/>
  <c r="O96" i="1"/>
  <c r="O84" i="1"/>
  <c r="O60" i="1"/>
  <c r="O48" i="1"/>
  <c r="O42" i="1"/>
  <c r="O26" i="1"/>
  <c r="O17" i="1"/>
  <c r="C116" i="1"/>
  <c r="N116" i="1"/>
  <c r="N147" i="28"/>
  <c r="M116" i="1"/>
  <c r="M147" i="28"/>
  <c r="L116" i="1"/>
  <c r="L147" i="28"/>
  <c r="K116" i="1"/>
  <c r="K147" i="28"/>
  <c r="J116" i="1"/>
  <c r="J147" i="28"/>
  <c r="I116" i="1"/>
  <c r="H116" i="1"/>
  <c r="H7" i="12"/>
  <c r="H147" i="28" s="1"/>
  <c r="G116" i="1"/>
  <c r="G7" i="12"/>
  <c r="G147" i="28" s="1"/>
  <c r="F116" i="1"/>
  <c r="F7" i="12"/>
  <c r="F147" i="28" s="1"/>
  <c r="E116" i="1"/>
  <c r="E7" i="12"/>
  <c r="E147" i="28" s="1"/>
  <c r="C36" i="1"/>
  <c r="N36" i="1"/>
  <c r="N40" i="28"/>
  <c r="M36" i="1"/>
  <c r="M40" i="28"/>
  <c r="L36" i="1"/>
  <c r="L40" i="28"/>
  <c r="K36" i="1"/>
  <c r="K40" i="28"/>
  <c r="J36" i="1"/>
  <c r="J40" i="28"/>
  <c r="I36" i="1"/>
  <c r="G36" i="1"/>
  <c r="G7" i="4"/>
  <c r="G40" i="28" s="1"/>
  <c r="F36" i="1"/>
  <c r="F7" i="4"/>
  <c r="F40" i="28" s="1"/>
  <c r="E36" i="1"/>
  <c r="E7" i="4"/>
  <c r="E40" i="28" s="1"/>
  <c r="D116" i="1"/>
  <c r="D7" i="12"/>
  <c r="D147" i="28" s="1"/>
  <c r="C4" i="12"/>
  <c r="C115" i="1" s="1"/>
  <c r="O6" i="12"/>
  <c r="C145" i="1"/>
  <c r="D145" i="1"/>
  <c r="E145" i="1"/>
  <c r="F145" i="1"/>
  <c r="G145" i="1"/>
  <c r="H145" i="1"/>
  <c r="I145" i="1"/>
  <c r="J147" i="1"/>
  <c r="J145" i="1"/>
  <c r="K147" i="1"/>
  <c r="K145" i="1"/>
  <c r="L147" i="1"/>
  <c r="L145" i="1"/>
  <c r="M147" i="1"/>
  <c r="M145" i="1"/>
  <c r="N147" i="1"/>
  <c r="N145" i="1"/>
  <c r="C151" i="1"/>
  <c r="D151" i="1"/>
  <c r="E151" i="1"/>
  <c r="F151" i="1"/>
  <c r="G151" i="1"/>
  <c r="H151" i="1"/>
  <c r="I153" i="1"/>
  <c r="I151" i="1"/>
  <c r="J153" i="1"/>
  <c r="J151" i="1"/>
  <c r="K153" i="1"/>
  <c r="K151" i="1"/>
  <c r="L153" i="1"/>
  <c r="L151" i="1"/>
  <c r="M153" i="1"/>
  <c r="M151" i="1"/>
  <c r="N153" i="1"/>
  <c r="N151" i="1"/>
  <c r="D85" i="1"/>
  <c r="E85" i="1"/>
  <c r="F85" i="1"/>
  <c r="G85" i="1"/>
  <c r="H85" i="1"/>
  <c r="I87" i="1"/>
  <c r="I85" i="1"/>
  <c r="J87" i="1"/>
  <c r="J85" i="1"/>
  <c r="K87" i="1"/>
  <c r="K85" i="1"/>
  <c r="L87" i="1"/>
  <c r="L85" i="1"/>
  <c r="M87" i="1"/>
  <c r="M85" i="1"/>
  <c r="N87" i="1"/>
  <c r="N85" i="1"/>
  <c r="C87" i="1"/>
  <c r="C85" i="1"/>
  <c r="D67" i="1"/>
  <c r="E67" i="1"/>
  <c r="H67" i="1"/>
  <c r="I69" i="1"/>
  <c r="I67" i="1"/>
  <c r="J69" i="1"/>
  <c r="J67" i="1"/>
  <c r="K69" i="1"/>
  <c r="K67" i="1"/>
  <c r="L69" i="1"/>
  <c r="L67" i="1"/>
  <c r="M69" i="1"/>
  <c r="M67" i="1"/>
  <c r="N69" i="1"/>
  <c r="N67" i="1"/>
  <c r="C67" i="1"/>
  <c r="F139" i="1"/>
  <c r="G67" i="1"/>
  <c r="F67" i="1"/>
  <c r="C117" i="1"/>
  <c r="N117" i="1"/>
  <c r="M117" i="1"/>
  <c r="L117" i="1"/>
  <c r="C4" i="15"/>
  <c r="C133" i="1" s="1"/>
  <c r="H4" i="15"/>
  <c r="H168" i="28" s="1"/>
  <c r="I4" i="15"/>
  <c r="I168" i="28" s="1"/>
  <c r="J4" i="15"/>
  <c r="J168" i="28" s="1"/>
  <c r="K4" i="15"/>
  <c r="K168" i="28" s="1"/>
  <c r="L4" i="15"/>
  <c r="L168" i="28" s="1"/>
  <c r="M4" i="15"/>
  <c r="M168" i="28" s="1"/>
  <c r="N4" i="15"/>
  <c r="N168" i="28" s="1"/>
  <c r="O12" i="13"/>
  <c r="C4" i="13"/>
  <c r="E4" i="13"/>
  <c r="E152" i="28" s="1"/>
  <c r="F4" i="13"/>
  <c r="F152" i="28" s="1"/>
  <c r="H4" i="13"/>
  <c r="H152" i="28" s="1"/>
  <c r="I4" i="13"/>
  <c r="I152" i="28" s="1"/>
  <c r="J4" i="13"/>
  <c r="J152" i="28" s="1"/>
  <c r="K4" i="13"/>
  <c r="K152" i="28" s="1"/>
  <c r="L4" i="13"/>
  <c r="L152" i="28" s="1"/>
  <c r="M4" i="13"/>
  <c r="M152" i="28" s="1"/>
  <c r="N4" i="13"/>
  <c r="N152" i="28" s="1"/>
  <c r="C4" i="10"/>
  <c r="O16" i="10"/>
  <c r="O28" i="10"/>
  <c r="C91" i="1"/>
  <c r="D91" i="1"/>
  <c r="E91" i="1"/>
  <c r="F91" i="1"/>
  <c r="H91" i="1"/>
  <c r="I93" i="1"/>
  <c r="I91" i="1"/>
  <c r="L93" i="1"/>
  <c r="L91" i="1"/>
  <c r="M93" i="1"/>
  <c r="M91" i="1"/>
  <c r="N93" i="1"/>
  <c r="N91" i="1"/>
  <c r="L79" i="1"/>
  <c r="L81" i="1"/>
  <c r="M79" i="1"/>
  <c r="M81" i="1"/>
  <c r="N79" i="1"/>
  <c r="N81" i="1"/>
  <c r="O12" i="17"/>
  <c r="O4" i="17" s="1"/>
  <c r="C4" i="17"/>
  <c r="K79" i="1"/>
  <c r="K81" i="1"/>
  <c r="O16" i="6"/>
  <c r="O4" i="6" s="1"/>
  <c r="O49" i="1" s="1"/>
  <c r="C4" i="6"/>
  <c r="C54" i="28" s="1"/>
  <c r="K117" i="1"/>
  <c r="K93" i="1"/>
  <c r="J117" i="1"/>
  <c r="D97" i="1"/>
  <c r="K97" i="1"/>
  <c r="K99" i="1"/>
  <c r="M97" i="1"/>
  <c r="M99" i="1"/>
  <c r="N97" i="1"/>
  <c r="N99" i="1"/>
  <c r="J97" i="1"/>
  <c r="J99" i="1"/>
  <c r="L97" i="1"/>
  <c r="L99" i="1"/>
  <c r="J93" i="1"/>
  <c r="J91" i="1"/>
  <c r="O16" i="13"/>
  <c r="G4" i="13"/>
  <c r="G152" i="28" s="1"/>
  <c r="N49" i="1"/>
  <c r="N51" i="1"/>
  <c r="M49" i="1"/>
  <c r="M51" i="1"/>
  <c r="L49" i="1"/>
  <c r="L51" i="1"/>
  <c r="K49" i="1"/>
  <c r="K51" i="1"/>
  <c r="J49" i="1"/>
  <c r="J51" i="1"/>
  <c r="I49" i="1"/>
  <c r="H49" i="1"/>
  <c r="G49" i="1"/>
  <c r="F49" i="1"/>
  <c r="J79" i="1"/>
  <c r="J81" i="1"/>
  <c r="D4" i="15"/>
  <c r="D168" i="28" s="1"/>
  <c r="E18" i="1"/>
  <c r="H18" i="1"/>
  <c r="J18" i="1"/>
  <c r="K20" i="1"/>
  <c r="K18" i="1"/>
  <c r="L20" i="1"/>
  <c r="L18" i="1"/>
  <c r="M20" i="1"/>
  <c r="M18" i="1"/>
  <c r="N20" i="1"/>
  <c r="N18" i="1"/>
  <c r="F19" i="28"/>
  <c r="G19" i="28"/>
  <c r="O32" i="7"/>
  <c r="I81" i="1"/>
  <c r="D49" i="1"/>
  <c r="E49" i="1"/>
  <c r="O16" i="11"/>
  <c r="I4" i="11"/>
  <c r="I136" i="28" s="1"/>
  <c r="O40" i="11"/>
  <c r="O44" i="11"/>
  <c r="O48" i="11"/>
  <c r="O52" i="11"/>
  <c r="D4" i="11"/>
  <c r="D136" i="28" s="1"/>
  <c r="J4" i="11"/>
  <c r="J136" i="28" s="1"/>
  <c r="K4" i="11"/>
  <c r="K136" i="28" s="1"/>
  <c r="L4" i="11"/>
  <c r="L136" i="28" s="1"/>
  <c r="M4" i="11"/>
  <c r="M136" i="28" s="1"/>
  <c r="N4" i="11"/>
  <c r="N136" i="28" s="1"/>
  <c r="N111" i="1"/>
  <c r="M111" i="1"/>
  <c r="L111" i="1"/>
  <c r="K111" i="1"/>
  <c r="J111" i="1"/>
  <c r="I99" i="1"/>
  <c r="I75" i="1"/>
  <c r="J75" i="1"/>
  <c r="K75" i="1"/>
  <c r="L75" i="1"/>
  <c r="M75" i="1"/>
  <c r="N75" i="1"/>
  <c r="D61" i="1"/>
  <c r="E61" i="1"/>
  <c r="F61" i="1"/>
  <c r="N63" i="1"/>
  <c r="N61" i="1"/>
  <c r="M63" i="1"/>
  <c r="M61" i="1"/>
  <c r="L63" i="1"/>
  <c r="L61" i="1"/>
  <c r="K63" i="1"/>
  <c r="K61" i="1"/>
  <c r="J63" i="1"/>
  <c r="J61" i="1"/>
  <c r="I63" i="1"/>
  <c r="I61" i="1"/>
  <c r="C75" i="1"/>
  <c r="D27" i="1"/>
  <c r="E27" i="1"/>
  <c r="F27" i="1"/>
  <c r="G27" i="1"/>
  <c r="H27" i="1"/>
  <c r="I27" i="1"/>
  <c r="N27" i="1"/>
  <c r="M27" i="1"/>
  <c r="L27" i="1"/>
  <c r="N37" i="1"/>
  <c r="M37" i="1"/>
  <c r="L37" i="1"/>
  <c r="K37" i="1"/>
  <c r="J37" i="1"/>
  <c r="J43" i="1"/>
  <c r="J45" i="1"/>
  <c r="K43" i="1"/>
  <c r="K45" i="1"/>
  <c r="L43" i="1"/>
  <c r="L45" i="1"/>
  <c r="M43" i="1"/>
  <c r="M45" i="1"/>
  <c r="N43" i="1"/>
  <c r="N45" i="1"/>
  <c r="G4" i="5"/>
  <c r="G46" i="28" s="1"/>
  <c r="H4" i="5"/>
  <c r="H46" i="28" s="1"/>
  <c r="I4" i="5"/>
  <c r="I46" i="28" s="1"/>
  <c r="E4" i="9"/>
  <c r="O36" i="7"/>
  <c r="I19" i="28"/>
  <c r="I4" i="4"/>
  <c r="I37" i="28" s="1"/>
  <c r="G4" i="15"/>
  <c r="G168" i="28" s="1"/>
  <c r="E4" i="15"/>
  <c r="E168" i="28" s="1"/>
  <c r="H4" i="11"/>
  <c r="H136" i="28" s="1"/>
  <c r="H4" i="8"/>
  <c r="H71" i="28" s="1"/>
  <c r="G4" i="11"/>
  <c r="G136" i="28" s="1"/>
  <c r="G4" i="8"/>
  <c r="G71" i="28" s="1"/>
  <c r="F4" i="5"/>
  <c r="F46" i="28" s="1"/>
  <c r="F4" i="4"/>
  <c r="F37" i="28" s="1"/>
  <c r="E4" i="17"/>
  <c r="E4" i="5"/>
  <c r="E46" i="28" s="1"/>
  <c r="D4" i="5"/>
  <c r="D46" i="28" s="1"/>
  <c r="O28" i="7"/>
  <c r="D19" i="28"/>
  <c r="O24" i="5"/>
  <c r="O28" i="4"/>
  <c r="F4" i="11"/>
  <c r="F136" i="28" s="1"/>
  <c r="O32" i="10"/>
  <c r="F4" i="10"/>
  <c r="F200" i="28" s="1"/>
  <c r="E4" i="11"/>
  <c r="E136" i="28" s="1"/>
  <c r="D4" i="13"/>
  <c r="D152" i="28" s="1"/>
  <c r="O12" i="11"/>
  <c r="C4" i="11"/>
  <c r="O4" i="8"/>
  <c r="O71" i="28" s="1"/>
  <c r="C4" i="8"/>
  <c r="C71" i="28" s="1"/>
  <c r="F4" i="15"/>
  <c r="F168" i="28" s="1"/>
  <c r="C4" i="14"/>
  <c r="D4" i="14"/>
  <c r="D160" i="28" s="1"/>
  <c r="E4" i="14"/>
  <c r="E160" i="28" s="1"/>
  <c r="G4" i="14"/>
  <c r="G160" i="28" s="1"/>
  <c r="H4" i="14"/>
  <c r="H160" i="28" s="1"/>
  <c r="I4" i="14"/>
  <c r="I160" i="28" s="1"/>
  <c r="J4" i="14"/>
  <c r="J160" i="28" s="1"/>
  <c r="K4" i="14"/>
  <c r="K160" i="28" s="1"/>
  <c r="L4" i="14"/>
  <c r="L160" i="28" s="1"/>
  <c r="M4" i="14"/>
  <c r="M160" i="28" s="1"/>
  <c r="N4" i="14"/>
  <c r="N160" i="28" s="1"/>
  <c r="O12" i="16"/>
  <c r="O4" i="16" s="1"/>
  <c r="O176" i="28" s="1"/>
  <c r="C4" i="16"/>
  <c r="D4" i="16"/>
  <c r="D176" i="28" s="1"/>
  <c r="E4" i="16"/>
  <c r="E176" i="28" s="1"/>
  <c r="G4" i="16"/>
  <c r="G176" i="28" s="1"/>
  <c r="H4" i="16"/>
  <c r="H176" i="28" s="1"/>
  <c r="I4" i="16"/>
  <c r="I176" i="28" s="1"/>
  <c r="J4" i="16"/>
  <c r="J176" i="28" s="1"/>
  <c r="K4" i="16"/>
  <c r="K176" i="28" s="1"/>
  <c r="L4" i="16"/>
  <c r="L176" i="28" s="1"/>
  <c r="M4" i="16"/>
  <c r="M176" i="28" s="1"/>
  <c r="N4" i="16"/>
  <c r="N176" i="28" s="1"/>
  <c r="F4" i="14"/>
  <c r="F160" i="28" s="1"/>
  <c r="O4" i="14"/>
  <c r="O160" i="28" s="1"/>
  <c r="O24" i="10"/>
  <c r="E4" i="10"/>
  <c r="E200" i="28" s="1"/>
  <c r="C19" i="28"/>
  <c r="F162" i="28" l="1"/>
  <c r="J8" i="14"/>
  <c r="K8" i="14"/>
  <c r="L8" i="14"/>
  <c r="M8" i="14"/>
  <c r="N8" i="14"/>
  <c r="F138" i="28"/>
  <c r="J8" i="11"/>
  <c r="K8" i="11"/>
  <c r="L8" i="11"/>
  <c r="M8" i="11"/>
  <c r="N8" i="11"/>
  <c r="F30" i="28"/>
  <c r="J8" i="3"/>
  <c r="K8" i="3"/>
  <c r="L8" i="3"/>
  <c r="M8" i="3"/>
  <c r="N8" i="3"/>
  <c r="J8" i="8"/>
  <c r="J9" i="8" s="1"/>
  <c r="K8" i="8"/>
  <c r="L8" i="8"/>
  <c r="M8" i="8"/>
  <c r="M9" i="8" s="1"/>
  <c r="N8" i="8"/>
  <c r="N9" i="8" s="1"/>
  <c r="F104" i="1"/>
  <c r="J8" i="26"/>
  <c r="K8" i="26"/>
  <c r="L8" i="26"/>
  <c r="M8" i="26"/>
  <c r="N8" i="26"/>
  <c r="F56" i="28"/>
  <c r="J8" i="6"/>
  <c r="K8" i="6"/>
  <c r="L8" i="6"/>
  <c r="M8" i="6"/>
  <c r="N8" i="6"/>
  <c r="F202" i="28"/>
  <c r="J8" i="10"/>
  <c r="K8" i="10"/>
  <c r="L8" i="10"/>
  <c r="M8" i="10"/>
  <c r="N8" i="10"/>
  <c r="F64" i="28"/>
  <c r="J8" i="27"/>
  <c r="K8" i="27"/>
  <c r="L8" i="27"/>
  <c r="M8" i="27"/>
  <c r="N8" i="27"/>
  <c r="G84" i="29"/>
  <c r="J8" i="19"/>
  <c r="K8" i="19"/>
  <c r="L8" i="19"/>
  <c r="M8" i="19"/>
  <c r="N8" i="19"/>
  <c r="F7" i="9"/>
  <c r="F99" i="1" s="1"/>
  <c r="J8" i="9"/>
  <c r="K8" i="9"/>
  <c r="L8" i="9"/>
  <c r="M8" i="9"/>
  <c r="N8" i="9"/>
  <c r="H39" i="28"/>
  <c r="J8" i="4"/>
  <c r="K8" i="4"/>
  <c r="L8" i="4"/>
  <c r="M8" i="4"/>
  <c r="N8" i="4"/>
  <c r="J21" i="28"/>
  <c r="J7" i="7"/>
  <c r="J8" i="7"/>
  <c r="K8" i="7"/>
  <c r="L8" i="7"/>
  <c r="M8" i="7"/>
  <c r="N8" i="7"/>
  <c r="M31" i="28"/>
  <c r="M30" i="29"/>
  <c r="M29" i="1"/>
  <c r="N31" i="28"/>
  <c r="N30" i="29"/>
  <c r="N29" i="1"/>
  <c r="L31" i="28"/>
  <c r="L30" i="29"/>
  <c r="L29" i="1"/>
  <c r="K31" i="28"/>
  <c r="K30" i="29"/>
  <c r="K29" i="1"/>
  <c r="J31" i="28"/>
  <c r="J30" i="29"/>
  <c r="J29" i="1"/>
  <c r="N9" i="5"/>
  <c r="N51" i="28" s="1"/>
  <c r="N50" i="28"/>
  <c r="M9" i="5"/>
  <c r="M51" i="28" s="1"/>
  <c r="M50" i="28"/>
  <c r="L9" i="5"/>
  <c r="L51" i="28" s="1"/>
  <c r="L50" i="28"/>
  <c r="K9" i="5"/>
  <c r="K51" i="28" s="1"/>
  <c r="K50" i="28"/>
  <c r="J9" i="5"/>
  <c r="J51" i="28" s="1"/>
  <c r="J50" i="28"/>
  <c r="N9" i="25"/>
  <c r="N197" i="28" s="1"/>
  <c r="N196" i="28"/>
  <c r="M9" i="25"/>
  <c r="M197" i="28" s="1"/>
  <c r="M196" i="28"/>
  <c r="L9" i="25"/>
  <c r="L197" i="28" s="1"/>
  <c r="L196" i="28"/>
  <c r="K9" i="25"/>
  <c r="K197" i="28" s="1"/>
  <c r="K196" i="28"/>
  <c r="J9" i="25"/>
  <c r="J197" i="28" s="1"/>
  <c r="J196" i="28"/>
  <c r="N9" i="24"/>
  <c r="N109" i="28" s="1"/>
  <c r="N108" i="28"/>
  <c r="M9" i="24"/>
  <c r="M109" i="28" s="1"/>
  <c r="M108" i="28"/>
  <c r="L9" i="24"/>
  <c r="L109" i="28" s="1"/>
  <c r="L108" i="28"/>
  <c r="K9" i="24"/>
  <c r="K109" i="28" s="1"/>
  <c r="K108" i="28"/>
  <c r="J9" i="24"/>
  <c r="J109" i="28" s="1"/>
  <c r="J108" i="28"/>
  <c r="N9" i="23"/>
  <c r="N117" i="28" s="1"/>
  <c r="N116" i="28"/>
  <c r="M9" i="23"/>
  <c r="M117" i="28" s="1"/>
  <c r="M116" i="28"/>
  <c r="L9" i="23"/>
  <c r="L117" i="28" s="1"/>
  <c r="L116" i="28"/>
  <c r="K9" i="23"/>
  <c r="K117" i="28" s="1"/>
  <c r="K116" i="28"/>
  <c r="J9" i="23"/>
  <c r="J117" i="28" s="1"/>
  <c r="J116" i="28"/>
  <c r="N9" i="22"/>
  <c r="N84" i="28" s="1"/>
  <c r="N83" i="28"/>
  <c r="M9" i="22"/>
  <c r="M84" i="28" s="1"/>
  <c r="M83" i="28"/>
  <c r="L9" i="22"/>
  <c r="L84" i="28" s="1"/>
  <c r="L83" i="28"/>
  <c r="K9" i="22"/>
  <c r="K84" i="28" s="1"/>
  <c r="K83" i="28"/>
  <c r="J9" i="22"/>
  <c r="J84" i="28" s="1"/>
  <c r="J83" i="28"/>
  <c r="N9" i="20"/>
  <c r="N189" i="28" s="1"/>
  <c r="N188" i="28"/>
  <c r="M9" i="20"/>
  <c r="M189" i="28" s="1"/>
  <c r="M188" i="28"/>
  <c r="L9" i="20"/>
  <c r="L189" i="28" s="1"/>
  <c r="L188" i="28"/>
  <c r="K9" i="20"/>
  <c r="K189" i="28" s="1"/>
  <c r="K188" i="28"/>
  <c r="J9" i="20"/>
  <c r="J189" i="28" s="1"/>
  <c r="J188" i="28"/>
  <c r="N9" i="16"/>
  <c r="N181" i="28" s="1"/>
  <c r="N180" i="28"/>
  <c r="M9" i="16"/>
  <c r="M181" i="28" s="1"/>
  <c r="M180" i="28"/>
  <c r="L9" i="16"/>
  <c r="L181" i="28" s="1"/>
  <c r="L180" i="28"/>
  <c r="K9" i="16"/>
  <c r="K181" i="28" s="1"/>
  <c r="K180" i="28"/>
  <c r="J9" i="16"/>
  <c r="J181" i="28" s="1"/>
  <c r="J180" i="28"/>
  <c r="N9" i="13"/>
  <c r="N157" i="28" s="1"/>
  <c r="N156" i="28"/>
  <c r="M9" i="13"/>
  <c r="M157" i="28" s="1"/>
  <c r="M156" i="28"/>
  <c r="L9" i="13"/>
  <c r="L157" i="28" s="1"/>
  <c r="L156" i="28"/>
  <c r="K9" i="13"/>
  <c r="K157" i="28" s="1"/>
  <c r="K156" i="28"/>
  <c r="J9" i="13"/>
  <c r="J157" i="28" s="1"/>
  <c r="J156" i="28"/>
  <c r="N9" i="12"/>
  <c r="N149" i="28" s="1"/>
  <c r="N148" i="28"/>
  <c r="M9" i="12"/>
  <c r="M149" i="28" s="1"/>
  <c r="M148" i="28"/>
  <c r="L9" i="12"/>
  <c r="L149" i="28" s="1"/>
  <c r="L148" i="28"/>
  <c r="K9" i="12"/>
  <c r="K149" i="28" s="1"/>
  <c r="K148" i="28"/>
  <c r="J9" i="12"/>
  <c r="J149" i="28" s="1"/>
  <c r="J148" i="28"/>
  <c r="N9" i="17"/>
  <c r="N101" i="28" s="1"/>
  <c r="N100" i="28"/>
  <c r="M9" i="17"/>
  <c r="M101" i="28" s="1"/>
  <c r="M100" i="28"/>
  <c r="L9" i="17"/>
  <c r="L101" i="28" s="1"/>
  <c r="L100" i="28"/>
  <c r="K9" i="17"/>
  <c r="K101" i="28" s="1"/>
  <c r="K100" i="28"/>
  <c r="J9" i="17"/>
  <c r="J101" i="28" s="1"/>
  <c r="J100" i="28"/>
  <c r="K9" i="15"/>
  <c r="K173" i="28" s="1"/>
  <c r="K172" i="28"/>
  <c r="N9" i="15"/>
  <c r="N173" i="28" s="1"/>
  <c r="N172" i="28"/>
  <c r="L9" i="15"/>
  <c r="L173" i="28" s="1"/>
  <c r="L172" i="28"/>
  <c r="J9" i="15"/>
  <c r="J173" i="28" s="1"/>
  <c r="J172" i="28"/>
  <c r="M9" i="15"/>
  <c r="M173" i="28" s="1"/>
  <c r="M172" i="28"/>
  <c r="N76" i="28"/>
  <c r="N75" i="28"/>
  <c r="M76" i="28"/>
  <c r="M75" i="28"/>
  <c r="G73" i="28"/>
  <c r="H122" i="28"/>
  <c r="I8" i="19"/>
  <c r="G8" i="7"/>
  <c r="G23" i="28" s="1"/>
  <c r="F55" i="29"/>
  <c r="O169" i="29"/>
  <c r="H8" i="4"/>
  <c r="H41" i="28" s="1"/>
  <c r="J35" i="1"/>
  <c r="J36" i="29"/>
  <c r="H8" i="19"/>
  <c r="H9" i="19" s="1"/>
  <c r="H92" i="28" s="1"/>
  <c r="H36" i="1"/>
  <c r="G7" i="19"/>
  <c r="G75" i="1" s="1"/>
  <c r="O152" i="1"/>
  <c r="O103" i="28"/>
  <c r="O93" i="29"/>
  <c r="Q95" i="29" s="1"/>
  <c r="O85" i="1"/>
  <c r="Q85" i="1" s="1"/>
  <c r="G8" i="19"/>
  <c r="G9" i="19" s="1"/>
  <c r="G92" i="28" s="1"/>
  <c r="O6" i="7"/>
  <c r="O19" i="1" s="1"/>
  <c r="O8" i="25"/>
  <c r="O196" i="28" s="1"/>
  <c r="H7" i="4"/>
  <c r="H40" i="28" s="1"/>
  <c r="H36" i="29"/>
  <c r="O91" i="1"/>
  <c r="O122" i="1"/>
  <c r="O162" i="1"/>
  <c r="O104" i="1"/>
  <c r="H138" i="29"/>
  <c r="G74" i="1"/>
  <c r="O7" i="25"/>
  <c r="O195" i="28" s="1"/>
  <c r="M36" i="29"/>
  <c r="O172" i="29"/>
  <c r="O7" i="26"/>
  <c r="O131" i="28" s="1"/>
  <c r="G172" i="28"/>
  <c r="H7" i="14"/>
  <c r="H163" i="28" s="1"/>
  <c r="Q4" i="27"/>
  <c r="H37" i="29"/>
  <c r="G89" i="28"/>
  <c r="O159" i="1"/>
  <c r="O162" i="29"/>
  <c r="O202" i="28"/>
  <c r="O7" i="10"/>
  <c r="O203" i="28" s="1"/>
  <c r="I8" i="4"/>
  <c r="I9" i="4" s="1"/>
  <c r="I42" i="28" s="1"/>
  <c r="I8" i="9"/>
  <c r="I9" i="9" s="1"/>
  <c r="I125" i="28" s="1"/>
  <c r="C66" i="28"/>
  <c r="F98" i="1"/>
  <c r="F7" i="7"/>
  <c r="F21" i="29" s="1"/>
  <c r="O62" i="29"/>
  <c r="F19" i="1"/>
  <c r="O55" i="1"/>
  <c r="H35" i="1"/>
  <c r="O87" i="28"/>
  <c r="G122" i="28"/>
  <c r="O7" i="5"/>
  <c r="O49" i="28" s="1"/>
  <c r="O47" i="29"/>
  <c r="O60" i="29"/>
  <c r="O83" i="29"/>
  <c r="O112" i="28"/>
  <c r="G108" i="29"/>
  <c r="O6" i="3"/>
  <c r="O7" i="3" s="1"/>
  <c r="O29" i="1" s="1"/>
  <c r="O44" i="1"/>
  <c r="O53" i="1"/>
  <c r="G7" i="9"/>
  <c r="G99" i="1" s="1"/>
  <c r="O161" i="29"/>
  <c r="C36" i="29"/>
  <c r="H8" i="9"/>
  <c r="H124" i="28" s="1"/>
  <c r="O183" i="28"/>
  <c r="Q184" i="28" s="1"/>
  <c r="F122" i="28"/>
  <c r="O153" i="29"/>
  <c r="G8" i="9"/>
  <c r="G124" i="28" s="1"/>
  <c r="F8" i="9"/>
  <c r="F9" i="9" s="1"/>
  <c r="F125" i="28" s="1"/>
  <c r="F63" i="1"/>
  <c r="F108" i="29"/>
  <c r="I8" i="6"/>
  <c r="I9" i="6" s="1"/>
  <c r="I59" i="28" s="1"/>
  <c r="C91" i="28"/>
  <c r="O106" i="28"/>
  <c r="O59" i="1"/>
  <c r="F8" i="6"/>
  <c r="F58" i="28" s="1"/>
  <c r="O7" i="24"/>
  <c r="O87" i="1" s="1"/>
  <c r="G56" i="1"/>
  <c r="H8" i="6"/>
  <c r="H58" i="28" s="1"/>
  <c r="E125" i="29"/>
  <c r="E115" i="1"/>
  <c r="O8" i="6"/>
  <c r="O58" i="28" s="1"/>
  <c r="O56" i="28"/>
  <c r="O55" i="29"/>
  <c r="O8" i="11"/>
  <c r="O140" i="28" s="1"/>
  <c r="O110" i="1"/>
  <c r="O120" i="29"/>
  <c r="O139" i="28"/>
  <c r="O7" i="13"/>
  <c r="O155" i="28" s="1"/>
  <c r="O132" i="29"/>
  <c r="O8" i="13"/>
  <c r="O156" i="28" s="1"/>
  <c r="G8" i="6"/>
  <c r="G9" i="6" s="1"/>
  <c r="G59" i="28" s="1"/>
  <c r="I171" i="28"/>
  <c r="O151" i="1"/>
  <c r="O7" i="20"/>
  <c r="O187" i="28" s="1"/>
  <c r="D36" i="29"/>
  <c r="H8" i="26"/>
  <c r="H9" i="26" s="1"/>
  <c r="H133" i="28" s="1"/>
  <c r="C132" i="28"/>
  <c r="O146" i="1"/>
  <c r="O34" i="29"/>
  <c r="O89" i="28"/>
  <c r="O156" i="29"/>
  <c r="F8" i="26"/>
  <c r="F132" i="28" s="1"/>
  <c r="H8" i="14"/>
  <c r="H9" i="14" s="1"/>
  <c r="H165" i="28" s="1"/>
  <c r="N36" i="29"/>
  <c r="O96" i="29"/>
  <c r="F120" i="29"/>
  <c r="E180" i="28"/>
  <c r="F7" i="11"/>
  <c r="F139" i="28" s="1"/>
  <c r="O37" i="29"/>
  <c r="H7" i="7"/>
  <c r="H20" i="1" s="1"/>
  <c r="H115" i="1"/>
  <c r="F7" i="26"/>
  <c r="F131" i="28" s="1"/>
  <c r="O86" i="1"/>
  <c r="O130" i="28"/>
  <c r="O155" i="29"/>
  <c r="N35" i="1"/>
  <c r="G35" i="1"/>
  <c r="F7" i="14"/>
  <c r="F163" i="28" s="1"/>
  <c r="I115" i="1"/>
  <c r="G72" i="29"/>
  <c r="O114" i="29"/>
  <c r="O128" i="28"/>
  <c r="H8" i="7"/>
  <c r="H9" i="7" s="1"/>
  <c r="H24" i="28" s="1"/>
  <c r="G8" i="26"/>
  <c r="G132" i="28" s="1"/>
  <c r="C30" i="29"/>
  <c r="O113" i="29"/>
  <c r="I147" i="1"/>
  <c r="O7" i="23"/>
  <c r="O93" i="1" s="1"/>
  <c r="F20" i="29"/>
  <c r="G22" i="29" s="1"/>
  <c r="O102" i="29"/>
  <c r="F130" i="28"/>
  <c r="F8" i="7"/>
  <c r="F23" i="28" s="1"/>
  <c r="O6" i="14"/>
  <c r="O128" i="1" s="1"/>
  <c r="G49" i="29"/>
  <c r="F114" i="29"/>
  <c r="O186" i="28"/>
  <c r="G7" i="27"/>
  <c r="G65" i="28" s="1"/>
  <c r="F110" i="1"/>
  <c r="I147" i="28"/>
  <c r="O7" i="17"/>
  <c r="O91" i="29" s="1"/>
  <c r="O36" i="1"/>
  <c r="G7" i="8"/>
  <c r="G74" i="28" s="1"/>
  <c r="O80" i="1"/>
  <c r="O84" i="29"/>
  <c r="F8" i="14"/>
  <c r="F9" i="14" s="1"/>
  <c r="F165" i="28" s="1"/>
  <c r="O33" i="1"/>
  <c r="H20" i="29"/>
  <c r="O119" i="28"/>
  <c r="F162" i="1"/>
  <c r="K35" i="1"/>
  <c r="O67" i="1"/>
  <c r="C49" i="29"/>
  <c r="C50" i="29" s="1"/>
  <c r="K36" i="29"/>
  <c r="O50" i="1"/>
  <c r="O72" i="29"/>
  <c r="O127" i="28"/>
  <c r="J125" i="29"/>
  <c r="G108" i="28"/>
  <c r="O4" i="4"/>
  <c r="O37" i="28" s="1"/>
  <c r="Q37" i="28" s="1"/>
  <c r="L36" i="29"/>
  <c r="M125" i="29"/>
  <c r="I8" i="26"/>
  <c r="I132" i="28" s="1"/>
  <c r="K115" i="1"/>
  <c r="O145" i="1"/>
  <c r="Q145" i="1" s="1"/>
  <c r="O7" i="6"/>
  <c r="O57" i="28" s="1"/>
  <c r="F7" i="3"/>
  <c r="F30" i="29" s="1"/>
  <c r="O12" i="28"/>
  <c r="G29" i="29"/>
  <c r="O62" i="1"/>
  <c r="O81" i="28"/>
  <c r="O111" i="29"/>
  <c r="I125" i="29"/>
  <c r="G8" i="14"/>
  <c r="G164" i="28" s="1"/>
  <c r="G8" i="8"/>
  <c r="G75" i="28" s="1"/>
  <c r="H8" i="10"/>
  <c r="H204" i="28" s="1"/>
  <c r="G8" i="10"/>
  <c r="G204" i="28" s="1"/>
  <c r="O7" i="4"/>
  <c r="O40" i="28" s="1"/>
  <c r="F128" i="1"/>
  <c r="O98" i="28"/>
  <c r="F8" i="3"/>
  <c r="F32" i="28" s="1"/>
  <c r="I8" i="11"/>
  <c r="I140" i="28" s="1"/>
  <c r="F8" i="27"/>
  <c r="F9" i="27" s="1"/>
  <c r="F67" i="28" s="1"/>
  <c r="O4" i="10"/>
  <c r="O200" i="28" s="1"/>
  <c r="Q200" i="28" s="1"/>
  <c r="M115" i="1"/>
  <c r="O90" i="29"/>
  <c r="O73" i="28"/>
  <c r="H19" i="1"/>
  <c r="G62" i="1"/>
  <c r="O95" i="1"/>
  <c r="F172" i="29"/>
  <c r="O4" i="13"/>
  <c r="O152" i="28" s="1"/>
  <c r="O137" i="1"/>
  <c r="G8" i="3"/>
  <c r="G9" i="3" s="1"/>
  <c r="G33" i="28" s="1"/>
  <c r="H172" i="28"/>
  <c r="G7" i="14"/>
  <c r="G163" i="28" s="1"/>
  <c r="J115" i="1"/>
  <c r="O92" i="1"/>
  <c r="G128" i="1"/>
  <c r="O8" i="8"/>
  <c r="O75" i="28" s="1"/>
  <c r="F8" i="10"/>
  <c r="F204" i="28" s="1"/>
  <c r="L35" i="1"/>
  <c r="F28" i="1"/>
  <c r="O7" i="22"/>
  <c r="O69" i="1" s="1"/>
  <c r="F56" i="1"/>
  <c r="G63" i="29"/>
  <c r="O78" i="29"/>
  <c r="D111" i="1"/>
  <c r="G7" i="3"/>
  <c r="G31" i="28" s="1"/>
  <c r="O7" i="19"/>
  <c r="O75" i="1" s="1"/>
  <c r="O68" i="1"/>
  <c r="F7" i="27"/>
  <c r="F65" i="28" s="1"/>
  <c r="G36" i="29"/>
  <c r="F63" i="29"/>
  <c r="O79" i="28"/>
  <c r="K125" i="29"/>
  <c r="G138" i="29"/>
  <c r="Q6" i="4"/>
  <c r="I8" i="27"/>
  <c r="I9" i="27" s="1"/>
  <c r="I67" i="28" s="1"/>
  <c r="I8" i="10"/>
  <c r="I204" i="28" s="1"/>
  <c r="O138" i="28"/>
  <c r="F29" i="29"/>
  <c r="F138" i="29"/>
  <c r="I8" i="7"/>
  <c r="I23" i="28" s="1"/>
  <c r="G8" i="27"/>
  <c r="G66" i="28" s="1"/>
  <c r="M35" i="1"/>
  <c r="F115" i="1"/>
  <c r="F7" i="10"/>
  <c r="F203" i="28" s="1"/>
  <c r="G28" i="1"/>
  <c r="O74" i="1"/>
  <c r="O114" i="28"/>
  <c r="H8" i="27"/>
  <c r="H9" i="27" s="1"/>
  <c r="H67" i="28" s="1"/>
  <c r="O64" i="28"/>
  <c r="O8" i="27"/>
  <c r="O66" i="28" s="1"/>
  <c r="O7" i="27"/>
  <c r="O65" i="28" s="1"/>
  <c r="O56" i="1"/>
  <c r="O63" i="29"/>
  <c r="O44" i="29"/>
  <c r="O7" i="16"/>
  <c r="O179" i="28" s="1"/>
  <c r="O11" i="29"/>
  <c r="D156" i="28"/>
  <c r="O4" i="12"/>
  <c r="O144" i="28" s="1"/>
  <c r="O52" i="29"/>
  <c r="E63" i="1"/>
  <c r="O48" i="28"/>
  <c r="O4" i="15"/>
  <c r="O133" i="1" s="1"/>
  <c r="E65" i="29"/>
  <c r="O150" i="29"/>
  <c r="O47" i="1"/>
  <c r="Q49" i="1" s="1"/>
  <c r="E36" i="29"/>
  <c r="O140" i="1"/>
  <c r="O178" i="28"/>
  <c r="L115" i="1"/>
  <c r="F7" i="6"/>
  <c r="F57" i="28" s="1"/>
  <c r="O41" i="1"/>
  <c r="H128" i="1"/>
  <c r="O69" i="29"/>
  <c r="O104" i="28"/>
  <c r="F50" i="1"/>
  <c r="L125" i="29"/>
  <c r="H7" i="8"/>
  <c r="H74" i="28" s="1"/>
  <c r="N125" i="29"/>
  <c r="H8" i="8"/>
  <c r="H75" i="28" s="1"/>
  <c r="C9" i="1"/>
  <c r="C2" i="1" s="1"/>
  <c r="D9" i="27"/>
  <c r="D67" i="28" s="1"/>
  <c r="D66" i="28"/>
  <c r="H49" i="29"/>
  <c r="H147" i="1"/>
  <c r="G9" i="1"/>
  <c r="G2" i="1" s="1"/>
  <c r="H72" i="29"/>
  <c r="M5" i="28"/>
  <c r="Q103" i="1"/>
  <c r="D49" i="29"/>
  <c r="E49" i="29"/>
  <c r="N115" i="1"/>
  <c r="F65" i="29"/>
  <c r="C75" i="28"/>
  <c r="H62" i="1"/>
  <c r="I51" i="1"/>
  <c r="I8" i="8"/>
  <c r="I75" i="28" s="1"/>
  <c r="O25" i="1"/>
  <c r="D9" i="1"/>
  <c r="D2" i="1" s="1"/>
  <c r="F49" i="29"/>
  <c r="H9" i="1"/>
  <c r="H2" i="1" s="1"/>
  <c r="O4" i="11"/>
  <c r="O136" i="28" s="1"/>
  <c r="Q136" i="28" s="1"/>
  <c r="O107" i="1"/>
  <c r="D115" i="1"/>
  <c r="H57" i="29"/>
  <c r="G147" i="1"/>
  <c r="O3" i="29"/>
  <c r="H39" i="29"/>
  <c r="K9" i="1"/>
  <c r="K2" i="1" s="1"/>
  <c r="O117" i="29"/>
  <c r="H125" i="29"/>
  <c r="F8" i="11"/>
  <c r="F140" i="28" s="1"/>
  <c r="O4" i="5"/>
  <c r="O46" i="28" s="1"/>
  <c r="Q46" i="28" s="1"/>
  <c r="C51" i="1"/>
  <c r="H135" i="1"/>
  <c r="G115" i="1"/>
  <c r="G153" i="1"/>
  <c r="O16" i="1"/>
  <c r="D31" i="29"/>
  <c r="E9" i="1"/>
  <c r="E2" i="1" s="1"/>
  <c r="G125" i="29"/>
  <c r="O39" i="28"/>
  <c r="M9" i="1"/>
  <c r="M2" i="1" s="1"/>
  <c r="F125" i="29"/>
  <c r="O147" i="29"/>
  <c r="I8" i="14"/>
  <c r="I164" i="28" s="1"/>
  <c r="G8" i="11"/>
  <c r="G140" i="28" s="1"/>
  <c r="H8" i="11"/>
  <c r="H140" i="28" s="1"/>
  <c r="L9" i="1"/>
  <c r="L2" i="1" s="1"/>
  <c r="G117" i="1"/>
  <c r="H28" i="1"/>
  <c r="J9" i="1"/>
  <c r="J2" i="1" s="1"/>
  <c r="E156" i="28"/>
  <c r="F156" i="28"/>
  <c r="F9" i="13"/>
  <c r="F157" i="28" s="1"/>
  <c r="E51" i="1"/>
  <c r="D9" i="23"/>
  <c r="D117" i="28" s="1"/>
  <c r="D116" i="28"/>
  <c r="H7" i="3"/>
  <c r="H30" i="29" s="1"/>
  <c r="H117" i="1"/>
  <c r="O10" i="1"/>
  <c r="D108" i="28"/>
  <c r="G31" i="29"/>
  <c r="H51" i="1"/>
  <c r="E31" i="29"/>
  <c r="H9" i="24"/>
  <c r="H109" i="28" s="1"/>
  <c r="I172" i="28"/>
  <c r="I9" i="1"/>
  <c r="I2" i="1" s="1"/>
  <c r="F10" i="28"/>
  <c r="D65" i="29"/>
  <c r="F31" i="29"/>
  <c r="H148" i="28"/>
  <c r="H9" i="12"/>
  <c r="H149" i="28" s="1"/>
  <c r="G65" i="29"/>
  <c r="G37" i="1"/>
  <c r="C49" i="1"/>
  <c r="E9" i="26"/>
  <c r="E133" i="28" s="1"/>
  <c r="N9" i="1"/>
  <c r="N2" i="1" s="1"/>
  <c r="F9" i="1"/>
  <c r="F2" i="1" s="1"/>
  <c r="C10" i="28"/>
  <c r="E9" i="27"/>
  <c r="E67" i="28" s="1"/>
  <c r="E66" i="28"/>
  <c r="C9" i="13"/>
  <c r="C157" i="28" s="1"/>
  <c r="C156" i="28"/>
  <c r="I12" i="1"/>
  <c r="I13" i="1" s="1"/>
  <c r="I9" i="13"/>
  <c r="I157" i="28" s="1"/>
  <c r="I156" i="28"/>
  <c r="L5" i="28"/>
  <c r="F9" i="23"/>
  <c r="F117" i="28" s="1"/>
  <c r="F116" i="28"/>
  <c r="G156" i="28"/>
  <c r="G9" i="13"/>
  <c r="G157" i="28" s="1"/>
  <c r="K5" i="28"/>
  <c r="H9" i="22"/>
  <c r="H84" i="28" s="1"/>
  <c r="H83" i="28"/>
  <c r="D63" i="1"/>
  <c r="H65" i="29"/>
  <c r="H9" i="23"/>
  <c r="H117" i="28" s="1"/>
  <c r="H116" i="28"/>
  <c r="C22" i="29"/>
  <c r="C23" i="29" s="1"/>
  <c r="D5" i="28"/>
  <c r="D6" i="28" s="1"/>
  <c r="F9" i="25"/>
  <c r="F197" i="28" s="1"/>
  <c r="F196" i="28"/>
  <c r="I83" i="28"/>
  <c r="I9" i="22"/>
  <c r="I84" i="28" s="1"/>
  <c r="E172" i="28"/>
  <c r="E9" i="15"/>
  <c r="E173" i="28" s="1"/>
  <c r="F180" i="28"/>
  <c r="F9" i="16"/>
  <c r="F181" i="28" s="1"/>
  <c r="H188" i="28"/>
  <c r="H9" i="20"/>
  <c r="H189" i="28" s="1"/>
  <c r="I9" i="19"/>
  <c r="I92" i="28" s="1"/>
  <c r="I91" i="28"/>
  <c r="G9" i="25"/>
  <c r="G197" i="28" s="1"/>
  <c r="G196" i="28"/>
  <c r="G9" i="23"/>
  <c r="G117" i="28" s="1"/>
  <c r="G116" i="28"/>
  <c r="F83" i="28"/>
  <c r="F9" i="22"/>
  <c r="F84" i="28" s="1"/>
  <c r="E117" i="1"/>
  <c r="D153" i="1"/>
  <c r="E147" i="1"/>
  <c r="L12" i="1"/>
  <c r="L5" i="1" s="1"/>
  <c r="D57" i="29"/>
  <c r="D39" i="29"/>
  <c r="D22" i="29"/>
  <c r="C2" i="28"/>
  <c r="I2" i="28"/>
  <c r="D9" i="11"/>
  <c r="D141" i="28" s="1"/>
  <c r="D140" i="28"/>
  <c r="H9" i="16"/>
  <c r="H181" i="28" s="1"/>
  <c r="H180" i="28"/>
  <c r="C9" i="15"/>
  <c r="C173" i="28" s="1"/>
  <c r="C172" i="28"/>
  <c r="I9" i="25"/>
  <c r="I197" i="28" s="1"/>
  <c r="I196" i="28"/>
  <c r="E9" i="20"/>
  <c r="E189" i="28" s="1"/>
  <c r="E188" i="28"/>
  <c r="E9" i="10"/>
  <c r="E205" i="28" s="1"/>
  <c r="E204" i="28"/>
  <c r="I9" i="12"/>
  <c r="I149" i="28" s="1"/>
  <c r="I148" i="28"/>
  <c r="L2" i="28"/>
  <c r="H133" i="1"/>
  <c r="J12" i="1"/>
  <c r="J13" i="1" s="1"/>
  <c r="G2" i="28"/>
  <c r="E5" i="28"/>
  <c r="E6" i="28" s="1"/>
  <c r="E9" i="23"/>
  <c r="E117" i="28" s="1"/>
  <c r="E116" i="28"/>
  <c r="H31" i="29"/>
  <c r="C21" i="29"/>
  <c r="J5" i="28"/>
  <c r="J6" i="28" s="1"/>
  <c r="C9" i="16"/>
  <c r="C181" i="28" s="1"/>
  <c r="C180" i="28"/>
  <c r="F141" i="1"/>
  <c r="O125" i="1"/>
  <c r="O131" i="1"/>
  <c r="E57" i="29"/>
  <c r="E39" i="29"/>
  <c r="E22" i="29"/>
  <c r="I5" i="28"/>
  <c r="I6" i="28" s="1"/>
  <c r="C5" i="28"/>
  <c r="D124" i="28"/>
  <c r="D9" i="9"/>
  <c r="D125" i="28" s="1"/>
  <c r="G180" i="28"/>
  <c r="G9" i="16"/>
  <c r="G181" i="28" s="1"/>
  <c r="F9" i="20"/>
  <c r="F189" i="28" s="1"/>
  <c r="F188" i="28"/>
  <c r="D172" i="28"/>
  <c r="D9" i="15"/>
  <c r="D173" i="28" s="1"/>
  <c r="E91" i="28"/>
  <c r="E9" i="19"/>
  <c r="E92" i="28" s="1"/>
  <c r="I188" i="28"/>
  <c r="I9" i="20"/>
  <c r="I189" i="28" s="1"/>
  <c r="E83" i="28"/>
  <c r="E9" i="22"/>
  <c r="E84" i="28" s="1"/>
  <c r="C9" i="10"/>
  <c r="C205" i="28" s="1"/>
  <c r="C204" i="28"/>
  <c r="O146" i="28"/>
  <c r="O8" i="12"/>
  <c r="O148" i="28" s="1"/>
  <c r="E58" i="28"/>
  <c r="E9" i="6"/>
  <c r="E59" i="28" s="1"/>
  <c r="C9" i="17"/>
  <c r="C101" i="28" s="1"/>
  <c r="C100" i="28"/>
  <c r="F2" i="28"/>
  <c r="E9" i="12"/>
  <c r="E149" i="28" s="1"/>
  <c r="E148" i="28"/>
  <c r="D9" i="25"/>
  <c r="D197" i="28" s="1"/>
  <c r="D196" i="28"/>
  <c r="H100" i="28"/>
  <c r="H9" i="17"/>
  <c r="H101" i="28" s="1"/>
  <c r="C9" i="24"/>
  <c r="C109" i="28" s="1"/>
  <c r="C108" i="28"/>
  <c r="D9" i="26"/>
  <c r="D133" i="28" s="1"/>
  <c r="D132" i="28"/>
  <c r="D9" i="12"/>
  <c r="D149" i="28" s="1"/>
  <c r="D148" i="28"/>
  <c r="F75" i="28"/>
  <c r="F9" i="8"/>
  <c r="F76" i="28" s="1"/>
  <c r="G100" i="28"/>
  <c r="G9" i="17"/>
  <c r="G101" i="28" s="1"/>
  <c r="M2" i="28"/>
  <c r="C9" i="14"/>
  <c r="C165" i="28" s="1"/>
  <c r="C164" i="28"/>
  <c r="G9" i="20"/>
  <c r="G189" i="28" s="1"/>
  <c r="G188" i="28"/>
  <c r="F100" i="28"/>
  <c r="F9" i="17"/>
  <c r="F101" i="28" s="1"/>
  <c r="E164" i="28"/>
  <c r="E9" i="14"/>
  <c r="E165" i="28" s="1"/>
  <c r="F172" i="28"/>
  <c r="F9" i="15"/>
  <c r="F173" i="28" s="1"/>
  <c r="E75" i="28"/>
  <c r="E9" i="8"/>
  <c r="E76" i="28" s="1"/>
  <c r="E100" i="28"/>
  <c r="E9" i="17"/>
  <c r="E101" i="28" s="1"/>
  <c r="E9" i="24"/>
  <c r="E109" i="28" s="1"/>
  <c r="E108" i="28"/>
  <c r="D117" i="1"/>
  <c r="E153" i="1"/>
  <c r="F147" i="1"/>
  <c r="K12" i="1"/>
  <c r="K5" i="1" s="1"/>
  <c r="H2" i="28"/>
  <c r="D164" i="28"/>
  <c r="D9" i="14"/>
  <c r="D165" i="28" s="1"/>
  <c r="C9" i="9"/>
  <c r="C125" i="28" s="1"/>
  <c r="C124" i="28"/>
  <c r="H9" i="25"/>
  <c r="H197" i="28" s="1"/>
  <c r="H196" i="28"/>
  <c r="F117" i="1"/>
  <c r="D147" i="1"/>
  <c r="O113" i="1"/>
  <c r="F57" i="29"/>
  <c r="F39" i="29"/>
  <c r="J2" i="28"/>
  <c r="D9" i="16"/>
  <c r="D181" i="28" s="1"/>
  <c r="D180" i="28"/>
  <c r="E9" i="11"/>
  <c r="E141" i="28" s="1"/>
  <c r="E140" i="28"/>
  <c r="E124" i="28"/>
  <c r="E9" i="9"/>
  <c r="E125" i="28" s="1"/>
  <c r="D188" i="28"/>
  <c r="D9" i="20"/>
  <c r="D189" i="28" s="1"/>
  <c r="C9" i="22"/>
  <c r="C84" i="28" s="1"/>
  <c r="C83" i="28"/>
  <c r="D9" i="10"/>
  <c r="D205" i="28" s="1"/>
  <c r="D204" i="28"/>
  <c r="D51" i="1"/>
  <c r="G51" i="1"/>
  <c r="O54" i="28"/>
  <c r="Q54" i="28" s="1"/>
  <c r="G57" i="29"/>
  <c r="G39" i="29"/>
  <c r="N5" i="28"/>
  <c r="D9" i="19"/>
  <c r="D92" i="28" s="1"/>
  <c r="D91" i="28"/>
  <c r="C9" i="12"/>
  <c r="C149" i="28" s="1"/>
  <c r="C148" i="28"/>
  <c r="G9" i="12"/>
  <c r="G149" i="28" s="1"/>
  <c r="G148" i="28"/>
  <c r="D9" i="17"/>
  <c r="D101" i="28" s="1"/>
  <c r="D100" i="28"/>
  <c r="F9" i="24"/>
  <c r="F109" i="28" s="1"/>
  <c r="F108" i="28"/>
  <c r="F9" i="19"/>
  <c r="F92" i="28" s="1"/>
  <c r="F91" i="28"/>
  <c r="D9" i="22"/>
  <c r="D84" i="28" s="1"/>
  <c r="D83" i="28"/>
  <c r="I9" i="23"/>
  <c r="I117" i="28" s="1"/>
  <c r="I116" i="28"/>
  <c r="C12" i="1"/>
  <c r="C13" i="1" s="1"/>
  <c r="H9" i="13"/>
  <c r="H157" i="28" s="1"/>
  <c r="H156" i="28"/>
  <c r="F153" i="1"/>
  <c r="I133" i="1"/>
  <c r="N2" i="28"/>
  <c r="G83" i="28"/>
  <c r="G9" i="22"/>
  <c r="G84" i="28" s="1"/>
  <c r="I111" i="1"/>
  <c r="M12" i="1"/>
  <c r="M5" i="1" s="1"/>
  <c r="D2" i="28"/>
  <c r="H153" i="1"/>
  <c r="N12" i="1"/>
  <c r="N13" i="1" s="1"/>
  <c r="E2" i="28"/>
  <c r="K2" i="28"/>
  <c r="O4" i="28"/>
  <c r="I9" i="24"/>
  <c r="I109" i="28" s="1"/>
  <c r="I108" i="28"/>
  <c r="D9" i="6"/>
  <c r="D59" i="28" s="1"/>
  <c r="D58" i="28"/>
  <c r="F9" i="12"/>
  <c r="F149" i="28" s="1"/>
  <c r="F148" i="28"/>
  <c r="I9" i="16"/>
  <c r="I181" i="28" s="1"/>
  <c r="I180" i="28"/>
  <c r="D75" i="28"/>
  <c r="D9" i="8"/>
  <c r="D76" i="28" s="1"/>
  <c r="C9" i="6"/>
  <c r="C59" i="28" s="1"/>
  <c r="C58" i="28"/>
  <c r="I100" i="28"/>
  <c r="I9" i="17"/>
  <c r="I101" i="28" s="1"/>
  <c r="E9" i="25"/>
  <c r="E197" i="28" s="1"/>
  <c r="E196" i="28"/>
  <c r="G9" i="7"/>
  <c r="G24" i="28" s="1"/>
  <c r="E23" i="28"/>
  <c r="E9" i="7"/>
  <c r="E24" i="28" s="1"/>
  <c r="D23" i="28"/>
  <c r="D9" i="7"/>
  <c r="D24" i="28" s="1"/>
  <c r="C9" i="7"/>
  <c r="C24" i="28" s="1"/>
  <c r="C23" i="28"/>
  <c r="G41" i="28"/>
  <c r="G9" i="4"/>
  <c r="G42" i="28" s="1"/>
  <c r="F41" i="28"/>
  <c r="F9" i="4"/>
  <c r="F42" i="28" s="1"/>
  <c r="E41" i="28"/>
  <c r="E9" i="4"/>
  <c r="E42" i="28" s="1"/>
  <c r="D41" i="28"/>
  <c r="D9" i="4"/>
  <c r="D42" i="28" s="1"/>
  <c r="C9" i="4"/>
  <c r="C42" i="28" s="1"/>
  <c r="C41" i="28"/>
  <c r="C9" i="5"/>
  <c r="C51" i="28" s="1"/>
  <c r="C50" i="28"/>
  <c r="H50" i="28"/>
  <c r="H9" i="5"/>
  <c r="H51" i="28" s="1"/>
  <c r="G50" i="28"/>
  <c r="G9" i="5"/>
  <c r="G51" i="28" s="1"/>
  <c r="F50" i="28"/>
  <c r="F9" i="5"/>
  <c r="F51" i="28" s="1"/>
  <c r="E50" i="28"/>
  <c r="E9" i="5"/>
  <c r="E51" i="28" s="1"/>
  <c r="D50" i="28"/>
  <c r="D9" i="5"/>
  <c r="D51" i="28" s="1"/>
  <c r="I9" i="5"/>
  <c r="I51" i="28" s="1"/>
  <c r="I50" i="28"/>
  <c r="O28" i="28"/>
  <c r="Q28" i="28" s="1"/>
  <c r="Q6" i="28" s="1"/>
  <c r="H30" i="28"/>
  <c r="H5" i="28" s="1"/>
  <c r="H6" i="28" s="1"/>
  <c r="I8" i="3"/>
  <c r="I9" i="3" s="1"/>
  <c r="H8" i="3"/>
  <c r="E32" i="28"/>
  <c r="E9" i="3"/>
  <c r="E33" i="28" s="1"/>
  <c r="D32" i="28"/>
  <c r="D9" i="3"/>
  <c r="D33" i="28" s="1"/>
  <c r="C9" i="3"/>
  <c r="C33" i="28" s="1"/>
  <c r="C32" i="28"/>
  <c r="G21" i="29"/>
  <c r="G22" i="28"/>
  <c r="E30" i="29"/>
  <c r="E31" i="28"/>
  <c r="E21" i="29"/>
  <c r="E22" i="28"/>
  <c r="D30" i="29"/>
  <c r="D31" i="28"/>
  <c r="D21" i="29"/>
  <c r="D22" i="28"/>
  <c r="N163" i="29"/>
  <c r="M163" i="29"/>
  <c r="L163" i="29"/>
  <c r="K163" i="29"/>
  <c r="J163" i="29"/>
  <c r="I163" i="29"/>
  <c r="H163" i="29"/>
  <c r="G163" i="29"/>
  <c r="F163" i="29"/>
  <c r="E163" i="29"/>
  <c r="D163" i="29"/>
  <c r="C163" i="29"/>
  <c r="C195" i="28"/>
  <c r="O159" i="29"/>
  <c r="Q192" i="28"/>
  <c r="O149" i="1"/>
  <c r="N157" i="29"/>
  <c r="M157" i="29"/>
  <c r="L157" i="29"/>
  <c r="K157" i="29"/>
  <c r="J157" i="29"/>
  <c r="I157" i="29"/>
  <c r="H157" i="29"/>
  <c r="G157" i="29"/>
  <c r="F157" i="29"/>
  <c r="E157" i="29"/>
  <c r="D157" i="29"/>
  <c r="C157" i="29"/>
  <c r="C187" i="28"/>
  <c r="N149" i="29"/>
  <c r="M149" i="29"/>
  <c r="L149" i="29"/>
  <c r="K149" i="29"/>
  <c r="J149" i="29"/>
  <c r="I149" i="29"/>
  <c r="H149" i="29"/>
  <c r="G149" i="29"/>
  <c r="E149" i="29"/>
  <c r="D149" i="29"/>
  <c r="C149" i="29"/>
  <c r="C176" i="28"/>
  <c r="O149" i="29"/>
  <c r="Q176" i="28"/>
  <c r="D151" i="29"/>
  <c r="E151" i="29"/>
  <c r="F151" i="29"/>
  <c r="G151" i="29"/>
  <c r="H151" i="29"/>
  <c r="I151" i="29"/>
  <c r="J151" i="29"/>
  <c r="K151" i="29"/>
  <c r="L151" i="29"/>
  <c r="M151" i="29"/>
  <c r="N151" i="29"/>
  <c r="C151" i="29"/>
  <c r="C179" i="28"/>
  <c r="F143" i="29"/>
  <c r="E143" i="29"/>
  <c r="G143" i="29"/>
  <c r="D143" i="29"/>
  <c r="N143" i="29"/>
  <c r="M143" i="29"/>
  <c r="L143" i="29"/>
  <c r="K143" i="29"/>
  <c r="J143" i="29"/>
  <c r="I143" i="29"/>
  <c r="H143" i="29"/>
  <c r="C143" i="29"/>
  <c r="C168" i="28"/>
  <c r="D145" i="29"/>
  <c r="E145" i="29"/>
  <c r="F145" i="29"/>
  <c r="G145" i="29"/>
  <c r="H145" i="29"/>
  <c r="I145" i="29"/>
  <c r="J145" i="29"/>
  <c r="K145" i="29"/>
  <c r="L145" i="29"/>
  <c r="M145" i="29"/>
  <c r="N145" i="29"/>
  <c r="C145" i="29"/>
  <c r="C171" i="28"/>
  <c r="O127" i="1"/>
  <c r="O137" i="29"/>
  <c r="F127" i="1"/>
  <c r="F137" i="29"/>
  <c r="N127" i="1"/>
  <c r="N137" i="29"/>
  <c r="M127" i="1"/>
  <c r="M137" i="29"/>
  <c r="L127" i="1"/>
  <c r="L137" i="29"/>
  <c r="K127" i="1"/>
  <c r="K137" i="29"/>
  <c r="J127" i="1"/>
  <c r="J137" i="29"/>
  <c r="I127" i="1"/>
  <c r="I137" i="29"/>
  <c r="H127" i="1"/>
  <c r="H137" i="29"/>
  <c r="G127" i="1"/>
  <c r="G137" i="29"/>
  <c r="E127" i="1"/>
  <c r="E137" i="29"/>
  <c r="D127" i="1"/>
  <c r="D137" i="29"/>
  <c r="C127" i="1"/>
  <c r="C137" i="29"/>
  <c r="C160" i="28"/>
  <c r="D139" i="29"/>
  <c r="E139" i="29"/>
  <c r="I139" i="29"/>
  <c r="J139" i="29"/>
  <c r="K139" i="29"/>
  <c r="L139" i="29"/>
  <c r="M139" i="29"/>
  <c r="N139" i="29"/>
  <c r="C139" i="29"/>
  <c r="C163" i="28"/>
  <c r="O135" i="29"/>
  <c r="D131" i="29"/>
  <c r="G131" i="29"/>
  <c r="N131" i="29"/>
  <c r="M131" i="29"/>
  <c r="L131" i="29"/>
  <c r="K131" i="29"/>
  <c r="J131" i="29"/>
  <c r="I131" i="29"/>
  <c r="H131" i="29"/>
  <c r="F131" i="29"/>
  <c r="E131" i="29"/>
  <c r="C131" i="29"/>
  <c r="C152" i="28"/>
  <c r="E133" i="29"/>
  <c r="D133" i="29"/>
  <c r="F133" i="29"/>
  <c r="G133" i="29"/>
  <c r="H133" i="29"/>
  <c r="I133" i="29"/>
  <c r="J133" i="29"/>
  <c r="K133" i="29"/>
  <c r="L133" i="29"/>
  <c r="M133" i="29"/>
  <c r="N133" i="29"/>
  <c r="C133" i="29"/>
  <c r="C155" i="28"/>
  <c r="O119" i="1"/>
  <c r="O129" i="29"/>
  <c r="O126" i="29"/>
  <c r="C125" i="29"/>
  <c r="C144" i="28"/>
  <c r="D127" i="29"/>
  <c r="E127" i="29"/>
  <c r="F127" i="29"/>
  <c r="G127" i="29"/>
  <c r="H127" i="29"/>
  <c r="I127" i="29"/>
  <c r="J127" i="29"/>
  <c r="K127" i="29"/>
  <c r="L127" i="29"/>
  <c r="M127" i="29"/>
  <c r="N127" i="29"/>
  <c r="C127" i="29"/>
  <c r="C147" i="28"/>
  <c r="O123" i="29"/>
  <c r="D125" i="29"/>
  <c r="C109" i="1"/>
  <c r="C119" i="29"/>
  <c r="C136" i="28"/>
  <c r="E109" i="1"/>
  <c r="E119" i="29"/>
  <c r="F109" i="1"/>
  <c r="F119" i="29"/>
  <c r="F3" i="28"/>
  <c r="G109" i="1"/>
  <c r="G119" i="29"/>
  <c r="G3" i="28"/>
  <c r="H109" i="1"/>
  <c r="H119" i="29"/>
  <c r="H3" i="28"/>
  <c r="N109" i="1"/>
  <c r="N119" i="29"/>
  <c r="N3" i="28"/>
  <c r="M109" i="1"/>
  <c r="M119" i="29"/>
  <c r="M3" i="28"/>
  <c r="L109" i="1"/>
  <c r="L119" i="29"/>
  <c r="L3" i="28"/>
  <c r="K109" i="1"/>
  <c r="K119" i="29"/>
  <c r="K3" i="28"/>
  <c r="J109" i="1"/>
  <c r="J119" i="29"/>
  <c r="J3" i="28"/>
  <c r="D109" i="1"/>
  <c r="D119" i="29"/>
  <c r="D3" i="28"/>
  <c r="I109" i="1"/>
  <c r="I119" i="29"/>
  <c r="I3" i="28"/>
  <c r="E121" i="29"/>
  <c r="D121" i="29"/>
  <c r="G121" i="29"/>
  <c r="H121" i="29"/>
  <c r="I121" i="29"/>
  <c r="J121" i="29"/>
  <c r="K121" i="29"/>
  <c r="L121" i="29"/>
  <c r="M121" i="29"/>
  <c r="N121" i="29"/>
  <c r="C121" i="29"/>
  <c r="C139" i="28"/>
  <c r="E161" i="1"/>
  <c r="E171" i="29"/>
  <c r="F161" i="1"/>
  <c r="F171" i="29"/>
  <c r="C161" i="1"/>
  <c r="C171" i="29"/>
  <c r="C200" i="28"/>
  <c r="D163" i="1"/>
  <c r="D173" i="29"/>
  <c r="G163" i="1"/>
  <c r="G173" i="29"/>
  <c r="H163" i="1"/>
  <c r="H173" i="29"/>
  <c r="I163" i="1"/>
  <c r="I173" i="29"/>
  <c r="J163" i="1"/>
  <c r="J173" i="29"/>
  <c r="K163" i="1"/>
  <c r="K173" i="29"/>
  <c r="L163" i="1"/>
  <c r="L173" i="29"/>
  <c r="M163" i="1"/>
  <c r="M173" i="29"/>
  <c r="N163" i="1"/>
  <c r="N173" i="29"/>
  <c r="C163" i="1"/>
  <c r="C173" i="29"/>
  <c r="C203" i="28"/>
  <c r="E163" i="1"/>
  <c r="E173" i="29"/>
  <c r="E97" i="1"/>
  <c r="E107" i="29"/>
  <c r="E120" i="28"/>
  <c r="O108" i="29"/>
  <c r="O122" i="28"/>
  <c r="E109" i="29"/>
  <c r="E123" i="28"/>
  <c r="F109" i="29"/>
  <c r="F123" i="28"/>
  <c r="I109" i="29"/>
  <c r="I123" i="28"/>
  <c r="J109" i="29"/>
  <c r="J123" i="28"/>
  <c r="K109" i="29"/>
  <c r="K123" i="28"/>
  <c r="L109" i="29"/>
  <c r="L123" i="28"/>
  <c r="M109" i="29"/>
  <c r="M123" i="28"/>
  <c r="N109" i="29"/>
  <c r="N123" i="28"/>
  <c r="C99" i="1"/>
  <c r="C109" i="29"/>
  <c r="C123" i="28"/>
  <c r="D109" i="29"/>
  <c r="D123" i="28"/>
  <c r="H109" i="29"/>
  <c r="H123" i="28"/>
  <c r="N103" i="29"/>
  <c r="N115" i="28"/>
  <c r="M103" i="29"/>
  <c r="M115" i="28"/>
  <c r="L103" i="29"/>
  <c r="L115" i="28"/>
  <c r="K103" i="29"/>
  <c r="K115" i="28"/>
  <c r="J103" i="29"/>
  <c r="J115" i="28"/>
  <c r="I103" i="29"/>
  <c r="I115" i="28"/>
  <c r="H103" i="29"/>
  <c r="H115" i="28"/>
  <c r="G103" i="29"/>
  <c r="G115" i="28"/>
  <c r="F103" i="29"/>
  <c r="F115" i="28"/>
  <c r="E103" i="29"/>
  <c r="E115" i="28"/>
  <c r="D103" i="29"/>
  <c r="D115" i="28"/>
  <c r="C103" i="29"/>
  <c r="C115" i="28"/>
  <c r="O89" i="1"/>
  <c r="O99" i="29"/>
  <c r="Q101" i="29" s="1"/>
  <c r="O111" i="28"/>
  <c r="N97" i="29"/>
  <c r="N107" i="28"/>
  <c r="M97" i="29"/>
  <c r="M107" i="28"/>
  <c r="L97" i="29"/>
  <c r="L107" i="28"/>
  <c r="K97" i="29"/>
  <c r="K107" i="28"/>
  <c r="J97" i="29"/>
  <c r="J107" i="28"/>
  <c r="I97" i="29"/>
  <c r="I107" i="28"/>
  <c r="H97" i="29"/>
  <c r="H107" i="28"/>
  <c r="G97" i="29"/>
  <c r="G107" i="28"/>
  <c r="F97" i="29"/>
  <c r="F107" i="28"/>
  <c r="E97" i="29"/>
  <c r="E107" i="28"/>
  <c r="D97" i="29"/>
  <c r="D107" i="28"/>
  <c r="C97" i="29"/>
  <c r="C107" i="28"/>
  <c r="E79" i="1"/>
  <c r="E89" i="29"/>
  <c r="E96" i="28"/>
  <c r="O79" i="1"/>
  <c r="O89" i="29"/>
  <c r="O96" i="28"/>
  <c r="C79" i="1"/>
  <c r="C89" i="29"/>
  <c r="C96" i="28"/>
  <c r="K91" i="29"/>
  <c r="K99" i="28"/>
  <c r="L91" i="29"/>
  <c r="L99" i="28"/>
  <c r="D91" i="29"/>
  <c r="D99" i="28"/>
  <c r="E91" i="29"/>
  <c r="E99" i="28"/>
  <c r="F91" i="29"/>
  <c r="F99" i="28"/>
  <c r="G91" i="29"/>
  <c r="G99" i="28"/>
  <c r="H91" i="29"/>
  <c r="H99" i="28"/>
  <c r="I91" i="29"/>
  <c r="I99" i="28"/>
  <c r="J91" i="29"/>
  <c r="J99" i="28"/>
  <c r="M91" i="29"/>
  <c r="M99" i="28"/>
  <c r="N91" i="29"/>
  <c r="N99" i="28"/>
  <c r="C91" i="29"/>
  <c r="C99" i="28"/>
  <c r="O77" i="1"/>
  <c r="O87" i="29"/>
  <c r="O95" i="28"/>
  <c r="E85" i="29"/>
  <c r="E90" i="28"/>
  <c r="F85" i="29"/>
  <c r="F90" i="28"/>
  <c r="N85" i="29"/>
  <c r="N90" i="28"/>
  <c r="M85" i="29"/>
  <c r="M90" i="28"/>
  <c r="L85" i="29"/>
  <c r="L90" i="28"/>
  <c r="K85" i="29"/>
  <c r="K90" i="28"/>
  <c r="J85" i="29"/>
  <c r="J90" i="28"/>
  <c r="I85" i="29"/>
  <c r="I90" i="28"/>
  <c r="H85" i="29"/>
  <c r="H90" i="28"/>
  <c r="D85" i="29"/>
  <c r="D90" i="28"/>
  <c r="C85" i="29"/>
  <c r="C90" i="28"/>
  <c r="O71" i="1"/>
  <c r="Q73" i="1" s="1"/>
  <c r="O81" i="29"/>
  <c r="O86" i="28"/>
  <c r="N79" i="29"/>
  <c r="N82" i="28"/>
  <c r="M79" i="29"/>
  <c r="M82" i="28"/>
  <c r="L79" i="29"/>
  <c r="L82" i="28"/>
  <c r="K79" i="29"/>
  <c r="K82" i="28"/>
  <c r="J79" i="29"/>
  <c r="J82" i="28"/>
  <c r="I79" i="29"/>
  <c r="I82" i="28"/>
  <c r="H79" i="29"/>
  <c r="H82" i="28"/>
  <c r="G79" i="29"/>
  <c r="G82" i="28"/>
  <c r="F79" i="29"/>
  <c r="F82" i="28"/>
  <c r="E79" i="29"/>
  <c r="E82" i="28"/>
  <c r="D79" i="29"/>
  <c r="D82" i="28"/>
  <c r="C79" i="29"/>
  <c r="C82" i="28"/>
  <c r="O75" i="29"/>
  <c r="Q77" i="29" s="1"/>
  <c r="O78" i="28"/>
  <c r="O65" i="1"/>
  <c r="C71" i="29"/>
  <c r="Q4" i="8"/>
  <c r="O71" i="29"/>
  <c r="Q71" i="28"/>
  <c r="G71" i="29"/>
  <c r="H71" i="29"/>
  <c r="O73" i="29"/>
  <c r="E73" i="29"/>
  <c r="D73" i="29"/>
  <c r="I73" i="29"/>
  <c r="J73" i="29"/>
  <c r="K73" i="29"/>
  <c r="L73" i="29"/>
  <c r="M73" i="29"/>
  <c r="N73" i="29"/>
  <c r="C73" i="29"/>
  <c r="E57" i="1"/>
  <c r="E64" i="29"/>
  <c r="H57" i="1"/>
  <c r="H64" i="29"/>
  <c r="N64" i="29"/>
  <c r="N57" i="1"/>
  <c r="M64" i="29"/>
  <c r="M57" i="1"/>
  <c r="L64" i="29"/>
  <c r="L57" i="1"/>
  <c r="K64" i="29"/>
  <c r="K57" i="1"/>
  <c r="J64" i="29"/>
  <c r="J57" i="1"/>
  <c r="I64" i="29"/>
  <c r="I57" i="1"/>
  <c r="D64" i="29"/>
  <c r="D57" i="1"/>
  <c r="C64" i="29"/>
  <c r="C57" i="1"/>
  <c r="Q4" i="6"/>
  <c r="O54" i="29"/>
  <c r="C54" i="29"/>
  <c r="G56" i="29"/>
  <c r="D56" i="29"/>
  <c r="E56" i="29"/>
  <c r="H56" i="29"/>
  <c r="I56" i="29"/>
  <c r="J56" i="29"/>
  <c r="K56" i="29"/>
  <c r="L56" i="29"/>
  <c r="M56" i="29"/>
  <c r="N56" i="29"/>
  <c r="C56" i="29"/>
  <c r="D46" i="29"/>
  <c r="E46" i="29"/>
  <c r="F46" i="29"/>
  <c r="I46" i="29"/>
  <c r="H46" i="29"/>
  <c r="G46" i="29"/>
  <c r="D48" i="29"/>
  <c r="E48" i="29"/>
  <c r="F48" i="29"/>
  <c r="G48" i="29"/>
  <c r="H48" i="29"/>
  <c r="I48" i="29"/>
  <c r="J48" i="29"/>
  <c r="K48" i="29"/>
  <c r="L48" i="29"/>
  <c r="M48" i="29"/>
  <c r="N48" i="29"/>
  <c r="C48" i="29"/>
  <c r="F36" i="29"/>
  <c r="I36" i="29"/>
  <c r="E38" i="29"/>
  <c r="F38" i="29"/>
  <c r="G38" i="29"/>
  <c r="I38" i="29"/>
  <c r="J38" i="29"/>
  <c r="K38" i="29"/>
  <c r="L38" i="29"/>
  <c r="M38" i="29"/>
  <c r="N38" i="29"/>
  <c r="C38" i="29"/>
  <c r="D38" i="29"/>
  <c r="I30" i="29"/>
  <c r="I29" i="1"/>
  <c r="O26" i="29"/>
  <c r="M28" i="29"/>
  <c r="N28" i="29"/>
  <c r="O28" i="29"/>
  <c r="C19" i="29"/>
  <c r="D19" i="29"/>
  <c r="I19" i="29"/>
  <c r="G19" i="29"/>
  <c r="F19" i="29"/>
  <c r="I21" i="29"/>
  <c r="J21" i="29"/>
  <c r="K21" i="29"/>
  <c r="L21" i="29"/>
  <c r="M21" i="29"/>
  <c r="N21" i="29"/>
  <c r="O17" i="29"/>
  <c r="C2" i="29"/>
  <c r="C10" i="29"/>
  <c r="D10" i="28"/>
  <c r="D2" i="29"/>
  <c r="D10" i="29"/>
  <c r="E10" i="28"/>
  <c r="E2" i="29"/>
  <c r="E10" i="29"/>
  <c r="F2" i="29"/>
  <c r="F10" i="29"/>
  <c r="G10" i="28"/>
  <c r="G2" i="29"/>
  <c r="G10" i="29"/>
  <c r="H10" i="28"/>
  <c r="H2" i="29"/>
  <c r="H10" i="29"/>
  <c r="I10" i="28"/>
  <c r="I2" i="29"/>
  <c r="I10" i="29"/>
  <c r="J10" i="28"/>
  <c r="J2" i="29"/>
  <c r="J10" i="29"/>
  <c r="K10" i="28"/>
  <c r="K2" i="29"/>
  <c r="K10" i="29"/>
  <c r="L10" i="28"/>
  <c r="L2" i="29"/>
  <c r="L10" i="29"/>
  <c r="M10" i="28"/>
  <c r="M2" i="29"/>
  <c r="M10" i="29"/>
  <c r="N10" i="28"/>
  <c r="N2" i="29"/>
  <c r="N10" i="29"/>
  <c r="D13" i="28"/>
  <c r="D14" i="28" s="1"/>
  <c r="D5" i="29"/>
  <c r="D6" i="29" s="1"/>
  <c r="D13" i="29"/>
  <c r="D14" i="29" s="1"/>
  <c r="E13" i="28"/>
  <c r="E14" i="28" s="1"/>
  <c r="E5" i="29"/>
  <c r="E6" i="29" s="1"/>
  <c r="E13" i="29"/>
  <c r="E14" i="29" s="1"/>
  <c r="I13" i="28"/>
  <c r="I14" i="28" s="1"/>
  <c r="I5" i="29"/>
  <c r="I6" i="29" s="1"/>
  <c r="I13" i="29"/>
  <c r="I14" i="29" s="1"/>
  <c r="J13" i="28"/>
  <c r="J14" i="28" s="1"/>
  <c r="J5" i="29"/>
  <c r="J6" i="29" s="1"/>
  <c r="J13" i="29"/>
  <c r="K13" i="28"/>
  <c r="K5" i="29"/>
  <c r="K6" i="29" s="1"/>
  <c r="K13" i="29"/>
  <c r="L13" i="28"/>
  <c r="L14" i="28" s="1"/>
  <c r="L5" i="29"/>
  <c r="L6" i="29" s="1"/>
  <c r="L13" i="29"/>
  <c r="M13" i="28"/>
  <c r="M5" i="29"/>
  <c r="M6" i="29" s="1"/>
  <c r="M13" i="29"/>
  <c r="N13" i="28"/>
  <c r="N5" i="29"/>
  <c r="N6" i="29" s="1"/>
  <c r="N13" i="29"/>
  <c r="C13" i="28"/>
  <c r="C5" i="29"/>
  <c r="C13" i="29"/>
  <c r="N11" i="28"/>
  <c r="M11" i="28"/>
  <c r="L11" i="28"/>
  <c r="K11" i="28"/>
  <c r="J11" i="28"/>
  <c r="H11" i="28"/>
  <c r="F73" i="29"/>
  <c r="O141" i="29"/>
  <c r="C29" i="1"/>
  <c r="D29" i="1"/>
  <c r="E29" i="1"/>
  <c r="D12" i="1"/>
  <c r="O3" i="1"/>
  <c r="E12" i="1"/>
  <c r="E13" i="1" s="1"/>
  <c r="Q4" i="3"/>
  <c r="O98" i="1"/>
  <c r="O7" i="9"/>
  <c r="O116" i="1"/>
  <c r="O7" i="12"/>
  <c r="O147" i="28" s="1"/>
  <c r="N139" i="1"/>
  <c r="N141" i="1"/>
  <c r="M139" i="1"/>
  <c r="M141" i="1"/>
  <c r="L139" i="1"/>
  <c r="L141" i="1"/>
  <c r="H139" i="1"/>
  <c r="H141" i="1"/>
  <c r="G139" i="1"/>
  <c r="G141" i="1"/>
  <c r="E139" i="1"/>
  <c r="E141" i="1"/>
  <c r="D139" i="1"/>
  <c r="D141" i="1"/>
  <c r="C139" i="1"/>
  <c r="C141" i="1"/>
  <c r="N133" i="1"/>
  <c r="N135" i="1"/>
  <c r="M133" i="1"/>
  <c r="M135" i="1"/>
  <c r="L133" i="1"/>
  <c r="L135" i="1"/>
  <c r="K133" i="1"/>
  <c r="K135" i="1"/>
  <c r="J133" i="1"/>
  <c r="J135" i="1"/>
  <c r="D121" i="1"/>
  <c r="D123" i="1"/>
  <c r="N121" i="1"/>
  <c r="N123" i="1"/>
  <c r="M121" i="1"/>
  <c r="M123" i="1"/>
  <c r="L121" i="1"/>
  <c r="L123" i="1"/>
  <c r="K121" i="1"/>
  <c r="K123" i="1"/>
  <c r="J121" i="1"/>
  <c r="J123" i="1"/>
  <c r="I121" i="1"/>
  <c r="I123" i="1"/>
  <c r="H121" i="1"/>
  <c r="H123" i="1"/>
  <c r="F121" i="1"/>
  <c r="F123" i="1"/>
  <c r="E121" i="1"/>
  <c r="E123" i="1"/>
  <c r="C121" i="1"/>
  <c r="C123" i="1"/>
  <c r="K139" i="1"/>
  <c r="K141" i="1"/>
  <c r="J139" i="1"/>
  <c r="J141" i="1"/>
  <c r="G121" i="1"/>
  <c r="G123" i="1"/>
  <c r="G133" i="1"/>
  <c r="G135" i="1"/>
  <c r="I139" i="1"/>
  <c r="I141" i="1"/>
  <c r="O139" i="1"/>
  <c r="F133" i="1"/>
  <c r="F135" i="1"/>
  <c r="E133" i="1"/>
  <c r="E135" i="1"/>
  <c r="D133" i="1"/>
  <c r="D135" i="1"/>
  <c r="N129" i="1"/>
  <c r="M129" i="1"/>
  <c r="L129" i="1"/>
  <c r="K129" i="1"/>
  <c r="J129" i="1"/>
  <c r="I129" i="1"/>
  <c r="E129" i="1"/>
  <c r="D129" i="1"/>
  <c r="C129" i="1"/>
  <c r="C20" i="1"/>
  <c r="C18" i="1"/>
  <c r="D20" i="1"/>
  <c r="D18" i="1"/>
  <c r="O4" i="7"/>
  <c r="O19" i="28" s="1"/>
  <c r="G20" i="1"/>
  <c r="G18" i="1"/>
  <c r="F18" i="1"/>
  <c r="E81" i="1"/>
  <c r="C111" i="1"/>
  <c r="E111" i="1"/>
  <c r="G111" i="1"/>
  <c r="H111" i="1"/>
  <c r="E99" i="1"/>
  <c r="I20" i="1"/>
  <c r="I18" i="1"/>
  <c r="C63" i="1"/>
  <c r="C61" i="1"/>
  <c r="O63" i="1"/>
  <c r="O61" i="1"/>
  <c r="G61" i="1"/>
  <c r="H61" i="1"/>
  <c r="C27" i="1"/>
  <c r="K27" i="1"/>
  <c r="J27" i="1"/>
  <c r="O27" i="1"/>
  <c r="C37" i="1"/>
  <c r="C35" i="1"/>
  <c r="D35" i="1"/>
  <c r="D37" i="1"/>
  <c r="E35" i="1"/>
  <c r="E37" i="1"/>
  <c r="F35" i="1"/>
  <c r="F37" i="1"/>
  <c r="I35" i="1"/>
  <c r="I37" i="1"/>
  <c r="C45" i="1"/>
  <c r="C43" i="1"/>
  <c r="D43" i="1"/>
  <c r="D45" i="1"/>
  <c r="E43" i="1"/>
  <c r="E45" i="1"/>
  <c r="F43" i="1"/>
  <c r="F45" i="1"/>
  <c r="I43" i="1"/>
  <c r="I45" i="1"/>
  <c r="H43" i="1"/>
  <c r="H45" i="1"/>
  <c r="G43" i="1"/>
  <c r="G45" i="1"/>
  <c r="O4" i="9"/>
  <c r="N9" i="7" l="1"/>
  <c r="N24" i="28" s="1"/>
  <c r="N23" i="28"/>
  <c r="M9" i="7"/>
  <c r="M24" i="28" s="1"/>
  <c r="M23" i="28"/>
  <c r="L9" i="7"/>
  <c r="L24" i="28" s="1"/>
  <c r="L23" i="28"/>
  <c r="K9" i="7"/>
  <c r="K24" i="28" s="1"/>
  <c r="K23" i="28"/>
  <c r="J9" i="7"/>
  <c r="J24" i="28" s="1"/>
  <c r="J23" i="28"/>
  <c r="J22" i="28"/>
  <c r="J20" i="1"/>
  <c r="N9" i="4"/>
  <c r="N42" i="28" s="1"/>
  <c r="N41" i="28"/>
  <c r="M9" i="4"/>
  <c r="M42" i="28" s="1"/>
  <c r="M41" i="28"/>
  <c r="L9" i="4"/>
  <c r="L42" i="28" s="1"/>
  <c r="L41" i="28"/>
  <c r="K9" i="4"/>
  <c r="K42" i="28" s="1"/>
  <c r="K41" i="28"/>
  <c r="J9" i="4"/>
  <c r="J42" i="28" s="1"/>
  <c r="J41" i="28"/>
  <c r="N9" i="9"/>
  <c r="N125" i="28" s="1"/>
  <c r="N124" i="28"/>
  <c r="M9" i="9"/>
  <c r="M125" i="28" s="1"/>
  <c r="M124" i="28"/>
  <c r="L9" i="9"/>
  <c r="L125" i="28" s="1"/>
  <c r="L124" i="28"/>
  <c r="K9" i="9"/>
  <c r="K125" i="28" s="1"/>
  <c r="K124" i="28"/>
  <c r="J9" i="9"/>
  <c r="J125" i="28" s="1"/>
  <c r="J124" i="28"/>
  <c r="N9" i="19"/>
  <c r="N92" i="28" s="1"/>
  <c r="N91" i="28"/>
  <c r="M9" i="19"/>
  <c r="M92" i="28" s="1"/>
  <c r="M91" i="28"/>
  <c r="L9" i="19"/>
  <c r="L92" i="28" s="1"/>
  <c r="L91" i="28"/>
  <c r="K9" i="19"/>
  <c r="K92" i="28" s="1"/>
  <c r="K91" i="28"/>
  <c r="J9" i="19"/>
  <c r="J92" i="28" s="1"/>
  <c r="J91" i="28"/>
  <c r="N9" i="27"/>
  <c r="N67" i="28" s="1"/>
  <c r="N66" i="28"/>
  <c r="M9" i="27"/>
  <c r="M67" i="28" s="1"/>
  <c r="M66" i="28"/>
  <c r="L9" i="27"/>
  <c r="L67" i="28" s="1"/>
  <c r="L66" i="28"/>
  <c r="K9" i="27"/>
  <c r="K67" i="28" s="1"/>
  <c r="K66" i="28"/>
  <c r="J9" i="27"/>
  <c r="J67" i="28" s="1"/>
  <c r="J66" i="28"/>
  <c r="N9" i="10"/>
  <c r="N205" i="28" s="1"/>
  <c r="N204" i="28"/>
  <c r="M9" i="10"/>
  <c r="M205" i="28" s="1"/>
  <c r="M204" i="28"/>
  <c r="L9" i="10"/>
  <c r="L205" i="28" s="1"/>
  <c r="L204" i="28"/>
  <c r="K9" i="10"/>
  <c r="K205" i="28" s="1"/>
  <c r="K204" i="28"/>
  <c r="J9" i="10"/>
  <c r="J205" i="28" s="1"/>
  <c r="J204" i="28"/>
  <c r="N9" i="6"/>
  <c r="N59" i="28" s="1"/>
  <c r="N58" i="28"/>
  <c r="M9" i="6"/>
  <c r="M59" i="28" s="1"/>
  <c r="M58" i="28"/>
  <c r="L9" i="6"/>
  <c r="L59" i="28" s="1"/>
  <c r="L58" i="28"/>
  <c r="K9" i="6"/>
  <c r="K59" i="28" s="1"/>
  <c r="K58" i="28"/>
  <c r="J9" i="6"/>
  <c r="J59" i="28" s="1"/>
  <c r="J58" i="28"/>
  <c r="N9" i="26"/>
  <c r="N133" i="28" s="1"/>
  <c r="N132" i="28"/>
  <c r="M9" i="26"/>
  <c r="M133" i="28" s="1"/>
  <c r="M132" i="28"/>
  <c r="L9" i="26"/>
  <c r="L133" i="28" s="1"/>
  <c r="L132" i="28"/>
  <c r="K9" i="26"/>
  <c r="K133" i="28" s="1"/>
  <c r="K132" i="28"/>
  <c r="J9" i="26"/>
  <c r="J133" i="28" s="1"/>
  <c r="J132" i="28"/>
  <c r="L9" i="8"/>
  <c r="L76" i="28" s="1"/>
  <c r="L75" i="28"/>
  <c r="K9" i="8"/>
  <c r="K76" i="28" s="1"/>
  <c r="K75" i="28"/>
  <c r="N9" i="3"/>
  <c r="N33" i="28" s="1"/>
  <c r="N32" i="28"/>
  <c r="M9" i="3"/>
  <c r="M33" i="28" s="1"/>
  <c r="M32" i="28"/>
  <c r="L9" i="3"/>
  <c r="L33" i="28" s="1"/>
  <c r="L32" i="28"/>
  <c r="K9" i="3"/>
  <c r="K33" i="28" s="1"/>
  <c r="K32" i="28"/>
  <c r="J9" i="3"/>
  <c r="J33" i="28" s="1"/>
  <c r="J32" i="28"/>
  <c r="N9" i="11"/>
  <c r="N141" i="28" s="1"/>
  <c r="N140" i="28"/>
  <c r="M9" i="11"/>
  <c r="M141" i="28" s="1"/>
  <c r="M140" i="28"/>
  <c r="L9" i="11"/>
  <c r="L141" i="28" s="1"/>
  <c r="L140" i="28"/>
  <c r="K9" i="11"/>
  <c r="K141" i="28" s="1"/>
  <c r="K140" i="28"/>
  <c r="J9" i="11"/>
  <c r="J141" i="28" s="1"/>
  <c r="J140" i="28"/>
  <c r="N9" i="14"/>
  <c r="N165" i="28" s="1"/>
  <c r="N164" i="28"/>
  <c r="M9" i="14"/>
  <c r="M165" i="28" s="1"/>
  <c r="M164" i="28"/>
  <c r="L9" i="14"/>
  <c r="L165" i="28" s="1"/>
  <c r="L164" i="28"/>
  <c r="K9" i="14"/>
  <c r="K165" i="28" s="1"/>
  <c r="K164" i="28"/>
  <c r="J9" i="14"/>
  <c r="J165" i="28" s="1"/>
  <c r="J164" i="28"/>
  <c r="K14" i="28"/>
  <c r="G5" i="28"/>
  <c r="G6" i="28" s="1"/>
  <c r="J76" i="28"/>
  <c r="J75" i="28"/>
  <c r="O30" i="29"/>
  <c r="O30" i="28"/>
  <c r="G90" i="28"/>
  <c r="G85" i="29"/>
  <c r="G57" i="1"/>
  <c r="H9" i="4"/>
  <c r="H42" i="28" s="1"/>
  <c r="G13" i="28"/>
  <c r="G14" i="28" s="1"/>
  <c r="O31" i="28"/>
  <c r="H91" i="28"/>
  <c r="I124" i="28"/>
  <c r="O153" i="1"/>
  <c r="F13" i="28"/>
  <c r="Q104" i="28"/>
  <c r="O20" i="29"/>
  <c r="O8" i="7"/>
  <c r="O23" i="28" s="1"/>
  <c r="O85" i="29"/>
  <c r="I41" i="28"/>
  <c r="O7" i="7"/>
  <c r="O22" i="28" s="1"/>
  <c r="O111" i="1"/>
  <c r="O163" i="1"/>
  <c r="O8" i="3"/>
  <c r="O32" i="28" s="1"/>
  <c r="H37" i="1"/>
  <c r="O21" i="28"/>
  <c r="F22" i="28"/>
  <c r="H66" i="28"/>
  <c r="H129" i="1"/>
  <c r="G29" i="1"/>
  <c r="F20" i="1"/>
  <c r="O29" i="29"/>
  <c r="Q155" i="29"/>
  <c r="O28" i="1"/>
  <c r="H38" i="29"/>
  <c r="H40" i="29" s="1"/>
  <c r="Q91" i="1"/>
  <c r="G91" i="28"/>
  <c r="O99" i="28"/>
  <c r="O173" i="29"/>
  <c r="O163" i="29"/>
  <c r="G9" i="9"/>
  <c r="G125" i="28" s="1"/>
  <c r="H139" i="29"/>
  <c r="F164" i="28"/>
  <c r="I9" i="26"/>
  <c r="I133" i="28" s="1"/>
  <c r="G123" i="28"/>
  <c r="F124" i="28"/>
  <c r="G109" i="29"/>
  <c r="G30" i="29"/>
  <c r="H32" i="29" s="1"/>
  <c r="F9" i="26"/>
  <c r="F133" i="28" s="1"/>
  <c r="Q87" i="28"/>
  <c r="I58" i="28"/>
  <c r="G64" i="29"/>
  <c r="Q83" i="29"/>
  <c r="G58" i="28"/>
  <c r="O97" i="29"/>
  <c r="Q112" i="28"/>
  <c r="O48" i="29"/>
  <c r="Q161" i="29"/>
  <c r="G9" i="8"/>
  <c r="G76" i="28" s="1"/>
  <c r="H164" i="28"/>
  <c r="Q61" i="1"/>
  <c r="O81" i="1"/>
  <c r="O45" i="1"/>
  <c r="O107" i="28"/>
  <c r="H9" i="9"/>
  <c r="H125" i="28" s="1"/>
  <c r="P7" i="6"/>
  <c r="O121" i="29"/>
  <c r="F9" i="6"/>
  <c r="F59" i="28" s="1"/>
  <c r="F57" i="1"/>
  <c r="G9" i="14"/>
  <c r="G165" i="28" s="1"/>
  <c r="Q113" i="29"/>
  <c r="G129" i="1"/>
  <c r="H9" i="6"/>
  <c r="H59" i="28" s="1"/>
  <c r="I9" i="10"/>
  <c r="I205" i="28" s="1"/>
  <c r="Q128" i="28"/>
  <c r="O161" i="1"/>
  <c r="Q161" i="1" s="1"/>
  <c r="O119" i="29"/>
  <c r="Q119" i="29" s="1"/>
  <c r="H23" i="28"/>
  <c r="O115" i="1"/>
  <c r="Q115" i="1" s="1"/>
  <c r="Q4" i="10"/>
  <c r="O109" i="1"/>
  <c r="Q109" i="1" s="1"/>
  <c r="O125" i="29"/>
  <c r="Q125" i="29" s="1"/>
  <c r="O46" i="29"/>
  <c r="Q46" i="29" s="1"/>
  <c r="O133" i="29"/>
  <c r="O171" i="29"/>
  <c r="Q171" i="29" s="1"/>
  <c r="F5" i="29"/>
  <c r="F6" i="29" s="1"/>
  <c r="O123" i="1"/>
  <c r="Q4" i="5"/>
  <c r="G139" i="29"/>
  <c r="G9" i="26"/>
  <c r="G133" i="28" s="1"/>
  <c r="F5" i="28"/>
  <c r="F6" i="28" s="1"/>
  <c r="Q54" i="29"/>
  <c r="H12" i="1"/>
  <c r="H5" i="1" s="1"/>
  <c r="G32" i="28"/>
  <c r="O38" i="29"/>
  <c r="G12" i="1"/>
  <c r="G13" i="1" s="1"/>
  <c r="G6" i="1" s="1"/>
  <c r="G9" i="27"/>
  <c r="G67" i="28" s="1"/>
  <c r="F12" i="1"/>
  <c r="F13" i="1" s="1"/>
  <c r="F111" i="1"/>
  <c r="F129" i="1"/>
  <c r="I9" i="14"/>
  <c r="I165" i="28" s="1"/>
  <c r="O162" i="28"/>
  <c r="F121" i="29"/>
  <c r="O138" i="29"/>
  <c r="O121" i="1"/>
  <c r="Q121" i="1" s="1"/>
  <c r="F9" i="7"/>
  <c r="F24" i="28" s="1"/>
  <c r="F51" i="1"/>
  <c r="O7" i="14"/>
  <c r="F13" i="29"/>
  <c r="F14" i="29" s="1"/>
  <c r="F15" i="29" s="1"/>
  <c r="H22" i="28"/>
  <c r="F22" i="29"/>
  <c r="F23" i="29" s="1"/>
  <c r="O51" i="1"/>
  <c r="G9" i="10"/>
  <c r="G205" i="28" s="1"/>
  <c r="Q67" i="1"/>
  <c r="F139" i="29"/>
  <c r="H21" i="29"/>
  <c r="O8" i="14"/>
  <c r="O164" i="28" s="1"/>
  <c r="L13" i="1"/>
  <c r="Q71" i="29"/>
  <c r="Q79" i="28"/>
  <c r="O157" i="29"/>
  <c r="H132" i="28"/>
  <c r="H22" i="29"/>
  <c r="F56" i="29"/>
  <c r="G58" i="29" s="1"/>
  <c r="G73" i="29"/>
  <c r="O115" i="28"/>
  <c r="Q151" i="1"/>
  <c r="O147" i="1"/>
  <c r="H9" i="11"/>
  <c r="H141" i="28" s="1"/>
  <c r="H9" i="10"/>
  <c r="H205" i="28" s="1"/>
  <c r="G9" i="11"/>
  <c r="G141" i="28" s="1"/>
  <c r="G13" i="29"/>
  <c r="G14" i="29" s="1"/>
  <c r="G15" i="29" s="1"/>
  <c r="O56" i="29"/>
  <c r="F64" i="29"/>
  <c r="O103" i="29"/>
  <c r="G5" i="29"/>
  <c r="G6" i="29" s="1"/>
  <c r="F66" i="28"/>
  <c r="H13" i="29"/>
  <c r="H14" i="29" s="1"/>
  <c r="H15" i="29" s="1"/>
  <c r="Q139" i="1"/>
  <c r="O82" i="28"/>
  <c r="O64" i="29"/>
  <c r="O79" i="29"/>
  <c r="O151" i="29"/>
  <c r="F31" i="28"/>
  <c r="F9" i="10"/>
  <c r="F205" i="28" s="1"/>
  <c r="I66" i="28"/>
  <c r="F173" i="29"/>
  <c r="O36" i="29"/>
  <c r="Q36" i="29" s="1"/>
  <c r="F163" i="1"/>
  <c r="Q4" i="4"/>
  <c r="O168" i="28"/>
  <c r="Q168" i="28" s="1"/>
  <c r="H13" i="28"/>
  <c r="H14" i="28" s="1"/>
  <c r="I9" i="8"/>
  <c r="I76" i="28" s="1"/>
  <c r="G63" i="1"/>
  <c r="F29" i="1"/>
  <c r="O57" i="1"/>
  <c r="O131" i="29"/>
  <c r="Q131" i="29" s="1"/>
  <c r="I9" i="11"/>
  <c r="I141" i="28" s="1"/>
  <c r="F9" i="11"/>
  <c r="F141" i="28" s="1"/>
  <c r="H63" i="1"/>
  <c r="O143" i="29"/>
  <c r="Q143" i="29" s="1"/>
  <c r="J5" i="1"/>
  <c r="O37" i="1"/>
  <c r="F9" i="3"/>
  <c r="F33" i="28" s="1"/>
  <c r="O35" i="1"/>
  <c r="Q35" i="1" s="1"/>
  <c r="D32" i="29"/>
  <c r="I9" i="7"/>
  <c r="I24" i="28" s="1"/>
  <c r="H73" i="29"/>
  <c r="O141" i="1"/>
  <c r="O90" i="28"/>
  <c r="Q149" i="29"/>
  <c r="O43" i="1"/>
  <c r="Q43" i="1" s="1"/>
  <c r="H9" i="8"/>
  <c r="H76" i="28" s="1"/>
  <c r="E3" i="28"/>
  <c r="H5" i="29"/>
  <c r="H6" i="29" s="1"/>
  <c r="G23" i="29"/>
  <c r="M12" i="29"/>
  <c r="D50" i="29"/>
  <c r="H12" i="29"/>
  <c r="E32" i="29"/>
  <c r="O2" i="1"/>
  <c r="L12" i="29"/>
  <c r="F32" i="29"/>
  <c r="Q27" i="1"/>
  <c r="Q6" i="1" s="1"/>
  <c r="M13" i="1"/>
  <c r="C14" i="1"/>
  <c r="D14" i="1" s="1"/>
  <c r="E14" i="1" s="1"/>
  <c r="Q133" i="1"/>
  <c r="D23" i="29"/>
  <c r="K13" i="1"/>
  <c r="H29" i="1"/>
  <c r="E23" i="29"/>
  <c r="E58" i="29"/>
  <c r="H4" i="29"/>
  <c r="M4" i="29"/>
  <c r="D58" i="29"/>
  <c r="E12" i="29"/>
  <c r="N12" i="29"/>
  <c r="K4" i="29"/>
  <c r="Q127" i="1"/>
  <c r="H31" i="28"/>
  <c r="E4" i="29"/>
  <c r="J4" i="29"/>
  <c r="O9" i="1"/>
  <c r="L4" i="29"/>
  <c r="J12" i="29"/>
  <c r="Q28" i="29"/>
  <c r="Q6" i="29" s="1"/>
  <c r="H11" i="1"/>
  <c r="N4" i="29"/>
  <c r="O18" i="1"/>
  <c r="Q18" i="1" s="1"/>
  <c r="K12" i="29"/>
  <c r="H50" i="29"/>
  <c r="C3" i="28"/>
  <c r="G50" i="29"/>
  <c r="O2" i="28"/>
  <c r="D13" i="1"/>
  <c r="N5" i="1"/>
  <c r="F50" i="29"/>
  <c r="E50" i="29"/>
  <c r="E11" i="28"/>
  <c r="H9" i="3"/>
  <c r="H33" i="28" s="1"/>
  <c r="H32" i="28"/>
  <c r="I33" i="28"/>
  <c r="I32" i="28"/>
  <c r="Q160" i="28"/>
  <c r="Q137" i="29"/>
  <c r="Q152" i="28"/>
  <c r="O117" i="1"/>
  <c r="O127" i="29"/>
  <c r="Q144" i="28"/>
  <c r="O107" i="29"/>
  <c r="Q107" i="29" s="1"/>
  <c r="O120" i="28"/>
  <c r="Q120" i="28" s="1"/>
  <c r="O109" i="29"/>
  <c r="O123" i="28"/>
  <c r="Q96" i="28"/>
  <c r="Q89" i="29"/>
  <c r="Q79" i="1"/>
  <c r="D66" i="29"/>
  <c r="E66" i="29"/>
  <c r="D40" i="29"/>
  <c r="E40" i="29"/>
  <c r="F40" i="29"/>
  <c r="G40" i="29"/>
  <c r="O19" i="29"/>
  <c r="Q19" i="29" s="1"/>
  <c r="Q19" i="28"/>
  <c r="C14" i="29"/>
  <c r="C15" i="29"/>
  <c r="E7" i="29"/>
  <c r="D7" i="29"/>
  <c r="C7" i="29"/>
  <c r="C6" i="29"/>
  <c r="D15" i="28"/>
  <c r="D16" i="28" s="1"/>
  <c r="E15" i="28"/>
  <c r="E16" i="28" s="1"/>
  <c r="C15" i="28"/>
  <c r="C14" i="28"/>
  <c r="C7" i="28"/>
  <c r="C8" i="28" s="1"/>
  <c r="D7" i="28"/>
  <c r="E7" i="28"/>
  <c r="E8" i="28" s="1"/>
  <c r="N15" i="29"/>
  <c r="O15" i="29" s="1"/>
  <c r="O7" i="29" s="1"/>
  <c r="N14" i="29"/>
  <c r="M14" i="29"/>
  <c r="L14" i="29"/>
  <c r="K14" i="29"/>
  <c r="J14" i="29"/>
  <c r="O10" i="28"/>
  <c r="I15" i="29"/>
  <c r="J15" i="29" s="1"/>
  <c r="K15" i="29" s="1"/>
  <c r="L15" i="29" s="1"/>
  <c r="M15" i="29" s="1"/>
  <c r="E15" i="29"/>
  <c r="D15" i="29"/>
  <c r="O10" i="29"/>
  <c r="O2" i="29"/>
  <c r="F11" i="28"/>
  <c r="F12" i="29"/>
  <c r="F4" i="29"/>
  <c r="G11" i="28"/>
  <c r="G4" i="29"/>
  <c r="G12" i="29"/>
  <c r="I11" i="28"/>
  <c r="I4" i="29"/>
  <c r="I12" i="29"/>
  <c r="D11" i="28"/>
  <c r="D4" i="29"/>
  <c r="D12" i="29"/>
  <c r="C11" i="28"/>
  <c r="C4" i="29"/>
  <c r="C12" i="29"/>
  <c r="I11" i="1"/>
  <c r="C11" i="1"/>
  <c r="C4" i="1" s="1"/>
  <c r="L11" i="1"/>
  <c r="M11" i="1"/>
  <c r="N11" i="1"/>
  <c r="E11" i="1"/>
  <c r="J11" i="1"/>
  <c r="K11" i="1"/>
  <c r="G11" i="1"/>
  <c r="F11" i="1"/>
  <c r="D11" i="1"/>
  <c r="O97" i="1"/>
  <c r="Q97" i="1" s="1"/>
  <c r="Q4" i="9"/>
  <c r="I5" i="1"/>
  <c r="E5" i="1"/>
  <c r="D5" i="1"/>
  <c r="C5" i="1"/>
  <c r="C6" i="1"/>
  <c r="O99" i="1"/>
  <c r="F14" i="28" l="1"/>
  <c r="I15" i="28"/>
  <c r="I16" i="28" s="1"/>
  <c r="J15" i="28"/>
  <c r="J16" i="28" s="1"/>
  <c r="K15" i="28"/>
  <c r="K16" i="28" s="1"/>
  <c r="L15" i="28"/>
  <c r="L16" i="28" s="1"/>
  <c r="I7" i="28"/>
  <c r="I8" i="28" s="1"/>
  <c r="J7" i="28"/>
  <c r="J8" i="28" s="1"/>
  <c r="F15" i="28"/>
  <c r="F16" i="28" s="1"/>
  <c r="G15" i="28"/>
  <c r="G16" i="28" s="1"/>
  <c r="G66" i="29"/>
  <c r="O21" i="29"/>
  <c r="O20" i="1"/>
  <c r="F66" i="29"/>
  <c r="G32" i="29"/>
  <c r="F7" i="29"/>
  <c r="F8" i="29" s="1"/>
  <c r="H66" i="29"/>
  <c r="F5" i="1"/>
  <c r="D8" i="29"/>
  <c r="H23" i="29"/>
  <c r="G7" i="28"/>
  <c r="G8" i="28" s="1"/>
  <c r="H7" i="28"/>
  <c r="H8" i="28" s="1"/>
  <c r="F7" i="28"/>
  <c r="F8" i="28" s="1"/>
  <c r="O5" i="28"/>
  <c r="O7" i="28" s="1"/>
  <c r="H58" i="29"/>
  <c r="O12" i="1"/>
  <c r="H13" i="1"/>
  <c r="O13" i="1" s="1"/>
  <c r="Q20" i="29"/>
  <c r="G5" i="1"/>
  <c r="N7" i="29"/>
  <c r="O13" i="28"/>
  <c r="O15" i="28" s="1"/>
  <c r="O5" i="29"/>
  <c r="H15" i="28"/>
  <c r="H16" i="28" s="1"/>
  <c r="L7" i="29"/>
  <c r="K7" i="29"/>
  <c r="J7" i="29"/>
  <c r="G7" i="29"/>
  <c r="G8" i="29" s="1"/>
  <c r="F58" i="29"/>
  <c r="O163" i="28"/>
  <c r="O139" i="29"/>
  <c r="O129" i="1"/>
  <c r="O6" i="29"/>
  <c r="M7" i="29"/>
  <c r="O3" i="28"/>
  <c r="Q5" i="28" s="1"/>
  <c r="Q7" i="28" s="1"/>
  <c r="S7" i="28" s="1"/>
  <c r="O13" i="29"/>
  <c r="I7" i="29"/>
  <c r="Q21" i="28"/>
  <c r="H7" i="29"/>
  <c r="H8" i="29" s="1"/>
  <c r="Q19" i="1"/>
  <c r="O12" i="29"/>
  <c r="E8" i="29"/>
  <c r="C7" i="1"/>
  <c r="O11" i="1"/>
  <c r="O4" i="29"/>
  <c r="Q5" i="29" s="1"/>
  <c r="S5" i="29" s="1"/>
  <c r="O11" i="28"/>
  <c r="C16" i="28"/>
  <c r="D8" i="28"/>
  <c r="O14" i="28"/>
  <c r="C6" i="28"/>
  <c r="O6" i="28" s="1"/>
  <c r="C8" i="29"/>
  <c r="O14" i="29"/>
  <c r="N4" i="1"/>
  <c r="N6" i="1"/>
  <c r="M6" i="1"/>
  <c r="M4" i="1"/>
  <c r="L6" i="1"/>
  <c r="L4" i="1"/>
  <c r="K4" i="1"/>
  <c r="K6" i="1"/>
  <c r="J4" i="1"/>
  <c r="J6" i="1"/>
  <c r="H4" i="1"/>
  <c r="I6" i="1"/>
  <c r="I4" i="1"/>
  <c r="G4" i="1"/>
  <c r="F6" i="1"/>
  <c r="F4" i="1"/>
  <c r="E6" i="1"/>
  <c r="E4" i="1"/>
  <c r="D6" i="1"/>
  <c r="D7" i="1"/>
  <c r="O5" i="1" l="1"/>
  <c r="H6" i="1"/>
  <c r="O6" i="1" s="1"/>
  <c r="O8" i="28"/>
  <c r="O16" i="28"/>
  <c r="Q7" i="29"/>
  <c r="S7" i="29" s="1"/>
  <c r="S5" i="28"/>
  <c r="F14" i="1"/>
  <c r="E7" i="1"/>
  <c r="G14" i="1" l="1"/>
  <c r="H14" i="1" s="1"/>
  <c r="I14" i="1" s="1"/>
  <c r="J14" i="1" s="1"/>
  <c r="K14" i="1" s="1"/>
  <c r="L14" i="1" s="1"/>
  <c r="F7" i="1"/>
  <c r="L7" i="1" l="1"/>
  <c r="M14" i="1"/>
  <c r="N14" i="1" s="1"/>
  <c r="G7" i="1"/>
  <c r="O14" i="1" l="1"/>
  <c r="O7" i="1" s="1"/>
  <c r="N7" i="1"/>
  <c r="M7" i="1"/>
  <c r="H7" i="1"/>
  <c r="I7" i="1" l="1"/>
  <c r="J7" i="1" l="1"/>
  <c r="K7" i="1"/>
  <c r="D4" i="1"/>
  <c r="O4" i="1" l="1"/>
  <c r="Q5" i="1" s="1"/>
  <c r="Q7" i="1" s="1"/>
  <c r="S7" i="1" s="1"/>
  <c r="S5" i="1" l="1"/>
  <c r="O134" i="1"/>
  <c r="O144" i="29"/>
  <c r="O170" i="28"/>
  <c r="O8" i="15"/>
  <c r="O172" i="28" s="1"/>
  <c r="O135" i="1"/>
  <c r="O145" i="29" l="1"/>
  <c r="O171" i="28"/>
  <c r="T28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Jamis Schriner</author>
    <author>tc={625B21FA-F6B9-495B-A6AB-451BACC81380}</author>
  </authors>
  <commentList>
    <comment ref="A18" authorId="0" shapeId="0" xr:uid="{5A94C0E8-9FA2-4825-8C17-46EC8CB20EA1}">
      <text>
        <r>
          <rPr>
            <b/>
            <sz val="9"/>
            <color indexed="81"/>
            <rFont val="Tahoma"/>
            <family val="2"/>
          </rPr>
          <t>Jamis Schriner: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6" authorId="0" shapeId="0" xr:uid="{2C47A090-7828-43EF-83BE-2585E091D235}">
      <text>
        <r>
          <rPr>
            <b/>
            <sz val="9"/>
            <color indexed="81"/>
            <rFont val="Tahoma"/>
            <family val="2"/>
          </rPr>
          <t>Jamis Schriner:</t>
        </r>
        <r>
          <rPr>
            <sz val="9"/>
            <color indexed="81"/>
            <rFont val="Tahoma"/>
            <family val="2"/>
          </rPr>
          <t xml:space="preserve">
Underspending Every month by a lot!
</t>
        </r>
      </text>
    </comment>
    <comment ref="C42" authorId="0" shapeId="0" xr:uid="{BB1A7325-13E0-44F7-8F0A-3A2B5D6855DD}">
      <text>
        <r>
          <rPr>
            <b/>
            <sz val="9"/>
            <color indexed="81"/>
            <rFont val="Tahoma"/>
            <family val="2"/>
          </rPr>
          <t>Jamis Schriner:</t>
        </r>
        <r>
          <rPr>
            <sz val="9"/>
            <color indexed="81"/>
            <rFont val="Tahoma"/>
            <family val="2"/>
          </rPr>
          <t xml:space="preserve">
This means that the Lowest Budget Excess for 5101 this year was $27k. We are significantly underspending. Why?
</t>
        </r>
      </text>
    </comment>
    <comment ref="A45" authorId="0" shapeId="0" xr:uid="{33DAAB4F-D907-49C3-A92C-B7AEBCDACAAE}">
      <text>
        <r>
          <rPr>
            <b/>
            <sz val="9"/>
            <color indexed="81"/>
            <rFont val="Tahoma"/>
            <family val="2"/>
          </rPr>
          <t>Jamis Schriner:</t>
        </r>
        <r>
          <rPr>
            <sz val="9"/>
            <color indexed="81"/>
            <rFont val="Tahoma"/>
            <family val="2"/>
          </rPr>
          <t xml:space="preserve">
We are underspending by a lot each month. Why?</t>
        </r>
      </text>
    </comment>
    <comment ref="A103" authorId="1" shapeId="0" xr:uid="{625B21FA-F6B9-495B-A6AB-451BACC81380}">
      <text>
        <t>[Threaded comment]
Your version of Excel allows you to read this threaded comment; however, any edits to it will get removed if the file is opened in a newer version of Excel. Learn more: https://go.microsoft.com/fwlink/?linkid=870924
Comment:
    Spot on the Budget!</t>
      </text>
    </comment>
    <comment ref="A119" authorId="0" shapeId="0" xr:uid="{63B86E2E-68A0-45B9-8D84-64E904E2D737}">
      <text>
        <r>
          <rPr>
            <b/>
            <sz val="9"/>
            <color indexed="81"/>
            <rFont val="Tahoma"/>
            <family val="2"/>
          </rPr>
          <t>Jamis Schriner:</t>
        </r>
        <r>
          <rPr>
            <sz val="9"/>
            <color indexed="81"/>
            <rFont val="Tahoma"/>
            <family val="2"/>
          </rPr>
          <t xml:space="preserve">
Ask About this one! We have no budget for 5315-510, even though last year's spend was about the same as this years.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Schriner, Jamis</author>
  </authors>
  <commentList>
    <comment ref="G118" authorId="0" shapeId="0" xr:uid="{A791F653-4B19-4E27-9F8C-1E129FCB16F9}">
      <text>
        <r>
          <rPr>
            <sz val="11"/>
            <color theme="1"/>
            <rFont val="Calibri"/>
            <family val="2"/>
            <scheme val="minor"/>
          </rPr>
          <t>Schriner, Jamis:
One time expense for all food (Hale Ohana, Hale Aloha, Gateway)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tc={28C9DB11-A765-400B-BEEA-A14F5C779980}</author>
  </authors>
  <commentList>
    <comment ref="F50" authorId="0" shapeId="0" xr:uid="{28C9DB11-A765-400B-BEEA-A14F5C779980}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Increased Spending, due to HMP spending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tc={0B23374C-09FD-4053-9C1A-D5275E298407}</author>
    <author>tc={E56B673A-1668-4BE0-A919-01C15AFC6551}</author>
  </authors>
  <commentList>
    <comment ref="C38" authorId="0" shapeId="0" xr:uid="{0B23374C-09FD-4053-9C1A-D5275E298407}">
      <text>
        <t>[Threaded comment]
Your version of Excel allows you to read this threaded comment; however, any edits to it will get removed if the file is opened in a newer version of Excel. Learn more: https://go.microsoft.com/fwlink/?linkid=870924
Comment:
    Ohana Club Referral Program</t>
      </text>
    </comment>
    <comment ref="A63" authorId="1" shapeId="0" xr:uid="{E56B673A-1668-4BE0-A919-01C15AFC6551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perf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Setoki, Nephi</author>
    <author>tc={1EC39A0B-8B2A-4DCB-8105-9A8147D520BB}</author>
    <author>tc={41DF8267-C161-467D-B5BE-E5DA8A6EE762}</author>
    <author>Casey, Seth</author>
  </authors>
  <commentList>
    <comment ref="O64" authorId="0" shapeId="0" xr:uid="{EAC8A747-BCC3-4794-9A77-172841BA8A8D}">
      <text>
        <r>
          <rPr>
            <sz val="11"/>
            <color theme="1"/>
            <rFont val="Calibri"/>
            <family val="2"/>
            <scheme val="minor"/>
          </rPr>
          <t>Setoki, Nephi:
new agency for analytics support.</t>
        </r>
      </text>
    </comment>
    <comment ref="A67" authorId="1" shapeId="0" xr:uid="{1EC39A0B-8B2A-4DCB-8105-9A8147D520BB}">
      <text>
        <t>[Threaded comment]
Your version of Excel allows you to read this threaded comment; however, any edits to it will get removed if the file is opened in a newer version of Excel. Learn more: https://go.microsoft.com/fwlink/?linkid=870924
Comment:
    Agency</t>
      </text>
    </comment>
    <comment ref="A71" authorId="2" shapeId="0" xr:uid="{41DF8267-C161-467D-B5BE-E5DA8A6EE762}">
      <text>
        <t>[Threaded comment]
Your version of Excel allows you to read this threaded comment; however, any edits to it will get removed if the file is opened in a newer version of Excel. Learn more: https://go.microsoft.com/fwlink/?linkid=870924
Comment:
    Agency</t>
      </text>
    </comment>
    <comment ref="O72" authorId="3" shapeId="0" xr:uid="{ABEB2818-76ED-4110-89DF-797495C05A52}">
      <text>
        <r>
          <rPr>
            <sz val="11"/>
            <color theme="1"/>
            <rFont val="Calibri"/>
            <family val="2"/>
            <scheme val="minor"/>
          </rPr>
          <t xml:space="preserve">Casey, Seth:
actual cost is $18000 but amortized over 3 years </t>
        </r>
      </text>
    </comment>
    <comment ref="O76" authorId="3" shapeId="0" xr:uid="{A337BE74-6526-4E90-86DE-6ED061794104}">
      <text>
        <r>
          <rPr>
            <sz val="11"/>
            <color theme="1"/>
            <rFont val="Calibri"/>
            <family val="2"/>
            <scheme val="minor"/>
          </rPr>
          <t xml:space="preserve">Casey, Seth:
actual cost is $18000 but amortized over 3 years </t>
        </r>
      </text>
    </comment>
    <comment ref="O80" authorId="3" shapeId="0" xr:uid="{DE56B0C0-D708-4288-8458-9395A3566DDB}">
      <text>
        <r>
          <rPr>
            <sz val="11"/>
            <color theme="1"/>
            <rFont val="Calibri"/>
            <family val="2"/>
            <scheme val="minor"/>
          </rPr>
          <t xml:space="preserve">Casey, Seth:
actual cost is $18000 but amortized over 3 years </t>
        </r>
      </text>
    </comment>
    <comment ref="O100" authorId="0" shapeId="0" xr:uid="{DB2DB05A-E551-4159-A542-C9D6523318D9}">
      <text>
        <r>
          <rPr>
            <sz val="11"/>
            <color theme="1"/>
            <rFont val="Calibri"/>
            <family val="2"/>
            <scheme val="minor"/>
          </rPr>
          <t>Setoki, Nephi: data security and collection.  can eliminate if we have to.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tc={35C3D8C8-0B74-4B2A-8B9C-E9D7467C405D}</author>
    <author>tc={39B4FDE3-0529-41B4-ABA4-BF035D781B06}</author>
    <author>tc={45B9A5C9-CE98-463A-B3A8-454E40F53180}</author>
    <author>tc={11B93DFC-57FB-4E71-896C-9703C4FE527C}</author>
  </authors>
  <commentList>
    <comment ref="G14" authorId="0" shapeId="0" xr:uid="{35C3D8C8-0B74-4B2A-8B9C-E9D7467C405D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Media Blitz $12,000</t>
      </text>
    </comment>
    <comment ref="F19" authorId="1" shapeId="0" xr:uid="{39B4FDE3-0529-41B4-ABA4-BF035D781B06}">
      <text>
        <t>[Threaded comment]
Your version of Excel allows you to read this threaded comment; however, any edits to it will get removed if the file is opened in a newer version of Excel. Learn more: https://go.microsoft.com/fwlink/?linkid=870924
Comment:
    GMA Trip to Hawaii winners - Padgett Family</t>
      </text>
    </comment>
    <comment ref="D42" authorId="2" shapeId="0" xr:uid="{45B9A5C9-CE98-463A-B3A8-454E40F53180}">
      <text>
        <t>[Threaded comment]
Your version of Excel allows you to read this threaded comment; however, any edits to it will get removed if the file is opened in a newer version of Excel. Learn more: https://go.microsoft.com/fwlink/?linkid=870924
Comment:
    Trip to Hawaii giveaway</t>
      </text>
    </comment>
    <comment ref="G50" authorId="3" shapeId="0" xr:uid="{11B93DFC-57FB-4E71-896C-9703C4FE52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Press kits for Mia meeting with Japanese media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tc={FCACD731-491E-42C8-848A-6D2CE5C5CCD6}</author>
    <author>tc={B78852C5-63E7-492D-82ED-882105AAEA96}</author>
    <author>tc={C0FB92A7-EEAD-4D01-8881-1CA2FA2FF88A}</author>
    <author>tc={D676D375-2A52-46FA-B559-FACAE812715D}</author>
    <author>tc={A2FE2726-94E5-4DB5-BAFF-9909D60675F4}</author>
    <author>tc={2885BCFA-BE0C-4F38-A60C-68C2EBA7DA0B}</author>
  </authors>
  <commentList>
    <comment ref="C14" authorId="0" shapeId="0" xr:uid="{FCACD731-491E-42C8-848A-6D2CE5C5CCD6}">
      <text>
        <t>[Threaded comment]
Your version of Excel allows you to read this threaded comment; however, any edits to it will get removed if the file is opened in a newer version of Excel. Learn more: https://go.microsoft.com/fwlink/?linkid=870924
Comment:
    Bedlam Zone (Big Red Store) - $1860
BYUH Print Services - $148.82</t>
      </text>
    </comment>
    <comment ref="D14" authorId="1" shapeId="0" xr:uid="{B78852C5-63E7-492D-82ED-882105AAEA96}">
      <text>
        <t>[Threaded comment]
Your version of Excel allows you to read this threaded comment; however, any edits to it will get removed if the file is opened in a newer version of Excel. Learn more: https://go.microsoft.com/fwlink/?linkid=870924
Comment:
    L&amp;L Hawaiian Barbeque - $957.38 (food for cast and staff)
BYUH Print Services - $1140.15
Costco - $643.99
Foodland - $28.88</t>
      </text>
    </comment>
    <comment ref="E14" authorId="2" shapeId="0" xr:uid="{C0FB92A7-EEAD-4D01-8881-1CA2FA2FF88A}">
      <text>
        <t>[Threaded comment]
Your version of Excel allows you to read this threaded comment; however, any edits to it will get removed if the file is opened in a newer version of Excel. Learn more: https://go.microsoft.com/fwlink/?linkid=870924
Comment:
    Hobby Lobby - $55.81</t>
      </text>
    </comment>
    <comment ref="H14" authorId="3" shapeId="0" xr:uid="{D676D375-2A52-46FA-B559-FACAE812715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Honyaku Center for Sharing Aloha Promo Translations
</t>
      </text>
    </comment>
    <comment ref="I14" authorId="4" shapeId="0" xr:uid="{A2FE2726-94E5-4DB5-BAFF-9909D60675F4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Sharing Aloha Signs-Print Services</t>
      </text>
    </comment>
    <comment ref="G18" authorId="5" shapeId="0" xr:uid="{2885BCFA-BE0C-4F38-A60C-68C2EBA7DA0B}">
      <text>
        <t>[Threaded comment]
Your version of Excel allows you to read this threaded comment; however, any edits to it will get removed if the file is opened in a newer version of Excel. Learn more: https://go.microsoft.com/fwlink/?linkid=870924
Comment:
    Kiwi Corner- Food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tc={5732D1AB-4D35-4A5A-9436-FD997AB54E79}</author>
    <author>tc={2AD41D0E-A496-4F6F-B506-0C2DF8CDA4C5}</author>
    <author>tc={DBE3974A-4143-4ECC-B820-F89B2EFAB458}</author>
    <author>tc={55830371-8DB1-4F72-BE20-128784FD908E}</author>
  </authors>
  <commentList>
    <comment ref="C6" authorId="0" shapeId="0" xr:uid="{5732D1AB-4D35-4A5A-9436-FD997AB54E79}">
      <text>
        <t>[Threaded comment]
Your version of Excel allows you to read this threaded comment; however, any edits to it will get removed if the file is opened in a newer version of Excel. Learn more: https://go.microsoft.com/fwlink/?linkid=870924
Comment:
    20k Greater than PowerBI #</t>
      </text>
    </comment>
    <comment ref="J14" authorId="1" shapeId="0" xr:uid="{2AD41D0E-A496-4F6F-B506-0C2DF8CDA4C5}">
      <text>
        <t>[Threaded comment]
Your version of Excel allows you to read this threaded comment; however, any edits to it will get removed if the file is opened in a newer version of Excel. Learn more: https://go.microsoft.com/fwlink/?linkid=870924
Comment:
    113,500 FALL Gate Handouts</t>
      </text>
    </comment>
    <comment ref="I18" authorId="2" shapeId="0" xr:uid="{DBE3974A-4143-4ECC-B820-F89B2EFAB458}">
      <text>
        <t>[Threaded comment]
Your version of Excel allows you to read this threaded comment; however, any edits to it will get removed if the file is opened in a newer version of Excel. Learn more: https://go.microsoft.com/fwlink/?linkid=870924
Comment:
    10,000 Keiki Passports</t>
      </text>
    </comment>
    <comment ref="K42" authorId="3" shapeId="0" xr:uid="{55830371-8DB1-4F72-BE20-128784FD908E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Krisha's Reimbursement, 9.26.25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tc={CA5D2E25-58EE-43A6-8A5D-6705D775CBB1}</author>
  </authors>
  <commentList>
    <comment ref="E78" authorId="0" shapeId="0" xr:uid="{CA5D2E25-58EE-43A6-8A5D-6705D775CB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Vacuum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tc={B5AA68AA-D4F3-44E1-A69A-F9450765EC3F}</author>
    <author>Grow, Bret</author>
    <author>tc={726ABEF3-43DA-4FBB-8328-7D1FC739D073}</author>
    <author>Setoki, Nephi</author>
  </authors>
  <commentList>
    <comment ref="L54" authorId="0" shapeId="0" xr:uid="{B5AA68AA-D4F3-44E1-A69A-F9450765EC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Prepaid MusicBed for 3 Years</t>
      </text>
    </comment>
    <comment ref="C60" authorId="1" shapeId="0" xr:uid="{40D753F1-4E90-427B-81E4-DC39816C8749}">
      <text>
        <r>
          <rPr>
            <sz val="11"/>
            <color theme="1"/>
            <rFont val="Calibri"/>
            <family val="2"/>
            <scheme val="minor"/>
          </rPr>
          <t xml:space="preserve">Grow, Bret:
Increase in storage and active users plus a price increase from Glide Apps.
</t>
        </r>
      </text>
    </comment>
    <comment ref="J78" authorId="2" shapeId="0" xr:uid="{726ABEF3-43DA-4FBB-8328-7D1FC739D073}">
      <text>
        <t>[Threaded comment]
Your version of Excel allows you to read this threaded comment; however, any edits to it will get removed if the file is opened in a newer version of Excel. Learn more: https://go.microsoft.com/fwlink/?linkid=870924
Comment:
    Annual Fee of $9,604.18</t>
      </text>
    </comment>
    <comment ref="O180" authorId="3" shapeId="0" xr:uid="{A359502F-A4A9-4368-B677-987E62952A2F}">
      <text>
        <r>
          <rPr>
            <sz val="11"/>
            <color theme="1"/>
            <rFont val="Calibri"/>
            <family val="2"/>
            <scheme val="minor"/>
          </rPr>
          <t>Setoki, Nephi:
Setoki, Nephi:
Local Search citations - SEO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tc={8F86E310-1C12-444B-93E3-7F7EAB682EA9}</author>
    <author>tc={2BE39B7B-1679-4F80-96D7-6B6FD5F4435E}</author>
  </authors>
  <commentList>
    <comment ref="A31" authorId="0" shapeId="0" xr:uid="{8F86E310-1C12-444B-93E3-7F7EAB682EA9}">
      <text>
        <t>[Threaded comment]
Your version of Excel allows you to read this threaded comment; however, any edits to it will get removed if the file is opened in a newer version of Excel. Learn more: https://go.microsoft.com/fwlink/?linkid=870924
Comment:
    Two-year contract with Conductor. Invoice paid for first half of contract period Feb. 2024 to Jan. 2025 worth $37,200. Cost is amortized for 12 months.</t>
      </text>
    </comment>
    <comment ref="F42" authorId="1" shapeId="0" xr:uid="{2BE39B7B-1679-4F80-96D7-6B6FD5F443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was inputted before I added Virginia's PCard amount, what was that from?
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tc={59A3C9B6-9798-4083-9A9F-33D8B36FD192}</author>
    <author>tc={11B315D8-FA9F-4292-83B4-6B3528F1AFCF}</author>
    <author>tc={7266E000-DE1B-41D7-A3DF-D3EC3492685B}</author>
  </authors>
  <commentList>
    <comment ref="E14" authorId="0" shapeId="0" xr:uid="{59A3C9B6-9798-4083-9A9F-33D8B36FD192}">
      <text>
        <t>[Threaded comment]
Your version of Excel allows you to read this threaded comment; however, any edits to it will get removed if the file is opened in a newer version of Excel. Learn more: https://go.microsoft.com/fwlink/?linkid=870924
Comment:
    Tutu's</t>
      </text>
    </comment>
    <comment ref="F14" authorId="1" shapeId="0" xr:uid="{11B315D8-FA9F-4292-83B4-6B3528F1AF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Tutu's
</t>
      </text>
    </comment>
    <comment ref="I14" authorId="2" shapeId="0" xr:uid="{7266E000-DE1B-41D7-A3DF-D3EC3492685B}">
      <text>
        <t>[Threaded comment]
Your version of Excel allows you to read this threaded comment; however, any edits to it will get removed if the file is opened in a newer version of Excel. Learn more: https://go.microsoft.com/fwlink/?linkid=870924
Comment:
    Foodland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tc={D536D8B1-5A6D-4650-BE7F-5EA0DB1DADBD}</author>
    <author>Schriner, Jamis</author>
    <author>tc={D9360E69-751C-4B07-AE53-65BE16C2DF9B}</author>
    <author>tc={C4BABDE1-82BD-4C6E-8940-356B6A7E5262}</author>
    <author>tc={F8C71D0A-CDA2-40E4-A0D4-A37916F143AA}</author>
    <author>tc={F536C326-60D7-478B-A282-F6BA13DE3BE8}</author>
    <author>tc={D134AA64-2421-40F4-9428-2787E66A6C00}</author>
    <author>tc={CF14DE6C-8676-4A34-B4C1-13D9249D50E9}</author>
  </authors>
  <commentList>
    <comment ref="F22" authorId="0" shapeId="0" xr:uid="{D536D8B1-5A6D-4650-BE7F-5EA0DB1DADBD}">
      <text>
        <t>[Threaded comment]
Your version of Excel allows you to read this threaded comment; however, any edits to it will get removed if the file is opened in a newer version of Excel. Learn more: https://go.microsoft.com/fwlink/?linkid=870924
Comment:
    8 Costco Leis</t>
      </text>
    </comment>
    <comment ref="K22" authorId="1" shapeId="0" xr:uid="{61B212D6-E68B-4DEC-A865-BF390C5EAAE7}">
      <text>
        <r>
          <rPr>
            <sz val="11"/>
            <color theme="1"/>
            <rFont val="Calibri"/>
            <family val="2"/>
            <scheme val="minor"/>
          </rPr>
          <t xml:space="preserve">Schriner, Jamis:
Q3 Activity
</t>
        </r>
      </text>
    </comment>
    <comment ref="F30" authorId="2" shapeId="0" xr:uid="{D9360E69-751C-4B07-AE53-65BE16C2D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Recognition Gift for Jared + Bret's Employment Milestone</t>
      </text>
    </comment>
    <comment ref="K30" authorId="3" shapeId="0" xr:uid="{C4BABDE1-82BD-4C6E-8940-356B6A7E52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Employee Recognition
</t>
      </text>
    </comment>
    <comment ref="C34" authorId="4" shapeId="0" xr:uid="{F8C71D0A-CDA2-40E4-A0D4-A37916F143AA}">
      <text>
        <t>[Threaded comment]
Your version of Excel allows you to read this threaded comment; however, any edits to it will get removed if the file is opened in a newer version of Excel. Learn more: https://go.microsoft.com/fwlink/?linkid=870924
Comment:
    Bret's lunch meeting with Alan - $47.91
Bret's lunch meeting with Nephi - $65.28</t>
      </text>
    </comment>
    <comment ref="G34" authorId="5" shapeId="0" xr:uid="{F536C326-60D7-478B-A282-F6BA13DE3BE8}">
      <text>
        <t>[Threaded comment]
Your version of Excel allows you to read this threaded comment; however, any edits to it will get removed if the file is opened in a newer version of Excel. Learn more: https://go.microsoft.com/fwlink/?linkid=870924
Comment:
    Alan and Seth Chile Relleno</t>
      </text>
    </comment>
    <comment ref="K34" authorId="6" shapeId="0" xr:uid="{D134AA64-2421-40F4-9428-2787E66A6C00}">
      <text>
        <t>[Threaded comment]
Your version of Excel allows you to read this threaded comment; however, any edits to it will get removed if the file is opened in a newer version of Excel. Learn more: https://go.microsoft.com/fwlink/?linkid=870924
Comment:
    Devo</t>
      </text>
    </comment>
    <comment ref="E38" authorId="7" shapeId="0" xr:uid="{CF14DE6C-8676-4A34-B4C1-13D9249D50E9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Cam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tc={B90DFEF7-54B5-4E26-9A6E-4449A8C94940}</author>
    <author>Maneha, Mia</author>
    <author>tc={E87D6360-6924-4EF9-B03C-A7A000217BA3}</author>
  </authors>
  <commentList>
    <comment ref="E26" authorId="0" shapeId="0" xr:uid="{B90DFEF7-54B5-4E26-9A6E-4449A8C94940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2025 Japan promo trip</t>
      </text>
    </comment>
    <comment ref="G32" authorId="1" shapeId="0" xr:uid="{98EEA16E-3C3B-4438-8CE8-3FBD10DA6446}">
      <text>
        <r>
          <rPr>
            <sz val="11"/>
            <color theme="1"/>
            <rFont val="Calibri"/>
            <family val="2"/>
            <scheme val="minor"/>
          </rPr>
          <t>Maneha, Mia:
Hawaii Expo: Dancers and musicians (6)
Aloha Tokyo: Dancers and musicians (6)
Attending two events will be $16000
One event will be $8000</t>
        </r>
      </text>
    </comment>
    <comment ref="K32" authorId="1" shapeId="0" xr:uid="{D83EF306-0071-429F-9CD2-EFE629B53F59}">
      <text>
        <r>
          <rPr>
            <sz val="11"/>
            <color theme="1"/>
            <rFont val="Calibri"/>
            <family val="2"/>
            <scheme val="minor"/>
          </rPr>
          <t xml:space="preserve">Maneha, Mia:
Tokyo Expo
</t>
        </r>
      </text>
    </comment>
    <comment ref="E34" authorId="2" shapeId="0" xr:uid="{E87D6360-6924-4EF9-B03C-A7A000217BA3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2025 Japan promo trip</t>
      </text>
    </comment>
    <comment ref="G36" authorId="1" shapeId="0" xr:uid="{E5193667-4BD5-41CD-8575-E4741DD4A44E}">
      <text>
        <r>
          <rPr>
            <sz val="11"/>
            <color theme="1"/>
            <rFont val="Calibri"/>
            <family val="2"/>
            <scheme val="minor"/>
          </rPr>
          <t xml:space="preserve">Maneha, Mia:
Lodging for 6 dancers and musicians each for Hawaii EXPO and Aloha Tokyo 
Attending two events will be $6000
One event will be $3000
</t>
        </r>
      </text>
    </comment>
    <comment ref="K36" authorId="1" shapeId="0" xr:uid="{DCD4E04E-1626-4257-84DD-2B2662184512}">
      <text>
        <r>
          <rPr>
            <sz val="11"/>
            <color theme="1"/>
            <rFont val="Calibri"/>
            <family val="2"/>
            <scheme val="minor"/>
          </rPr>
          <t xml:space="preserve">Maneha, Mia:
Tokyo Expo
</t>
        </r>
      </text>
    </comment>
    <comment ref="G40" authorId="1" shapeId="0" xr:uid="{D6204042-76B1-462A-83FB-CED1E80BEDE8}">
      <text>
        <r>
          <rPr>
            <sz val="11"/>
            <color theme="1"/>
            <rFont val="Calibri"/>
            <family val="2"/>
            <scheme val="minor"/>
          </rPr>
          <t xml:space="preserve">Maneha, Mia:
Meals for 6 dancers and musicians each for Hawaii Expo and Aloha Tokyo
Attending two events will be $1000
One event will be $500
</t>
        </r>
      </text>
    </comment>
    <comment ref="G44" authorId="1" shapeId="0" xr:uid="{DE4C9016-7CC0-4CEF-99FF-A881DC57D040}">
      <text>
        <r>
          <rPr>
            <sz val="11"/>
            <color theme="1"/>
            <rFont val="Calibri"/>
            <family val="2"/>
            <scheme val="minor"/>
          </rPr>
          <t xml:space="preserve">Maneha, Mia:
Meals for 6 dancers and musicians each for Hawaii Expo and Aloha Tokyo
Attending two events will be $2000
One event will be $1000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tc={5AFE265D-170C-49F8-9E9C-4A3920E526C5}</author>
  </authors>
  <commentList>
    <comment ref="G18" authorId="0" shapeId="0" xr:uid="{5AFE265D-170C-49F8-9E9C-4A3920E526C5}">
      <text>
        <t>[Threaded comment]
Your version of Excel allows you to read this threaded comment; however, any edits to it will get removed if the file is opened in a newer version of Excel. Learn more: https://go.microsoft.com/fwlink/?linkid=870924
Comment:
    Snacks for Ohana club family models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tc={BC1246CF-239B-4AAD-A7D1-3A5482B3DE41}</author>
    <author>tc={1730EEDA-58F7-49B3-9179-3A919A4C4F3E}</author>
  </authors>
  <commentList>
    <comment ref="F14" authorId="0" shapeId="0" xr:uid="{BC1246CF-239B-4AAD-A7D1-3A5482B3DE41}">
      <text>
        <t>[Threaded comment]
Your version of Excel allows you to read this threaded comment; however, any edits to it will get removed if the file is opened in a newer version of Excel. Learn more: https://go.microsoft.com/fwlink/?linkid=870924
Comment:
    We are samoa</t>
      </text>
    </comment>
    <comment ref="J14" authorId="1" shapeId="0" xr:uid="{1730EEDA-58F7-49B3-9179-3A919A4C4F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Liz: Poster Distribution for "Sharing Aloha"
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tc={27EE7E0D-5CE6-4C47-A660-985000ADFA0F}</author>
  </authors>
  <commentList>
    <comment ref="F10" authorId="0" shapeId="0" xr:uid="{27EE7E0D-5CE6-4C47-A660-985000ADFA0F}">
      <text>
        <t>[Threaded comment]
Your version of Excel allows you to read this threaded comment; however, any edits to it will get removed if the file is opened in a newer version of Excel. Learn more: https://go.microsoft.com/fwlink/?linkid=870924
Comment:
    Had to copy last months, needs changing</t>
      </text>
    </comment>
  </commentList>
</comments>
</file>

<file path=xl/sharedStrings.xml><?xml version="1.0" encoding="utf-8"?>
<sst xmlns="http://schemas.openxmlformats.org/spreadsheetml/2006/main" count="3798" uniqueCount="451">
  <si>
    <t>Note: 4th week meetings, talk about accrued expenses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</si>
  <si>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</si>
  <si>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</si>
  <si>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</si>
  <si>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</si>
  <si>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</si>
  <si>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</si>
  <si>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</si>
  <si>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</si>
  <si>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</si>
  <si>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</si>
  <si>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</si>
  <si>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</si>
  <si>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</si>
  <si>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24 vs 25 Bud Var</t>
  </si>
  <si>
    <t>TOTAL</t>
  </si>
  <si>
    <t>Actual 2024</t>
  </si>
  <si>
    <t>Estimated 2025</t>
  </si>
  <si>
    <t xml:space="preserve">Budget </t>
  </si>
  <si>
    <t xml:space="preserve">Actual </t>
  </si>
  <si>
    <t>Change Y/Y</t>
  </si>
  <si>
    <t>Budget Deficit/ Savings</t>
  </si>
  <si>
    <t>Change in Performance Based</t>
  </si>
  <si>
    <t>Year to Date Spend</t>
  </si>
  <si>
    <t>Change in everything else</t>
  </si>
  <si>
    <t>YTD Excess From Budget</t>
  </si>
  <si>
    <t>Westbound</t>
  </si>
  <si>
    <t xml:space="preserve">Estimated </t>
  </si>
  <si>
    <t>Individual Contractors 5024-510</t>
  </si>
  <si>
    <t>Estimated</t>
  </si>
  <si>
    <t>$21K moved from General Contracted (5310-510) to this acct.</t>
  </si>
  <si>
    <t>Budget</t>
  </si>
  <si>
    <t>Actual</t>
  </si>
  <si>
    <t>Actual Change</t>
  </si>
  <si>
    <t>Any work done by individual Contractors, regardless of the activity done.</t>
  </si>
  <si>
    <t>Primarily--web design, Japan &amp; Korea support and Optimizely Testing</t>
  </si>
  <si>
    <t>Performance based 5100-510</t>
  </si>
  <si>
    <t>Ad Expenses that can be tracked by their association to Rev</t>
  </si>
  <si>
    <t>Non performance based 5101-510</t>
  </si>
  <si>
    <t>Adding Japan Marketing</t>
  </si>
  <si>
    <t>Other Ad Expenses</t>
  </si>
  <si>
    <t xml:space="preserve"> Advertising Agency Fee 5102-510</t>
  </si>
  <si>
    <t>Annual Fee increases (mostly World Media)</t>
  </si>
  <si>
    <t>Retainer Fees to Ad Agencies</t>
  </si>
  <si>
    <t xml:space="preserve"> Public Relations 5104-510</t>
  </si>
  <si>
    <t>Any PR Expenses (Giveaways, PR agencies)</t>
  </si>
  <si>
    <t>Promotional Events 5105-510</t>
  </si>
  <si>
    <t>All costs for Events (WFK, WAS, etc). Food for departments, flyers and banners, etc.</t>
  </si>
  <si>
    <t>Operating Materials 5200-510</t>
  </si>
  <si>
    <t>Materials (like print outs) for normal operations, and office supplies</t>
  </si>
  <si>
    <t>Uniform 5201-510</t>
  </si>
  <si>
    <t>Uniforms</t>
  </si>
  <si>
    <t>Furnishings 5203-510</t>
  </si>
  <si>
    <t>Why is purchase not on 2024</t>
  </si>
  <si>
    <t>Second have of equipment purchase from 2024</t>
  </si>
  <si>
    <t>Equipment Purchases! Cameras, other content creation stuff</t>
  </si>
  <si>
    <t>General Contracted 5312-510</t>
  </si>
  <si>
    <t>Bands and Sounds Systems (Usually for Ohana Club events)</t>
  </si>
  <si>
    <t>5313-510 Telecommunications</t>
  </si>
  <si>
    <t>Phones</t>
  </si>
  <si>
    <t>Phone Plans of managers and PCC Phones.</t>
  </si>
  <si>
    <t>5314-510 Postage and Freight (Outward)</t>
  </si>
  <si>
    <t>Fedex, USPS,UPS, etc.</t>
  </si>
  <si>
    <t>Techonology Services 5315-510</t>
  </si>
  <si>
    <t>Moving websites added to Optimizely (China, Korea, Japan)</t>
  </si>
  <si>
    <t>Treating as project--this represents 1/3 of the est cost of the project</t>
  </si>
  <si>
    <t>Platforms charges unique to our department</t>
  </si>
  <si>
    <t>Gifts 5322-510</t>
  </si>
  <si>
    <t>Gifts for VIPs or Hosts</t>
  </si>
  <si>
    <t>Employee enrichment 5323-510</t>
  </si>
  <si>
    <t>Farewells, Office Snacks, Department outings</t>
  </si>
  <si>
    <t>Miscellaneous 5324-510</t>
  </si>
  <si>
    <t>Anything that doesn't fit anywhere else. We try not to use this.</t>
  </si>
  <si>
    <t>Subscription &amp; Dues 5325-510</t>
  </si>
  <si>
    <t>Subscription Expense</t>
  </si>
  <si>
    <t>Travel 5326-510</t>
  </si>
  <si>
    <t>Optimizely training, Japan Marketing trip, Media outreach we have not done but need to do.</t>
  </si>
  <si>
    <t>Airfare, lodging, food, etc for business travel</t>
  </si>
  <si>
    <t>Meals, Hosting 5327-510</t>
  </si>
  <si>
    <t>Whenever we pay for meals to media in the center</t>
  </si>
  <si>
    <t>Vehicle Expense 5328-510</t>
  </si>
  <si>
    <t>Mileage reimbursements, car rentals</t>
  </si>
  <si>
    <t>Consulting 5333-510</t>
  </si>
  <si>
    <t>Excise Tax 5336-510</t>
  </si>
  <si>
    <t>Techonology (MIS) 5315-630</t>
  </si>
  <si>
    <t>NOT included in above totals, just for reference.</t>
  </si>
  <si>
    <t>A lot of our accounts in 5315b are actually charged to the overall PCC account in MIS, and we still keep track of our portion of those expenses</t>
  </si>
  <si>
    <t>5024-510 Individual Contractors</t>
  </si>
  <si>
    <t>d</t>
  </si>
  <si>
    <t>Harley Charlebois</t>
  </si>
  <si>
    <t>She is doing copywriting</t>
  </si>
  <si>
    <t>Ephraim Tacuban</t>
  </si>
  <si>
    <t>Web design</t>
  </si>
  <si>
    <t>Shazer Llanera</t>
  </si>
  <si>
    <t>Nani Laie (Mike Foley)</t>
  </si>
  <si>
    <t>Copywrighting and Legacy</t>
  </si>
  <si>
    <t>Sam Merrill</t>
  </si>
  <si>
    <t>Conor Lunt</t>
  </si>
  <si>
    <t>Tanner Fernandez</t>
  </si>
  <si>
    <t>Marc Purles</t>
  </si>
  <si>
    <t>Online product sales--ex-Sr missionary</t>
  </si>
  <si>
    <t>Karizza Llanera</t>
  </si>
  <si>
    <t>Online product sales--did not backfill position</t>
  </si>
  <si>
    <t>Photography/Videography contractor (Isaac)</t>
  </si>
  <si>
    <t>David Butterfield</t>
  </si>
  <si>
    <t>Hisaka Inumaki</t>
  </si>
  <si>
    <t>Japan Mktg support</t>
  </si>
  <si>
    <t>Harold Pedroso</t>
  </si>
  <si>
    <t>Bala Pilli</t>
  </si>
  <si>
    <t>Graduated, analytics--seeking student replacement</t>
  </si>
  <si>
    <t>Khoon An</t>
  </si>
  <si>
    <t>Korean Marketing Consultant</t>
  </si>
  <si>
    <t>Kyle Vreeken</t>
  </si>
  <si>
    <t>AB Testing and set up of Optimizely Testing</t>
  </si>
  <si>
    <t>Antoinette Yee</t>
  </si>
  <si>
    <t>Graduated Student--</t>
  </si>
  <si>
    <t>A Hardflip Production LLC</t>
  </si>
  <si>
    <t>Tetrachrome (Joseph Trisolini)</t>
  </si>
  <si>
    <t>Nick Gruen</t>
  </si>
  <si>
    <t>Jairus Roda</t>
  </si>
  <si>
    <t>Jonah Bawden</t>
  </si>
  <si>
    <t>Nicholas Johnson</t>
  </si>
  <si>
    <t>David Newbold</t>
  </si>
  <si>
    <t>Geo Growth</t>
  </si>
  <si>
    <t>AI Revolution Labs</t>
  </si>
  <si>
    <t>Ric Noyle</t>
  </si>
  <si>
    <t>Telesia Tonga</t>
  </si>
  <si>
    <t>Kasey Padgett</t>
  </si>
  <si>
    <t>Evette Loo</t>
  </si>
  <si>
    <t xml:space="preserve">Manuarii Tefan
</t>
  </si>
  <si>
    <t>Bright Edge</t>
  </si>
  <si>
    <t>Pasifika Artists Network</t>
  </si>
  <si>
    <t>5100-510 Performance based</t>
  </si>
  <si>
    <t>World Media (TripAdvisor)</t>
  </si>
  <si>
    <t>?</t>
  </si>
  <si>
    <t>World Media (Display Video, Desk, &amp; Simplifi)</t>
  </si>
  <si>
    <t>Unlimited</t>
  </si>
  <si>
    <t>World Media (Google/ SEM management fees)</t>
  </si>
  <si>
    <t>World Media (Ad Serving, Pass Along Cost)</t>
  </si>
  <si>
    <t>World Media (SEM cc charges/Invoice)- Google</t>
  </si>
  <si>
    <t>Microsoft Advertising</t>
  </si>
  <si>
    <t>Referral Rock (Commissions)</t>
  </si>
  <si>
    <t>Impact (Commisions)</t>
  </si>
  <si>
    <t>$34, 032.78</t>
  </si>
  <si>
    <t>Facebook Ads (Hawaii Store- Nephi's card)</t>
  </si>
  <si>
    <t>PCC PAID Social (Facebook - Polynesian Cultural Center - Virginia's card)</t>
  </si>
  <si>
    <t>MNTN (cctv ads)</t>
  </si>
  <si>
    <t>Aloha Street (Wincubic.com, Inc.)</t>
  </si>
  <si>
    <t>Tango</t>
  </si>
  <si>
    <t xml:space="preserve"> </t>
  </si>
  <si>
    <t>5101-510 Non performance based</t>
  </si>
  <si>
    <t>Element 8 West Bound market</t>
  </si>
  <si>
    <t>Element 8 Local market</t>
  </si>
  <si>
    <t>Hemisphere (United Airlines) inflight magazine (INK)</t>
  </si>
  <si>
    <t>Activities and Attraction Association of Hawaii</t>
  </si>
  <si>
    <t>North Shore Map</t>
  </si>
  <si>
    <t>Photoshoot (Hawaii Store)</t>
  </si>
  <si>
    <t>Tango Card</t>
  </si>
  <si>
    <t>dotComm Awards</t>
  </si>
  <si>
    <t>Dana Edmunds Photography LLC</t>
  </si>
  <si>
    <t>JTB Hawaii Travel, LLC</t>
  </si>
  <si>
    <t>Chikyu no Arukikata</t>
  </si>
  <si>
    <t>Aloha Express (Island Creative Solutions, LLC.)</t>
  </si>
  <si>
    <t>Japan Event Registration</t>
  </si>
  <si>
    <t>320 Productions</t>
  </si>
  <si>
    <t>Oahu Publications</t>
  </si>
  <si>
    <t>Bonnevile</t>
  </si>
  <si>
    <t>Events Hawaii Tourism</t>
  </si>
  <si>
    <t>AirSol</t>
  </si>
  <si>
    <t>Enveritas Group</t>
  </si>
  <si>
    <t>David Galeai</t>
  </si>
  <si>
    <t xml:space="preserve">Hawaii Lodging &amp; Tourism Association </t>
  </si>
  <si>
    <t>TravMedia</t>
  </si>
  <si>
    <t>Registration for Media conference in NYC</t>
  </si>
  <si>
    <t>5102-510 Advertising Agency Fees</t>
  </si>
  <si>
    <t>World Media (Analytics Retainer &amp; Agency Fee)</t>
  </si>
  <si>
    <t>Harley Charlebois  </t>
  </si>
  <si>
    <t>Jairus Roda  </t>
  </si>
  <si>
    <t>Ephraim Tacuban  </t>
  </si>
  <si>
    <t>Jonah Bawden  </t>
  </si>
  <si>
    <t>Shazer Llanera  </t>
  </si>
  <si>
    <t>Nicholas Johnson  </t>
  </si>
  <si>
    <t>World Media (SEO Retainer)</t>
  </si>
  <si>
    <t>Nani Laie (Mike Foley)  </t>
  </si>
  <si>
    <t>David Newbold  </t>
  </si>
  <si>
    <t>Sam Merrill  </t>
  </si>
  <si>
    <t>Geo Growth  </t>
  </si>
  <si>
    <t>Conor Lunt  </t>
  </si>
  <si>
    <t>AI Revolution Labs  </t>
  </si>
  <si>
    <t>Tanner Fernandez  </t>
  </si>
  <si>
    <t>Ric Noyle  </t>
  </si>
  <si>
    <t xml:space="preserve">World Media Interactive: Run Analytics setup fee </t>
  </si>
  <si>
    <t>Marc Purles  </t>
  </si>
  <si>
    <t>Telesia Tonga  </t>
  </si>
  <si>
    <t>Karizza Llanera  </t>
  </si>
  <si>
    <t>Kasey Padgett  </t>
  </si>
  <si>
    <t>Photography/Videography contractor (Isaac)  </t>
  </si>
  <si>
    <t>Evette Loo  </t>
  </si>
  <si>
    <t>David Butterfield  </t>
  </si>
  <si>
    <t>Manuarii Tefan </t>
  </si>
  <si>
    <t>Pacific Digital Signs</t>
  </si>
  <si>
    <t>Hisaka Inumaki  </t>
  </si>
  <si>
    <t>Bright Edge - Enterprise SEO Platform: Heavy Overlap with Ahrefs </t>
  </si>
  <si>
    <t>Harold Pedroso  </t>
  </si>
  <si>
    <t>Bala Pilli  </t>
  </si>
  <si>
    <t>Khoon An  </t>
  </si>
  <si>
    <t>Sound Partner (Jeremy)</t>
  </si>
  <si>
    <t>Kyle Vreeken  </t>
  </si>
  <si>
    <t>Antoinette Yee  </t>
  </si>
  <si>
    <t>Affiliate Program Manager in Impact</t>
  </si>
  <si>
    <t>A Hardflip Production LLC  </t>
  </si>
  <si>
    <t>Tetrachrome (Joseph Trisolini)  </t>
  </si>
  <si>
    <t>Element 8 (Retainers)</t>
  </si>
  <si>
    <t>Nick Gruen  </t>
  </si>
  <si>
    <t>Element 8 (Creative services)</t>
  </si>
  <si>
    <t>The Design Farm</t>
  </si>
  <si>
    <t>Island Brochure (Edward Enterprises)</t>
  </si>
  <si>
    <t>Trinity One (Outerbox)</t>
  </si>
  <si>
    <t>PXP "Pony Express" (Moblile App CMS DEV)</t>
  </si>
  <si>
    <t>Bus wraps</t>
  </si>
  <si>
    <t>BIG LEAP</t>
  </si>
  <si>
    <t>BLEND INTERACTIVE</t>
  </si>
  <si>
    <t>PXP "Pony Express" (Retainer)</t>
  </si>
  <si>
    <t>Japan Webiste OPti Migration</t>
  </si>
  <si>
    <t>Korea Website Migration</t>
  </si>
  <si>
    <t>China Website Migration</t>
  </si>
  <si>
    <t>Kula Software - PonoRez (A3H)</t>
  </si>
  <si>
    <t>Heinson (Moblle App Dev)</t>
  </si>
  <si>
    <t>Boncom</t>
  </si>
  <si>
    <t>Rakuten</t>
  </si>
  <si>
    <t>Japanese Amazon (and reviews like TripAdvisor) </t>
  </si>
  <si>
    <t>Mia</t>
  </si>
  <si>
    <t>Server side Tagging</t>
  </si>
  <si>
    <t>New Functions Polynesia.com</t>
  </si>
  <si>
    <t>Christmas Mailer (HawaiiStore)</t>
  </si>
  <si>
    <t>Blog Site (Opti Migration)</t>
  </si>
  <si>
    <t>Pomai And Team</t>
  </si>
  <si>
    <t>App CMS - Development</t>
  </si>
  <si>
    <t>App CMS -  Maintenance</t>
  </si>
  <si>
    <t>Solve Event Marketing</t>
  </si>
  <si>
    <t>Hawaii2 eSolutions</t>
  </si>
  <si>
    <t>Typeform</t>
  </si>
  <si>
    <t>5104-510 Public Relations</t>
  </si>
  <si>
    <t>Anthology- Finn Partners</t>
  </si>
  <si>
    <t>S. Morris and Associates, LLC</t>
  </si>
  <si>
    <t>Delta Airlines</t>
  </si>
  <si>
    <t>American Broadcasting Companies Inc.</t>
  </si>
  <si>
    <t>Southwest</t>
  </si>
  <si>
    <t>Air Canada</t>
  </si>
  <si>
    <t>United</t>
  </si>
  <si>
    <t>Hawaiian Airlines</t>
  </si>
  <si>
    <t>Courtyard by Marriot</t>
  </si>
  <si>
    <t>Large Format Printing</t>
  </si>
  <si>
    <t>Raksul</t>
  </si>
  <si>
    <t>5105-510 Promotional Events</t>
  </si>
  <si>
    <t>Sharing Aloha</t>
  </si>
  <si>
    <t>WFK</t>
  </si>
  <si>
    <t>WAS (E02)</t>
  </si>
  <si>
    <t>Japan Promo</t>
  </si>
  <si>
    <t>May Day (E06)</t>
  </si>
  <si>
    <t>4th of July (E04)</t>
  </si>
  <si>
    <t>Kamehaha Parade</t>
  </si>
  <si>
    <t>KCCN BDAY BAsh</t>
  </si>
  <si>
    <t>Mahalo Month</t>
  </si>
  <si>
    <t>Ohana Club (E08)</t>
  </si>
  <si>
    <t>5200-510 Operating Materials (Consumables)</t>
  </si>
  <si>
    <t>Edward Enterprises Inc. (Rack Brochures)</t>
  </si>
  <si>
    <t>American Solutions for Businesss</t>
  </si>
  <si>
    <t>Walmart</t>
  </si>
  <si>
    <t>Costco</t>
  </si>
  <si>
    <t>Foodland</t>
  </si>
  <si>
    <t>BYUH Print Services</t>
  </si>
  <si>
    <t>Home Depot</t>
  </si>
  <si>
    <t>Pioneer Ace Hardware</t>
  </si>
  <si>
    <t>Longs</t>
  </si>
  <si>
    <t>ABC Store</t>
  </si>
  <si>
    <t>Amazon</t>
  </si>
  <si>
    <t>Japan Expo</t>
  </si>
  <si>
    <t>Loralei Gift Shop</t>
  </si>
  <si>
    <t>Japan Wireless</t>
  </si>
  <si>
    <t>BYUH Bookstore</t>
  </si>
  <si>
    <t>Bedlam Zone</t>
  </si>
  <si>
    <t>Ross</t>
  </si>
  <si>
    <t>Ohana Club Printing</t>
  </si>
  <si>
    <t>Fisher Hawaii</t>
  </si>
  <si>
    <t>808 E Network</t>
  </si>
  <si>
    <t>Target</t>
  </si>
  <si>
    <t>Tif Honolulu Florist</t>
  </si>
  <si>
    <t>Signs Today</t>
  </si>
  <si>
    <t>5201-510 Uniform</t>
  </si>
  <si>
    <t>Waiono Designs LLC</t>
  </si>
  <si>
    <t>5203-510 Furnishings and Equipment</t>
  </si>
  <si>
    <t>Apple</t>
  </si>
  <si>
    <t>B&amp;H Photo</t>
  </si>
  <si>
    <t>DJI Drones</t>
  </si>
  <si>
    <t>Bestbuy</t>
  </si>
  <si>
    <t>Aliexpress</t>
  </si>
  <si>
    <t>Rode</t>
  </si>
  <si>
    <t>RockNRoller</t>
  </si>
  <si>
    <t>Came-TV</t>
  </si>
  <si>
    <t>Content Creation Team (NON CAP-EX Proposed Purchases)</t>
  </si>
  <si>
    <t>Content Creation Team (CAP-EX Proposed Purchases)</t>
  </si>
  <si>
    <t>Jason Cases</t>
  </si>
  <si>
    <t>Lens Rental</t>
  </si>
  <si>
    <t>Paypal</t>
  </si>
  <si>
    <t>GoPro</t>
  </si>
  <si>
    <t>Instacart</t>
  </si>
  <si>
    <t xml:space="preserve">5312-510 Professional Fees </t>
  </si>
  <si>
    <t>The Green Band LLC</t>
  </si>
  <si>
    <t>The Vitals 808</t>
  </si>
  <si>
    <t>Ha.Ka. Entertainment Inc</t>
  </si>
  <si>
    <t>Cell phone</t>
  </si>
  <si>
    <t>PCC Business Office (Mailing)</t>
  </si>
  <si>
    <t>FedEx</t>
  </si>
  <si>
    <t>USPS</t>
  </si>
  <si>
    <t>UPS</t>
  </si>
  <si>
    <t>Hotel Keihan</t>
  </si>
  <si>
    <t>5315-510 Technology Services</t>
  </si>
  <si>
    <t>Performance Horizon Inc (Brand Verity)</t>
  </si>
  <si>
    <t>Perf</t>
  </si>
  <si>
    <t>REVIEWTRACKERS</t>
  </si>
  <si>
    <t>DISTROKID.COM</t>
  </si>
  <si>
    <t>VIA/POSTSCRIPT</t>
  </si>
  <si>
    <t>VIMEO</t>
  </si>
  <si>
    <t>WP ROCKET (WP PLUGIN)</t>
  </si>
  <si>
    <t>SMUGMUG</t>
  </si>
  <si>
    <t>Storage (Like Dropbox)</t>
  </si>
  <si>
    <t>ELEMENTOR - PAGE BUILDER</t>
  </si>
  <si>
    <t>CMS,  Website database </t>
  </si>
  <si>
    <t>Ecommerice</t>
  </si>
  <si>
    <t>WP ZOOM (Inspiro Theme)</t>
  </si>
  <si>
    <t>LUCID CHART (For managing our Hubspot workflows and Org Chart)</t>
  </si>
  <si>
    <t>Music Bed</t>
  </si>
  <si>
    <t>MINT CRO</t>
  </si>
  <si>
    <t>Hat Rack (Bret Grow)</t>
  </si>
  <si>
    <t>Figma-monthly</t>
  </si>
  <si>
    <t>Figma (Annual Renewal)</t>
  </si>
  <si>
    <t>Pixel Film S</t>
  </si>
  <si>
    <t>Sales Message--automated text Hubspot plugin</t>
  </si>
  <si>
    <t>REGISTER@FAA 347EPXH</t>
  </si>
  <si>
    <t>Referral Rock--affiliate marketing system fee (not variable incentive)</t>
  </si>
  <si>
    <t>Genie AI Chatbot</t>
  </si>
  <si>
    <t>AddShoppers</t>
  </si>
  <si>
    <t>MVP Media Network</t>
  </si>
  <si>
    <t>The Events Cal Plugins</t>
  </si>
  <si>
    <t>Stormtype</t>
  </si>
  <si>
    <t>QR Code Generator</t>
  </si>
  <si>
    <t>Bitly</t>
  </si>
  <si>
    <t>N Channel/Computant App</t>
  </si>
  <si>
    <t>Trello (Marketing)</t>
  </si>
  <si>
    <t>Trello (Content Creation Team)</t>
  </si>
  <si>
    <t>Shopify</t>
  </si>
  <si>
    <t>Impact (Platform fee)</t>
  </si>
  <si>
    <t>Flip Book</t>
  </si>
  <si>
    <t>Securi (Yearly Subscription)</t>
  </si>
  <si>
    <t>WordFence (Yearly Subscription)</t>
  </si>
  <si>
    <t>Motion Array</t>
  </si>
  <si>
    <t>Topaz Labs</t>
  </si>
  <si>
    <t>Magpie Travel</t>
  </si>
  <si>
    <t>Yotpo</t>
  </si>
  <si>
    <t>One Trust (Cookie Pro)</t>
  </si>
  <si>
    <t>AMAZON Marketplace</t>
  </si>
  <si>
    <t>Hot Jar</t>
  </si>
  <si>
    <t>Vimeo Live Stream</t>
  </si>
  <si>
    <t>Brightlocal or YEXT (local SEO)</t>
  </si>
  <si>
    <t>Calendar Pro (WP plugin)</t>
  </si>
  <si>
    <t>OpenAI (ChatGPT Subscription)</t>
  </si>
  <si>
    <t>Viator</t>
  </si>
  <si>
    <t>Wix</t>
  </si>
  <si>
    <t>AHrefs</t>
  </si>
  <si>
    <t>Descript</t>
  </si>
  <si>
    <t>Stripo.Email</t>
  </si>
  <si>
    <t>Google Play (Google One)</t>
  </si>
  <si>
    <t>Adobe (nephi)- Should be 5315-630</t>
  </si>
  <si>
    <t>Virginias Adobe- Should be 5315-630</t>
  </si>
  <si>
    <t>AWS</t>
  </si>
  <si>
    <t>Adobe Mia</t>
  </si>
  <si>
    <t>Canva</t>
  </si>
  <si>
    <t>Ninety.Io</t>
  </si>
  <si>
    <t>5315-630 Technology Services (Cost Center MIS)</t>
  </si>
  <si>
    <t>??</t>
  </si>
  <si>
    <t>Dropbox</t>
  </si>
  <si>
    <t>Hubspot</t>
  </si>
  <si>
    <t>Adobe</t>
  </si>
  <si>
    <t>Heinsen - Mobile App</t>
  </si>
  <si>
    <t>Map Tiler - Mobile App</t>
  </si>
  <si>
    <t>Conductor</t>
  </si>
  <si>
    <t>Adobe Creative Cloud (Nephi)</t>
  </si>
  <si>
    <t>Adobe Creative Cloud (Seth + Virginia)</t>
  </si>
  <si>
    <t>Adobe Creative Cloud (Mia)</t>
  </si>
  <si>
    <t>Cloudflare--host flattened pages (Japan)</t>
  </si>
  <si>
    <t>Amazon Web Services (AWS)</t>
  </si>
  <si>
    <t>5322-510 Gifts</t>
  </si>
  <si>
    <t>Affiliate Program Gifts</t>
  </si>
  <si>
    <t>5323-510 Employee Enrichment</t>
  </si>
  <si>
    <t>Office snack</t>
  </si>
  <si>
    <t>Birthdays</t>
  </si>
  <si>
    <t>Department Activity</t>
  </si>
  <si>
    <t>Christmas Party</t>
  </si>
  <si>
    <t>Gifts for Employees</t>
  </si>
  <si>
    <t>Employee recognition,etc</t>
  </si>
  <si>
    <t>Lunch Meetings</t>
  </si>
  <si>
    <t>Farewell Meal/Treat</t>
  </si>
  <si>
    <t>5324-510 Miscellaneous</t>
  </si>
  <si>
    <t>Polynesian Cultural Center</t>
  </si>
  <si>
    <t>Workshops Etc</t>
  </si>
  <si>
    <t>Professional Development</t>
  </si>
  <si>
    <t>Te Pa Tu (Attraction Research)</t>
  </si>
  <si>
    <t>The Hawaii Store</t>
  </si>
  <si>
    <t>Third Door Media</t>
  </si>
  <si>
    <t>Test Bookings</t>
  </si>
  <si>
    <t>Supermarket</t>
  </si>
  <si>
    <t>Watanabe Floral</t>
  </si>
  <si>
    <t>Tourism Expo Japan</t>
  </si>
  <si>
    <t>5325-510 Subscription &amp; Dues</t>
  </si>
  <si>
    <t>rello</t>
  </si>
  <si>
    <t>EVENT* HTA SPRING TOUR</t>
  </si>
  <si>
    <t>DNH Sucuri</t>
  </si>
  <si>
    <t>North Shore Chamber of Commerce</t>
  </si>
  <si>
    <t>Honolulu Star-Advertiser</t>
  </si>
  <si>
    <t>5326-510 Travel</t>
  </si>
  <si>
    <t>Airfare</t>
  </si>
  <si>
    <t>Ground Transportation</t>
  </si>
  <si>
    <t>Lodging</t>
  </si>
  <si>
    <t>Travel Insurance</t>
  </si>
  <si>
    <t>Meals on Business Trips</t>
  </si>
  <si>
    <t>Airfare (Japan Market)</t>
  </si>
  <si>
    <t>Lodging (Japan Market)</t>
  </si>
  <si>
    <t>ground Transportation (Japan Market)</t>
  </si>
  <si>
    <t>Meals on Business Trips (Japan Market)</t>
  </si>
  <si>
    <t>SMX Advance (Nephi &amp; Jared)</t>
  </si>
  <si>
    <t>Optimizely (Nephi, Bret)</t>
  </si>
  <si>
    <t>5327-510 Meals/Hosting</t>
  </si>
  <si>
    <t>Sharing Aloha (PCC Documentary)</t>
  </si>
  <si>
    <t>Hosting guest</t>
  </si>
  <si>
    <t>Pounders</t>
  </si>
  <si>
    <t>Anthology hosting</t>
  </si>
  <si>
    <t>5328-510 Vehicle Expense</t>
  </si>
  <si>
    <t xml:space="preserve">mileage reimbursement </t>
  </si>
  <si>
    <t>Parking</t>
  </si>
  <si>
    <t>Renting from BYU</t>
  </si>
  <si>
    <t>Mahalo Car Share</t>
  </si>
  <si>
    <t>Gas</t>
  </si>
  <si>
    <t>5333-510 Consulting</t>
  </si>
  <si>
    <t>5336-510 Excise Tax</t>
  </si>
  <si>
    <t>Excise Tax</t>
  </si>
  <si>
    <t>Excess from Budget</t>
  </si>
  <si>
    <t>Difference</t>
  </si>
  <si>
    <t>Year to Date</t>
  </si>
  <si>
    <t xml:space="preserve">YTD  </t>
  </si>
  <si>
    <t>YTD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</si>
</sst>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164" formatCode="&quot;$&quot;#,##0.00"/>
    <numFmt numFmtId="165" formatCode="&quot;$&quot;#,##0"/>
    <numFmt numFmtId="166" formatCode="0.0%"/>
  </numFmts>
  <fonts count="42" x14ac:knownFonts="1">
    <font>
      <sz val="11"/>
      <color theme="1"/>
      <name val="Calibri"/>
      <family val="2"/>
      <scheme val="minor"/>
    </font>
    <font>
      <b/>
      <sz val="24"/>
      <color rgb="FF000000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222222"/>
      <name val="Calibri"/>
      <family val="2"/>
    </font>
    <font>
      <sz val="11"/>
      <color rgb="FF222222"/>
      <name val="Calibri"/>
      <family val="2"/>
    </font>
    <font>
      <strike/>
      <sz val="11"/>
      <color rgb="FF222222"/>
      <name val="Calibri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9"/>
      <color theme="0" tint="-0.34998626667073579"/>
      <name val="Calibri"/>
      <family val="2"/>
    </font>
    <font>
      <sz val="9"/>
      <color theme="0" tint="-0.34998626667073579"/>
      <name val="Arial"/>
      <family val="2"/>
    </font>
    <font>
      <sz val="9"/>
      <color theme="0" tint="-0.34998626667073579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ptos Narrow"/>
      <family val="2"/>
    </font>
    <font>
      <sz val="9"/>
      <color theme="0" tint="-0.34998626667073579"/>
      <name val="Aptos Narrow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sz val="12"/>
      <name val="Aptos"/>
      <charset val="1"/>
    </font>
    <font>
      <sz val="11"/>
      <color rgb="FF242424"/>
      <name val="Consolas"/>
      <family val="3"/>
    </font>
    <font>
      <sz val="12"/>
      <name val="Arial"/>
      <family val="2"/>
    </font>
    <font>
      <sz val="9"/>
      <color theme="0" tint="-0.249977111117893"/>
      <name val="Calibri"/>
      <family val="2"/>
    </font>
    <font>
      <sz val="9"/>
      <color theme="0" tint="-0.249977111117893"/>
      <name val="Arial"/>
      <family val="2"/>
    </font>
    <font>
      <sz val="9"/>
      <color theme="0" tint="-0.249977111117893"/>
      <name val="Calibri"/>
      <family val="2"/>
      <scheme val="minor"/>
    </font>
    <font>
      <sz val="11"/>
      <color rgb="FF000000"/>
      <name val="Calibri Light"/>
      <family val="2"/>
      <scheme val="major"/>
    </font>
    <font>
      <sz val="9"/>
      <name val="Calibri"/>
      <family val="2"/>
      <scheme val="minor"/>
    </font>
    <font>
      <sz val="11"/>
      <color rgb="FF242424"/>
      <name val="Consolas"/>
      <charset val="1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B7B7B7"/>
      </patternFill>
    </fill>
  </fills>
  <borders count="3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000000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 style="thin">
        <color rgb="FF000000"/>
      </left>
      <right style="thin">
        <color rgb="FFBFBFBF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BFBFBF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BFBFBF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/>
      <diagonal/>
    </border>
    <border>
      <left style="thin">
        <color rgb="FF000000"/>
      </left>
      <right style="thin">
        <color rgb="FFBFBFBF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5">
    <xf numFmtId="0" fontId="0" fillId="0" borderId="0" xfId="0"/>
    <xf numFmtId="164" fontId="3" fillId="2" borderId="6" xfId="0" applyNumberFormat="1" applyFont="1" applyFill="1" applyBorder="1" applyAlignment="1">
      <alignment horizontal="center"/>
    </xf>
    <xf numFmtId="164" fontId="4" fillId="3" borderId="0" xfId="0" applyNumberFormat="1" applyFont="1" applyFill="1"/>
    <xf numFmtId="164" fontId="5" fillId="3" borderId="0" xfId="0" applyNumberFormat="1" applyFont="1" applyFill="1"/>
    <xf numFmtId="164" fontId="5" fillId="0" borderId="5" xfId="0" applyNumberFormat="1" applyFont="1" applyBorder="1"/>
    <xf numFmtId="164" fontId="4" fillId="4" borderId="0" xfId="0" applyNumberFormat="1" applyFont="1" applyFill="1"/>
    <xf numFmtId="164" fontId="5" fillId="4" borderId="0" xfId="0" applyNumberFormat="1" applyFont="1" applyFill="1"/>
    <xf numFmtId="164" fontId="4" fillId="4" borderId="19" xfId="0" applyNumberFormat="1" applyFont="1" applyFill="1" applyBorder="1"/>
    <xf numFmtId="164" fontId="5" fillId="0" borderId="0" xfId="0" applyNumberFormat="1" applyFont="1" applyAlignment="1">
      <alignment vertical="center"/>
    </xf>
    <xf numFmtId="164" fontId="7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right"/>
    </xf>
    <xf numFmtId="164" fontId="6" fillId="3" borderId="0" xfId="0" applyNumberFormat="1" applyFont="1" applyFill="1" applyAlignment="1">
      <alignment horizontal="right"/>
    </xf>
    <xf numFmtId="164" fontId="8" fillId="0" borderId="13" xfId="0" applyNumberFormat="1" applyFont="1" applyBorder="1" applyAlignment="1">
      <alignment horizontal="center" vertical="center"/>
    </xf>
    <xf numFmtId="164" fontId="4" fillId="0" borderId="14" xfId="0" applyNumberFormat="1" applyFont="1" applyBorder="1"/>
    <xf numFmtId="164" fontId="4" fillId="0" borderId="14" xfId="0" applyNumberFormat="1" applyFont="1" applyBorder="1" applyAlignment="1">
      <alignment horizontal="right"/>
    </xf>
    <xf numFmtId="164" fontId="4" fillId="0" borderId="15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7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7" xfId="0" applyNumberFormat="1" applyFont="1" applyBorder="1" applyAlignment="1">
      <alignment horizontal="right"/>
    </xf>
    <xf numFmtId="164" fontId="5" fillId="0" borderId="16" xfId="0" applyNumberFormat="1" applyFont="1" applyBorder="1" applyAlignment="1">
      <alignment vertical="center"/>
    </xf>
    <xf numFmtId="164" fontId="5" fillId="0" borderId="17" xfId="0" applyNumberFormat="1" applyFont="1" applyBorder="1" applyAlignment="1">
      <alignment vertical="center"/>
    </xf>
    <xf numFmtId="164" fontId="8" fillId="0" borderId="19" xfId="0" applyNumberFormat="1" applyFont="1" applyBorder="1" applyAlignment="1">
      <alignment horizontal="center" vertical="center"/>
    </xf>
    <xf numFmtId="164" fontId="5" fillId="4" borderId="19" xfId="0" applyNumberFormat="1" applyFont="1" applyFill="1" applyBorder="1"/>
    <xf numFmtId="164" fontId="4" fillId="0" borderId="20" xfId="0" applyNumberFormat="1" applyFont="1" applyBorder="1" applyAlignment="1">
      <alignment horizontal="right"/>
    </xf>
    <xf numFmtId="164" fontId="8" fillId="0" borderId="18" xfId="0" applyNumberFormat="1" applyFont="1" applyBorder="1" applyAlignment="1">
      <alignment horizontal="center" vertical="center"/>
    </xf>
    <xf numFmtId="164" fontId="4" fillId="0" borderId="19" xfId="0" applyNumberFormat="1" applyFont="1" applyBorder="1" applyAlignment="1">
      <alignment horizontal="right"/>
    </xf>
    <xf numFmtId="0" fontId="0" fillId="0" borderId="17" xfId="0" applyBorder="1"/>
    <xf numFmtId="164" fontId="5" fillId="3" borderId="0" xfId="0" applyNumberFormat="1" applyFont="1" applyFill="1" applyAlignment="1">
      <alignment horizontal="right"/>
    </xf>
    <xf numFmtId="164" fontId="3" fillId="2" borderId="17" xfId="0" applyNumberFormat="1" applyFont="1" applyFill="1" applyBorder="1" applyAlignment="1">
      <alignment horizontal="center"/>
    </xf>
    <xf numFmtId="164" fontId="4" fillId="3" borderId="17" xfId="0" applyNumberFormat="1" applyFont="1" applyFill="1" applyBorder="1" applyAlignment="1">
      <alignment horizontal="right"/>
    </xf>
    <xf numFmtId="164" fontId="5" fillId="3" borderId="17" xfId="0" applyNumberFormat="1" applyFont="1" applyFill="1" applyBorder="1"/>
    <xf numFmtId="164" fontId="5" fillId="0" borderId="6" xfId="0" applyNumberFormat="1" applyFont="1" applyBorder="1"/>
    <xf numFmtId="165" fontId="0" fillId="0" borderId="0" xfId="0" applyNumberFormat="1"/>
    <xf numFmtId="165" fontId="0" fillId="0" borderId="19" xfId="0" applyNumberFormat="1" applyBorder="1"/>
    <xf numFmtId="166" fontId="0" fillId="0" borderId="0" xfId="0" applyNumberFormat="1"/>
    <xf numFmtId="164" fontId="8" fillId="0" borderId="0" xfId="0" applyNumberFormat="1" applyFont="1" applyAlignment="1">
      <alignment horizontal="center" vertical="center"/>
    </xf>
    <xf numFmtId="0" fontId="0" fillId="0" borderId="19" xfId="0" applyBorder="1"/>
    <xf numFmtId="4" fontId="0" fillId="0" borderId="0" xfId="0" applyNumberFormat="1"/>
    <xf numFmtId="164" fontId="8" fillId="0" borderId="16" xfId="0" applyNumberFormat="1" applyFont="1" applyBorder="1" applyAlignment="1">
      <alignment horizontal="center" vertical="center"/>
    </xf>
    <xf numFmtId="164" fontId="8" fillId="0" borderId="14" xfId="0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5" fillId="0" borderId="0" xfId="0" applyNumberFormat="1" applyFont="1"/>
    <xf numFmtId="4" fontId="0" fillId="0" borderId="17" xfId="0" applyNumberFormat="1" applyBorder="1"/>
    <xf numFmtId="164" fontId="5" fillId="0" borderId="14" xfId="0" applyNumberFormat="1" applyFont="1" applyBorder="1" applyAlignment="1">
      <alignment vertical="center"/>
    </xf>
    <xf numFmtId="164" fontId="4" fillId="0" borderId="0" xfId="0" applyNumberFormat="1" applyFont="1"/>
    <xf numFmtId="164" fontId="6" fillId="0" borderId="19" xfId="0" applyNumberFormat="1" applyFont="1" applyBorder="1" applyAlignment="1">
      <alignment horizontal="right"/>
    </xf>
    <xf numFmtId="164" fontId="6" fillId="0" borderId="20" xfId="0" applyNumberFormat="1" applyFont="1" applyBorder="1" applyAlignment="1">
      <alignment horizontal="right"/>
    </xf>
    <xf numFmtId="164" fontId="5" fillId="5" borderId="0" xfId="0" applyNumberFormat="1" applyFont="1" applyFill="1" applyAlignment="1">
      <alignment horizontal="right"/>
    </xf>
    <xf numFmtId="164" fontId="4" fillId="5" borderId="0" xfId="0" applyNumberFormat="1" applyFont="1" applyFill="1"/>
    <xf numFmtId="164" fontId="5" fillId="5" borderId="0" xfId="0" applyNumberFormat="1" applyFont="1" applyFill="1"/>
    <xf numFmtId="164" fontId="5" fillId="5" borderId="19" xfId="0" applyNumberFormat="1" applyFont="1" applyFill="1" applyBorder="1"/>
    <xf numFmtId="0" fontId="13" fillId="0" borderId="0" xfId="0" applyFont="1"/>
    <xf numFmtId="0" fontId="10" fillId="0" borderId="0" xfId="0" applyFont="1"/>
    <xf numFmtId="0" fontId="13" fillId="0" borderId="0" xfId="0" applyFont="1" applyAlignment="1">
      <alignment vertical="center"/>
    </xf>
    <xf numFmtId="164" fontId="5" fillId="5" borderId="4" xfId="0" applyNumberFormat="1" applyFont="1" applyFill="1" applyBorder="1" applyAlignment="1">
      <alignment horizontal="center" vertical="center"/>
    </xf>
    <xf numFmtId="164" fontId="5" fillId="5" borderId="6" xfId="0" applyNumberFormat="1" applyFont="1" applyFill="1" applyBorder="1" applyAlignment="1">
      <alignment horizontal="center"/>
    </xf>
    <xf numFmtId="164" fontId="4" fillId="5" borderId="14" xfId="0" applyNumberFormat="1" applyFont="1" applyFill="1" applyBorder="1"/>
    <xf numFmtId="164" fontId="4" fillId="5" borderId="14" xfId="0" applyNumberFormat="1" applyFont="1" applyFill="1" applyBorder="1" applyAlignment="1">
      <alignment horizontal="right"/>
    </xf>
    <xf numFmtId="164" fontId="4" fillId="5" borderId="15" xfId="0" applyNumberFormat="1" applyFont="1" applyFill="1" applyBorder="1" applyAlignment="1">
      <alignment horizontal="right"/>
    </xf>
    <xf numFmtId="164" fontId="4" fillId="5" borderId="0" xfId="0" applyNumberFormat="1" applyFont="1" applyFill="1" applyAlignment="1">
      <alignment horizontal="right"/>
    </xf>
    <xf numFmtId="164" fontId="4" fillId="5" borderId="17" xfId="0" applyNumberFormat="1" applyFont="1" applyFill="1" applyBorder="1" applyAlignment="1">
      <alignment horizontal="right"/>
    </xf>
    <xf numFmtId="164" fontId="4" fillId="5" borderId="20" xfId="0" applyNumberFormat="1" applyFont="1" applyFill="1" applyBorder="1" applyAlignment="1">
      <alignment horizontal="right"/>
    </xf>
    <xf numFmtId="0" fontId="2" fillId="0" borderId="16" xfId="0" applyFont="1" applyBorder="1"/>
    <xf numFmtId="0" fontId="15" fillId="0" borderId="0" xfId="0" applyFont="1"/>
    <xf numFmtId="164" fontId="16" fillId="4" borderId="0" xfId="0" applyNumberFormat="1" applyFont="1" applyFill="1"/>
    <xf numFmtId="164" fontId="16" fillId="0" borderId="17" xfId="0" applyNumberFormat="1" applyFont="1" applyBorder="1" applyAlignment="1">
      <alignment horizontal="right"/>
    </xf>
    <xf numFmtId="0" fontId="17" fillId="0" borderId="0" xfId="0" applyFont="1"/>
    <xf numFmtId="164" fontId="5" fillId="7" borderId="4" xfId="0" applyNumberFormat="1" applyFont="1" applyFill="1" applyBorder="1" applyAlignment="1">
      <alignment horizontal="center" vertical="center"/>
    </xf>
    <xf numFmtId="164" fontId="5" fillId="7" borderId="6" xfId="0" applyNumberFormat="1" applyFont="1" applyFill="1" applyBorder="1" applyAlignment="1">
      <alignment horizontal="center"/>
    </xf>
    <xf numFmtId="164" fontId="4" fillId="8" borderId="0" xfId="0" applyNumberFormat="1" applyFont="1" applyFill="1"/>
    <xf numFmtId="164" fontId="5" fillId="7" borderId="17" xfId="0" applyNumberFormat="1" applyFont="1" applyFill="1" applyBorder="1" applyAlignment="1">
      <alignment horizontal="right"/>
    </xf>
    <xf numFmtId="164" fontId="5" fillId="8" borderId="0" xfId="0" applyNumberFormat="1" applyFont="1" applyFill="1"/>
    <xf numFmtId="164" fontId="5" fillId="8" borderId="19" xfId="0" applyNumberFormat="1" applyFont="1" applyFill="1" applyBorder="1"/>
    <xf numFmtId="164" fontId="5" fillId="7" borderId="20" xfId="0" applyNumberFormat="1" applyFont="1" applyFill="1" applyBorder="1" applyAlignment="1">
      <alignment horizontal="right"/>
    </xf>
    <xf numFmtId="164" fontId="4" fillId="7" borderId="17" xfId="0" applyNumberFormat="1" applyFont="1" applyFill="1" applyBorder="1" applyAlignment="1">
      <alignment horizontal="right"/>
    </xf>
    <xf numFmtId="164" fontId="5" fillId="7" borderId="4" xfId="0" applyNumberFormat="1" applyFont="1" applyFill="1" applyBorder="1" applyAlignment="1">
      <alignment horizontal="center"/>
    </xf>
    <xf numFmtId="164" fontId="5" fillId="7" borderId="16" xfId="0" applyNumberFormat="1" applyFont="1" applyFill="1" applyBorder="1"/>
    <xf numFmtId="164" fontId="5" fillId="7" borderId="18" xfId="0" applyNumberFormat="1" applyFont="1" applyFill="1" applyBorder="1"/>
    <xf numFmtId="164" fontId="7" fillId="5" borderId="13" xfId="0" applyNumberFormat="1" applyFont="1" applyFill="1" applyBorder="1" applyAlignment="1">
      <alignment vertical="center"/>
    </xf>
    <xf numFmtId="0" fontId="0" fillId="5" borderId="16" xfId="0" applyFill="1" applyBorder="1"/>
    <xf numFmtId="164" fontId="4" fillId="5" borderId="16" xfId="0" applyNumberFormat="1" applyFont="1" applyFill="1" applyBorder="1"/>
    <xf numFmtId="164" fontId="4" fillId="5" borderId="18" xfId="0" applyNumberFormat="1" applyFont="1" applyFill="1" applyBorder="1"/>
    <xf numFmtId="164" fontId="7" fillId="5" borderId="16" xfId="0" applyNumberFormat="1" applyFont="1" applyFill="1" applyBorder="1" applyAlignment="1">
      <alignment vertical="center"/>
    </xf>
    <xf numFmtId="164" fontId="8" fillId="0" borderId="16" xfId="0" applyNumberFormat="1" applyFont="1" applyBorder="1" applyAlignment="1">
      <alignment vertical="center"/>
    </xf>
    <xf numFmtId="164" fontId="8" fillId="0" borderId="13" xfId="0" applyNumberFormat="1" applyFont="1" applyBorder="1" applyAlignment="1">
      <alignment vertical="center" wrapText="1"/>
    </xf>
    <xf numFmtId="164" fontId="8" fillId="0" borderId="16" xfId="0" applyNumberFormat="1" applyFont="1" applyBorder="1" applyAlignment="1">
      <alignment vertical="center" wrapText="1"/>
    </xf>
    <xf numFmtId="164" fontId="8" fillId="0" borderId="18" xfId="0" applyNumberFormat="1" applyFont="1" applyBorder="1" applyAlignment="1">
      <alignment vertical="center" wrapText="1"/>
    </xf>
    <xf numFmtId="164" fontId="8" fillId="0" borderId="0" xfId="0" applyNumberFormat="1" applyFont="1" applyAlignment="1">
      <alignment vertical="center"/>
    </xf>
    <xf numFmtId="164" fontId="9" fillId="0" borderId="16" xfId="0" applyNumberFormat="1" applyFont="1" applyBorder="1" applyAlignment="1">
      <alignment vertical="center" wrapText="1"/>
    </xf>
    <xf numFmtId="164" fontId="9" fillId="0" borderId="18" xfId="0" applyNumberFormat="1" applyFont="1" applyBorder="1" applyAlignment="1">
      <alignment vertical="center" wrapText="1"/>
    </xf>
    <xf numFmtId="164" fontId="8" fillId="0" borderId="13" xfId="0" applyNumberFormat="1" applyFont="1" applyBorder="1" applyAlignment="1">
      <alignment vertical="center"/>
    </xf>
    <xf numFmtId="0" fontId="0" fillId="0" borderId="16" xfId="0" applyBorder="1"/>
    <xf numFmtId="164" fontId="8" fillId="0" borderId="18" xfId="0" applyNumberFormat="1" applyFont="1" applyBorder="1" applyAlignment="1">
      <alignment vertical="center"/>
    </xf>
    <xf numFmtId="0" fontId="0" fillId="0" borderId="16" xfId="0" applyBorder="1" applyAlignment="1">
      <alignment wrapText="1"/>
    </xf>
    <xf numFmtId="0" fontId="0" fillId="0" borderId="18" xfId="0" applyBorder="1" applyAlignment="1">
      <alignment wrapText="1"/>
    </xf>
    <xf numFmtId="164" fontId="7" fillId="0" borderId="16" xfId="0" applyNumberFormat="1" applyFont="1" applyBorder="1" applyAlignment="1">
      <alignment vertical="center" wrapText="1"/>
    </xf>
    <xf numFmtId="0" fontId="14" fillId="0" borderId="0" xfId="0" applyFont="1"/>
    <xf numFmtId="165" fontId="14" fillId="0" borderId="0" xfId="0" applyNumberFormat="1" applyFont="1"/>
    <xf numFmtId="164" fontId="19" fillId="4" borderId="0" xfId="0" applyNumberFormat="1" applyFont="1" applyFill="1"/>
    <xf numFmtId="164" fontId="20" fillId="0" borderId="0" xfId="0" applyNumberFormat="1" applyFont="1"/>
    <xf numFmtId="164" fontId="19" fillId="0" borderId="15" xfId="0" applyNumberFormat="1" applyFont="1" applyBorder="1" applyAlignment="1">
      <alignment horizontal="right"/>
    </xf>
    <xf numFmtId="0" fontId="21" fillId="0" borderId="0" xfId="0" applyFont="1"/>
    <xf numFmtId="164" fontId="19" fillId="0" borderId="17" xfId="0" applyNumberFormat="1" applyFont="1" applyBorder="1" applyAlignment="1">
      <alignment horizontal="right"/>
    </xf>
    <xf numFmtId="164" fontId="20" fillId="0" borderId="14" xfId="0" applyNumberFormat="1" applyFont="1" applyBorder="1"/>
    <xf numFmtId="0" fontId="22" fillId="0" borderId="16" xfId="0" applyFont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vertical="center" wrapText="1"/>
    </xf>
    <xf numFmtId="0" fontId="22" fillId="0" borderId="0" xfId="0" applyFont="1"/>
    <xf numFmtId="4" fontId="22" fillId="0" borderId="0" xfId="0" applyNumberFormat="1" applyFont="1"/>
    <xf numFmtId="0" fontId="15" fillId="0" borderId="19" xfId="0" applyFont="1" applyBorder="1"/>
    <xf numFmtId="8" fontId="22" fillId="0" borderId="0" xfId="0" applyNumberFormat="1" applyFont="1"/>
    <xf numFmtId="164" fontId="22" fillId="0" borderId="0" xfId="0" applyNumberFormat="1" applyFont="1"/>
    <xf numFmtId="164" fontId="22" fillId="0" borderId="19" xfId="0" applyNumberFormat="1" applyFont="1" applyBorder="1"/>
    <xf numFmtId="164" fontId="23" fillId="0" borderId="0" xfId="0" applyNumberFormat="1" applyFont="1"/>
    <xf numFmtId="164" fontId="16" fillId="4" borderId="19" xfId="0" applyNumberFormat="1" applyFont="1" applyFill="1" applyBorder="1"/>
    <xf numFmtId="164" fontId="23" fillId="0" borderId="19" xfId="0" applyNumberFormat="1" applyFont="1" applyBorder="1"/>
    <xf numFmtId="164" fontId="16" fillId="0" borderId="20" xfId="0" applyNumberFormat="1" applyFont="1" applyBorder="1" applyAlignment="1">
      <alignment horizontal="right"/>
    </xf>
    <xf numFmtId="0" fontId="23" fillId="0" borderId="19" xfId="0" applyFont="1" applyBorder="1"/>
    <xf numFmtId="164" fontId="17" fillId="0" borderId="0" xfId="0" applyNumberFormat="1" applyFont="1"/>
    <xf numFmtId="8" fontId="24" fillId="0" borderId="0" xfId="0" applyNumberFormat="1" applyFont="1"/>
    <xf numFmtId="0" fontId="24" fillId="0" borderId="0" xfId="0" applyFont="1"/>
    <xf numFmtId="0" fontId="4" fillId="0" borderId="0" xfId="0" applyFont="1"/>
    <xf numFmtId="164" fontId="19" fillId="4" borderId="14" xfId="0" applyNumberFormat="1" applyFont="1" applyFill="1" applyBorder="1"/>
    <xf numFmtId="6" fontId="25" fillId="0" borderId="0" xfId="0" applyNumberFormat="1" applyFont="1"/>
    <xf numFmtId="4" fontId="21" fillId="0" borderId="0" xfId="0" applyNumberFormat="1" applyFont="1"/>
    <xf numFmtId="8" fontId="25" fillId="0" borderId="0" xfId="0" applyNumberFormat="1" applyFont="1"/>
    <xf numFmtId="164" fontId="20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  <xf numFmtId="8" fontId="21" fillId="5" borderId="0" xfId="0" applyNumberFormat="1" applyFont="1" applyFill="1"/>
    <xf numFmtId="164" fontId="21" fillId="0" borderId="0" xfId="0" applyNumberFormat="1" applyFont="1"/>
    <xf numFmtId="165" fontId="21" fillId="0" borderId="0" xfId="0" applyNumberFormat="1" applyFont="1"/>
    <xf numFmtId="164" fontId="4" fillId="7" borderId="16" xfId="0" applyNumberFormat="1" applyFont="1" applyFill="1" applyBorder="1"/>
    <xf numFmtId="164" fontId="4" fillId="7" borderId="16" xfId="0" applyNumberFormat="1" applyFont="1" applyFill="1" applyBorder="1" applyAlignment="1">
      <alignment vertical="center"/>
    </xf>
    <xf numFmtId="164" fontId="15" fillId="0" borderId="0" xfId="0" applyNumberFormat="1" applyFont="1"/>
    <xf numFmtId="164" fontId="4" fillId="5" borderId="16" xfId="0" applyNumberFormat="1" applyFont="1" applyFill="1" applyBorder="1" applyAlignment="1">
      <alignment vertical="center"/>
    </xf>
    <xf numFmtId="0" fontId="5" fillId="0" borderId="0" xfId="0" applyFont="1"/>
    <xf numFmtId="164" fontId="18" fillId="7" borderId="16" xfId="0" applyNumberFormat="1" applyFont="1" applyFill="1" applyBorder="1" applyAlignment="1">
      <alignment vertical="center"/>
    </xf>
    <xf numFmtId="164" fontId="18" fillId="8" borderId="0" xfId="0" applyNumberFormat="1" applyFont="1" applyFill="1"/>
    <xf numFmtId="164" fontId="18" fillId="5" borderId="0" xfId="0" applyNumberFormat="1" applyFont="1" applyFill="1"/>
    <xf numFmtId="164" fontId="18" fillId="7" borderId="17" xfId="0" applyNumberFormat="1" applyFont="1" applyFill="1" applyBorder="1" applyAlignment="1">
      <alignment horizontal="right"/>
    </xf>
    <xf numFmtId="0" fontId="18" fillId="0" borderId="0" xfId="0" applyFont="1"/>
    <xf numFmtId="164" fontId="18" fillId="7" borderId="18" xfId="0" applyNumberFormat="1" applyFont="1" applyFill="1" applyBorder="1" applyAlignment="1">
      <alignment vertical="center"/>
    </xf>
    <xf numFmtId="164" fontId="18" fillId="8" borderId="19" xfId="0" applyNumberFormat="1" applyFont="1" applyFill="1" applyBorder="1"/>
    <xf numFmtId="164" fontId="18" fillId="5" borderId="19" xfId="0" applyNumberFormat="1" applyFont="1" applyFill="1" applyBorder="1"/>
    <xf numFmtId="164" fontId="18" fillId="7" borderId="20" xfId="0" applyNumberFormat="1" applyFont="1" applyFill="1" applyBorder="1" applyAlignment="1">
      <alignment horizontal="right"/>
    </xf>
    <xf numFmtId="164" fontId="18" fillId="7" borderId="16" xfId="0" applyNumberFormat="1" applyFont="1" applyFill="1" applyBorder="1"/>
    <xf numFmtId="164" fontId="18" fillId="7" borderId="18" xfId="0" applyNumberFormat="1" applyFont="1" applyFill="1" applyBorder="1"/>
    <xf numFmtId="164" fontId="18" fillId="5" borderId="16" xfId="0" applyNumberFormat="1" applyFont="1" applyFill="1" applyBorder="1" applyAlignment="1">
      <alignment vertical="center"/>
    </xf>
    <xf numFmtId="164" fontId="18" fillId="5" borderId="17" xfId="0" applyNumberFormat="1" applyFont="1" applyFill="1" applyBorder="1" applyAlignment="1">
      <alignment horizontal="right"/>
    </xf>
    <xf numFmtId="164" fontId="18" fillId="5" borderId="18" xfId="0" applyNumberFormat="1" applyFont="1" applyFill="1" applyBorder="1" applyAlignment="1">
      <alignment vertical="center"/>
    </xf>
    <xf numFmtId="164" fontId="18" fillId="5" borderId="20" xfId="0" applyNumberFormat="1" applyFont="1" applyFill="1" applyBorder="1" applyAlignment="1">
      <alignment horizontal="right"/>
    </xf>
    <xf numFmtId="164" fontId="28" fillId="0" borderId="13" xfId="0" applyNumberFormat="1" applyFont="1" applyBorder="1" applyAlignment="1">
      <alignment horizontal="left" vertical="center"/>
    </xf>
    <xf numFmtId="164" fontId="28" fillId="0" borderId="16" xfId="0" applyNumberFormat="1" applyFont="1" applyBorder="1" applyAlignment="1">
      <alignment horizontal="left" vertical="center"/>
    </xf>
    <xf numFmtId="0" fontId="28" fillId="0" borderId="16" xfId="0" applyFont="1" applyBorder="1" applyAlignment="1">
      <alignment horizontal="left" vertical="center"/>
    </xf>
    <xf numFmtId="0" fontId="28" fillId="0" borderId="18" xfId="0" applyFont="1" applyBorder="1" applyAlignment="1">
      <alignment horizontal="left" vertical="center"/>
    </xf>
    <xf numFmtId="164" fontId="28" fillId="0" borderId="18" xfId="0" applyNumberFormat="1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left"/>
    </xf>
    <xf numFmtId="0" fontId="28" fillId="0" borderId="16" xfId="0" applyFont="1" applyBorder="1" applyAlignment="1">
      <alignment horizontal="left"/>
    </xf>
    <xf numFmtId="0" fontId="28" fillId="0" borderId="18" xfId="0" applyFont="1" applyBorder="1" applyAlignment="1">
      <alignment horizontal="left"/>
    </xf>
    <xf numFmtId="164" fontId="26" fillId="8" borderId="0" xfId="0" applyNumberFormat="1" applyFont="1" applyFill="1"/>
    <xf numFmtId="164" fontId="26" fillId="5" borderId="8" xfId="0" applyNumberFormat="1" applyFont="1" applyFill="1" applyBorder="1" applyAlignment="1">
      <alignment horizontal="right"/>
    </xf>
    <xf numFmtId="164" fontId="26" fillId="7" borderId="9" xfId="0" applyNumberFormat="1" applyFont="1" applyFill="1" applyBorder="1" applyAlignment="1">
      <alignment horizontal="right"/>
    </xf>
    <xf numFmtId="4" fontId="28" fillId="0" borderId="0" xfId="0" applyNumberFormat="1" applyFont="1"/>
    <xf numFmtId="0" fontId="28" fillId="0" borderId="0" xfId="0" applyFont="1"/>
    <xf numFmtId="164" fontId="26" fillId="7" borderId="8" xfId="0" applyNumberFormat="1" applyFont="1" applyFill="1" applyBorder="1" applyAlignment="1">
      <alignment horizontal="right"/>
    </xf>
    <xf numFmtId="164" fontId="26" fillId="5" borderId="9" xfId="0" applyNumberFormat="1" applyFont="1" applyFill="1" applyBorder="1" applyAlignment="1">
      <alignment horizontal="right"/>
    </xf>
    <xf numFmtId="164" fontId="26" fillId="5" borderId="8" xfId="0" applyNumberFormat="1" applyFont="1" applyFill="1" applyBorder="1" applyAlignment="1">
      <alignment horizontal="right" wrapText="1"/>
    </xf>
    <xf numFmtId="164" fontId="26" fillId="7" borderId="8" xfId="0" applyNumberFormat="1" applyFont="1" applyFill="1" applyBorder="1" applyAlignment="1">
      <alignment horizontal="right" wrapText="1"/>
    </xf>
    <xf numFmtId="4" fontId="28" fillId="5" borderId="0" xfId="0" applyNumberFormat="1" applyFont="1" applyFill="1"/>
    <xf numFmtId="164" fontId="26" fillId="5" borderId="0" xfId="0" applyNumberFormat="1" applyFont="1" applyFill="1"/>
    <xf numFmtId="164" fontId="26" fillId="7" borderId="21" xfId="0" applyNumberFormat="1" applyFont="1" applyFill="1" applyBorder="1" applyAlignment="1">
      <alignment horizontal="right"/>
    </xf>
    <xf numFmtId="164" fontId="26" fillId="8" borderId="11" xfId="0" applyNumberFormat="1" applyFont="1" applyFill="1" applyBorder="1"/>
    <xf numFmtId="164" fontId="26" fillId="5" borderId="12" xfId="0" applyNumberFormat="1" applyFont="1" applyFill="1" applyBorder="1" applyAlignment="1">
      <alignment horizontal="right"/>
    </xf>
    <xf numFmtId="164" fontId="26" fillId="7" borderId="22" xfId="0" applyNumberFormat="1" applyFont="1" applyFill="1" applyBorder="1" applyAlignment="1">
      <alignment horizontal="right"/>
    </xf>
    <xf numFmtId="164" fontId="26" fillId="7" borderId="12" xfId="0" applyNumberFormat="1" applyFont="1" applyFill="1" applyBorder="1" applyAlignment="1">
      <alignment horizontal="right"/>
    </xf>
    <xf numFmtId="164" fontId="26" fillId="5" borderId="11" xfId="0" applyNumberFormat="1" applyFont="1" applyFill="1" applyBorder="1"/>
    <xf numFmtId="164" fontId="26" fillId="5" borderId="22" xfId="0" applyNumberFormat="1" applyFont="1" applyFill="1" applyBorder="1" applyAlignment="1">
      <alignment horizontal="right"/>
    </xf>
    <xf numFmtId="164" fontId="28" fillId="0" borderId="0" xfId="0" applyNumberFormat="1" applyFont="1"/>
    <xf numFmtId="164" fontId="21" fillId="8" borderId="14" xfId="0" applyNumberFormat="1" applyFont="1" applyFill="1" applyBorder="1"/>
    <xf numFmtId="164" fontId="21" fillId="5" borderId="7" xfId="0" applyNumberFormat="1" applyFont="1" applyFill="1" applyBorder="1" applyAlignment="1">
      <alignment horizontal="right"/>
    </xf>
    <xf numFmtId="164" fontId="21" fillId="7" borderId="21" xfId="0" applyNumberFormat="1" applyFont="1" applyFill="1" applyBorder="1" applyAlignment="1">
      <alignment horizontal="right"/>
    </xf>
    <xf numFmtId="164" fontId="21" fillId="8" borderId="0" xfId="0" applyNumberFormat="1" applyFont="1" applyFill="1"/>
    <xf numFmtId="164" fontId="21" fillId="7" borderId="7" xfId="0" applyNumberFormat="1" applyFont="1" applyFill="1" applyBorder="1" applyAlignment="1">
      <alignment horizontal="right"/>
    </xf>
    <xf numFmtId="164" fontId="21" fillId="5" borderId="14" xfId="0" applyNumberFormat="1" applyFont="1" applyFill="1" applyBorder="1"/>
    <xf numFmtId="164" fontId="21" fillId="5" borderId="21" xfId="0" applyNumberFormat="1" applyFont="1" applyFill="1" applyBorder="1" applyAlignment="1">
      <alignment horizontal="right"/>
    </xf>
    <xf numFmtId="164" fontId="21" fillId="5" borderId="0" xfId="0" applyNumberFormat="1" applyFont="1" applyFill="1"/>
    <xf numFmtId="164" fontId="21" fillId="5" borderId="8" xfId="0" applyNumberFormat="1" applyFont="1" applyFill="1" applyBorder="1" applyAlignment="1">
      <alignment horizontal="right"/>
    </xf>
    <xf numFmtId="164" fontId="21" fillId="5" borderId="9" xfId="0" applyNumberFormat="1" applyFont="1" applyFill="1" applyBorder="1" applyAlignment="1">
      <alignment horizontal="right"/>
    </xf>
    <xf numFmtId="164" fontId="21" fillId="7" borderId="9" xfId="0" applyNumberFormat="1" applyFont="1" applyFill="1" applyBorder="1" applyAlignment="1">
      <alignment horizontal="right"/>
    </xf>
    <xf numFmtId="164" fontId="21" fillId="7" borderId="8" xfId="0" applyNumberFormat="1" applyFont="1" applyFill="1" applyBorder="1" applyAlignment="1">
      <alignment horizontal="right"/>
    </xf>
    <xf numFmtId="4" fontId="30" fillId="0" borderId="0" xfId="0" applyNumberFormat="1" applyFont="1"/>
    <xf numFmtId="0" fontId="30" fillId="0" borderId="0" xfId="0" applyFont="1"/>
    <xf numFmtId="0" fontId="31" fillId="0" borderId="0" xfId="0" applyFont="1"/>
    <xf numFmtId="4" fontId="31" fillId="0" borderId="0" xfId="0" applyNumberFormat="1" applyFont="1"/>
    <xf numFmtId="8" fontId="30" fillId="0" borderId="0" xfId="0" applyNumberFormat="1" applyFont="1"/>
    <xf numFmtId="164" fontId="32" fillId="0" borderId="19" xfId="0" applyNumberFormat="1" applyFont="1" applyBorder="1" applyAlignment="1">
      <alignment wrapText="1"/>
    </xf>
    <xf numFmtId="164" fontId="23" fillId="0" borderId="19" xfId="0" applyNumberFormat="1" applyFont="1" applyBorder="1" applyAlignment="1">
      <alignment wrapText="1"/>
    </xf>
    <xf numFmtId="0" fontId="33" fillId="0" borderId="0" xfId="0" applyFont="1" applyAlignment="1">
      <alignment wrapText="1"/>
    </xf>
    <xf numFmtId="0" fontId="34" fillId="0" borderId="0" xfId="0" applyFont="1"/>
    <xf numFmtId="164" fontId="28" fillId="0" borderId="14" xfId="0" applyNumberFormat="1" applyFont="1" applyBorder="1" applyAlignment="1">
      <alignment horizontal="left" vertical="center"/>
    </xf>
    <xf numFmtId="164" fontId="19" fillId="4" borderId="26" xfId="0" applyNumberFormat="1" applyFont="1" applyFill="1" applyBorder="1"/>
    <xf numFmtId="164" fontId="20" fillId="0" borderId="26" xfId="0" applyNumberFormat="1" applyFont="1" applyBorder="1"/>
    <xf numFmtId="164" fontId="19" fillId="0" borderId="27" xfId="0" applyNumberFormat="1" applyFont="1" applyBorder="1" applyAlignment="1">
      <alignment horizontal="right"/>
    </xf>
    <xf numFmtId="164" fontId="19" fillId="0" borderId="29" xfId="0" applyNumberFormat="1" applyFont="1" applyBorder="1" applyAlignment="1">
      <alignment horizontal="right"/>
    </xf>
    <xf numFmtId="0" fontId="22" fillId="0" borderId="28" xfId="0" applyFont="1" applyBorder="1" applyAlignment="1">
      <alignment vertical="center" wrapText="1"/>
    </xf>
    <xf numFmtId="164" fontId="4" fillId="0" borderId="29" xfId="0" applyNumberFormat="1" applyFont="1" applyBorder="1" applyAlignment="1">
      <alignment horizontal="right"/>
    </xf>
    <xf numFmtId="0" fontId="22" fillId="0" borderId="30" xfId="0" applyFont="1" applyBorder="1" applyAlignment="1">
      <alignment vertical="center" wrapText="1"/>
    </xf>
    <xf numFmtId="164" fontId="4" fillId="4" borderId="31" xfId="0" applyNumberFormat="1" applyFont="1" applyFill="1" applyBorder="1"/>
    <xf numFmtId="164" fontId="22" fillId="0" borderId="31" xfId="0" applyNumberFormat="1" applyFont="1" applyBorder="1"/>
    <xf numFmtId="164" fontId="4" fillId="0" borderId="32" xfId="0" applyNumberFormat="1" applyFont="1" applyBorder="1" applyAlignment="1">
      <alignment horizontal="right"/>
    </xf>
    <xf numFmtId="164" fontId="28" fillId="0" borderId="0" xfId="0" applyNumberFormat="1" applyFont="1" applyAlignment="1">
      <alignment horizontal="left" vertical="center"/>
    </xf>
    <xf numFmtId="164" fontId="22" fillId="0" borderId="19" xfId="0" applyNumberFormat="1" applyFont="1" applyBorder="1" applyAlignment="1">
      <alignment wrapText="1"/>
    </xf>
    <xf numFmtId="164" fontId="29" fillId="0" borderId="16" xfId="0" applyNumberFormat="1" applyFont="1" applyBorder="1" applyAlignment="1">
      <alignment horizontal="left" vertical="center"/>
    </xf>
    <xf numFmtId="164" fontId="15" fillId="0" borderId="16" xfId="0" applyNumberFormat="1" applyFont="1" applyBorder="1" applyAlignment="1">
      <alignment horizontal="left" vertical="center"/>
    </xf>
    <xf numFmtId="164" fontId="15" fillId="0" borderId="18" xfId="0" applyNumberFormat="1" applyFont="1" applyBorder="1" applyAlignment="1">
      <alignment horizontal="left" vertical="center"/>
    </xf>
    <xf numFmtId="164" fontId="15" fillId="0" borderId="16" xfId="0" applyNumberFormat="1" applyFont="1" applyBorder="1" applyAlignment="1">
      <alignment vertical="center"/>
    </xf>
    <xf numFmtId="0" fontId="15" fillId="0" borderId="16" xfId="0" applyFont="1" applyBorder="1" applyAlignment="1">
      <alignment vertical="center"/>
    </xf>
    <xf numFmtId="0" fontId="15" fillId="0" borderId="16" xfId="0" applyFont="1" applyBorder="1" applyAlignment="1">
      <alignment horizontal="left" vertical="center"/>
    </xf>
    <xf numFmtId="0" fontId="35" fillId="0" borderId="33" xfId="0" applyFont="1" applyBorder="1" applyAlignment="1">
      <alignment horizontal="left" vertical="center" wrapText="1"/>
    </xf>
    <xf numFmtId="164" fontId="36" fillId="4" borderId="0" xfId="0" applyNumberFormat="1" applyFont="1" applyFill="1"/>
    <xf numFmtId="164" fontId="37" fillId="0" borderId="0" xfId="0" applyNumberFormat="1" applyFont="1"/>
    <xf numFmtId="164" fontId="36" fillId="0" borderId="17" xfId="0" applyNumberFormat="1" applyFont="1" applyBorder="1" applyAlignment="1">
      <alignment horizontal="right"/>
    </xf>
    <xf numFmtId="0" fontId="38" fillId="0" borderId="0" xfId="0" applyFont="1"/>
    <xf numFmtId="0" fontId="38" fillId="0" borderId="16" xfId="0" applyFont="1" applyBorder="1" applyAlignment="1">
      <alignment horizontal="left" vertical="center"/>
    </xf>
    <xf numFmtId="0" fontId="39" fillId="0" borderId="0" xfId="0" applyFont="1"/>
    <xf numFmtId="0" fontId="40" fillId="0" borderId="16" xfId="0" applyFont="1" applyBorder="1" applyAlignment="1">
      <alignment horizontal="left" vertical="center" wrapText="1"/>
    </xf>
    <xf numFmtId="0" fontId="41" fillId="0" borderId="0" xfId="0" applyFont="1"/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wrapText="1"/>
    </xf>
    <xf numFmtId="164" fontId="1" fillId="6" borderId="1" xfId="0" applyNumberFormat="1" applyFont="1" applyFill="1" applyBorder="1" applyAlignment="1">
      <alignment wrapText="1"/>
    </xf>
    <xf numFmtId="0" fontId="10" fillId="5" borderId="2" xfId="0" applyFont="1" applyFill="1" applyBorder="1"/>
    <xf numFmtId="0" fontId="10" fillId="5" borderId="3" xfId="0" applyFont="1" applyFill="1" applyBorder="1"/>
    <xf numFmtId="164" fontId="28" fillId="0" borderId="16" xfId="0" applyNumberFormat="1" applyFont="1" applyBorder="1" applyAlignment="1">
      <alignment horizontal="left" vertical="center"/>
    </xf>
    <xf numFmtId="164" fontId="28" fillId="0" borderId="13" xfId="0" applyNumberFormat="1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14" xfId="0" applyFont="1" applyBorder="1" applyAlignment="1">
      <alignment horizontal="left" vertical="center" wrapText="1"/>
    </xf>
    <xf numFmtId="164" fontId="27" fillId="7" borderId="23" xfId="0" applyNumberFormat="1" applyFont="1" applyFill="1" applyBorder="1" applyAlignment="1">
      <alignment horizontal="center" vertical="top"/>
    </xf>
    <xf numFmtId="164" fontId="27" fillId="7" borderId="24" xfId="0" applyNumberFormat="1" applyFont="1" applyFill="1" applyBorder="1" applyAlignment="1">
      <alignment horizontal="center" vertical="top"/>
    </xf>
    <xf numFmtId="164" fontId="27" fillId="7" borderId="10" xfId="0" applyNumberFormat="1" applyFont="1" applyFill="1" applyBorder="1" applyAlignment="1">
      <alignment horizontal="center" vertical="top"/>
    </xf>
    <xf numFmtId="164" fontId="28" fillId="0" borderId="18" xfId="0" applyNumberFormat="1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8" fillId="0" borderId="16" xfId="0" applyFont="1" applyBorder="1" applyAlignment="1">
      <alignment horizontal="left" vertical="center"/>
    </xf>
    <xf numFmtId="164" fontId="28" fillId="0" borderId="14" xfId="0" applyNumberFormat="1" applyFont="1" applyBorder="1" applyAlignment="1">
      <alignment horizontal="left" vertical="center"/>
    </xf>
    <xf numFmtId="164" fontId="28" fillId="0" borderId="0" xfId="0" applyNumberFormat="1" applyFont="1" applyAlignment="1">
      <alignment horizontal="left" vertical="center"/>
    </xf>
    <xf numFmtId="0" fontId="38" fillId="0" borderId="16" xfId="0" applyFont="1" applyBorder="1" applyAlignment="1">
      <alignment horizontal="left" vertical="center"/>
    </xf>
    <xf numFmtId="164" fontId="27" fillId="5" borderId="23" xfId="0" applyNumberFormat="1" applyFont="1" applyFill="1" applyBorder="1" applyAlignment="1">
      <alignment horizontal="center" vertical="top"/>
    </xf>
    <xf numFmtId="164" fontId="27" fillId="5" borderId="24" xfId="0" applyNumberFormat="1" applyFont="1" applyFill="1" applyBorder="1" applyAlignment="1">
      <alignment horizontal="center" vertical="top"/>
    </xf>
    <xf numFmtId="164" fontId="27" fillId="5" borderId="10" xfId="0" applyNumberFormat="1" applyFont="1" applyFill="1" applyBorder="1" applyAlignment="1">
      <alignment horizontal="center" vertical="top"/>
    </xf>
    <xf numFmtId="0" fontId="28" fillId="0" borderId="0" xfId="0" applyFont="1" applyAlignment="1">
      <alignment horizontal="left"/>
    </xf>
    <xf numFmtId="0" fontId="28" fillId="0" borderId="14" xfId="0" applyFont="1" applyBorder="1" applyAlignment="1">
      <alignment horizontal="left"/>
    </xf>
    <xf numFmtId="164" fontId="28" fillId="0" borderId="25" xfId="0" applyNumberFormat="1" applyFont="1" applyBorder="1" applyAlignment="1">
      <alignment horizontal="left" vertical="center"/>
    </xf>
    <xf numFmtId="164" fontId="28" fillId="0" borderId="28" xfId="0" applyNumberFormat="1" applyFont="1" applyBorder="1" applyAlignment="1">
      <alignment horizontal="left" vertical="center"/>
    </xf>
    <xf numFmtId="164" fontId="28" fillId="0" borderId="13" xfId="0" applyNumberFormat="1" applyFont="1" applyBorder="1" applyAlignment="1">
      <alignment horizontal="left"/>
    </xf>
    <xf numFmtId="164" fontId="28" fillId="0" borderId="16" xfId="0" applyNumberFormat="1" applyFont="1" applyBorder="1" applyAlignment="1">
      <alignment horizontal="left"/>
    </xf>
    <xf numFmtId="164" fontId="8" fillId="0" borderId="16" xfId="0" applyNumberFormat="1" applyFont="1" applyBorder="1" applyAlignment="1">
      <alignment horizontal="center" vertical="center"/>
    </xf>
    <xf numFmtId="0" fontId="2" fillId="0" borderId="16" xfId="0" applyFont="1" applyBorder="1"/>
    <xf numFmtId="164" fontId="7" fillId="3" borderId="0" xfId="0" applyNumberFormat="1" applyFont="1" applyFill="1" applyAlignment="1">
      <alignment horizontal="center" vertical="center"/>
    </xf>
    <xf numFmtId="0" fontId="0" fillId="0" borderId="0" xfId="0"/>
    <xf numFmtId="164" fontId="8" fillId="0" borderId="16" xfId="0" applyNumberFormat="1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8" fillId="0" borderId="1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56"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9C0006"/>
      </font>
    </dxf>
    <dxf>
      <font>
        <color rgb="FF00B050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B050"/>
      </font>
    </dxf>
    <dxf>
      <font>
        <color rgb="FFC00000"/>
      </font>
    </dxf>
    <dxf>
      <font>
        <color rgb="FF9C0006"/>
      </font>
    </dxf>
    <dxf>
      <font>
        <color rgb="FF00B050"/>
      </font>
    </dxf>
    <dxf>
      <font>
        <color rgb="FFC00000"/>
      </font>
    </dxf>
    <dxf>
      <font>
        <color rgb="FF00B050"/>
      </font>
    </dxf>
  </dxfs>
  <tableStyles count="0" defaultTableStyle="TableStyleMedium2" defaultPivotStyle="PivotStyleMedium9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uza, Virginia" id="{930983BC-8F38-4809-AF36-D0ED05FDA46D}" userId="S::souzav@polynesia.com::218682c4-0fc7-43c0-a8e6-0a91d37b8cf2" providerId="AD"/>
  <person displayName="Schriner, Jamis" id="{9C5494AF-3297-4335-8A1A-EB1A19B177FD}" userId="S::SchrineJ@polynesia.com::2ce3b60b-d8ae-4e44-be64-d8f5e9e4df9e" providerId="AD"/>
  <person displayName="Pangilinan, Rafael Ckevin" id="{B23AF81A-2BFA-4FF0-87C4-AF9DC0922D63}" userId="S::pangilir@polynesia.com::1d6a5272-3a9d-4ca3-a9a2-b71d00deadca" providerId="AD"/>
  <person displayName="Schriner, Jamis" id="{F8E349F5-822B-4ADF-89E2-79F1CD494F02}" userId="S::schrinej@polynesia.com::2ce3b60b-d8ae-4e44-be64-d8f5e9e4df9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3" dT="2025-07-17T23:43:58.06" personId="{9C5494AF-3297-4335-8A1A-EB1A19B177FD}" id="{625B21FA-F6B9-495B-A6AB-451BACC81380}">
    <text>Spot on the Budget!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50" dT="2025-06-26T23:16:00.13" personId="{F8E349F5-822B-4ADF-89E2-79F1CD494F02}" id="{28C9DB11-A765-400B-BEEA-A14F5C779980}">
    <text>Increased Spending, due to HMP spending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38" dT="2024-02-09T02:16:24.94" personId="{B23AF81A-2BFA-4FF0-87C4-AF9DC0922D63}" id="{0B23374C-09FD-4053-9C1A-D5275E298407}">
    <text>Ohana Club Referral Program</text>
  </threadedComment>
  <threadedComment ref="A63" dT="2024-12-04T20:21:18.06" personId="{B23AF81A-2BFA-4FF0-87C4-AF9DC0922D63}" id="{E56B673A-1668-4BE0-A919-01C15AFC6551}">
    <text>Non perf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67" dT="2024-12-04T20:21:25.72" personId="{B23AF81A-2BFA-4FF0-87C4-AF9DC0922D63}" id="{1EC39A0B-8B2A-4DCB-8105-9A8147D520BB}">
    <text>Agency</text>
  </threadedComment>
  <threadedComment ref="A71" dT="2024-12-04T20:21:25.72" personId="{B23AF81A-2BFA-4FF0-87C4-AF9DC0922D63}" id="{41DF8267-C161-467D-B5BE-E5DA8A6EE762}">
    <text>Agency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G14" dT="2025-06-26T23:42:27.51" personId="{F8E349F5-822B-4ADF-89E2-79F1CD494F02}" id="{35C3D8C8-0B74-4B2A-8B9C-E9D7467C405D}">
    <text>May Media Blitz $12,000</text>
  </threadedComment>
  <threadedComment ref="F19" dT="2024-11-27T20:35:05.85" personId="{B23AF81A-2BFA-4FF0-87C4-AF9DC0922D63}" id="{39B4FDE3-0529-41B4-ABA4-BF035D781B06}">
    <text>GMA Trip to Hawaii winners - Padgett Family</text>
  </threadedComment>
  <threadedComment ref="D42" dT="2025-03-17T21:38:11.79" personId="{B23AF81A-2BFA-4FF0-87C4-AF9DC0922D63}" id="{45B9A5C9-CE98-463A-B3A8-454E40F53180}">
    <text>Trip to Hawaii giveaway</text>
  </threadedComment>
  <threadedComment ref="G50" dT="2025-06-26T19:55:59.37" personId="{F8E349F5-822B-4ADF-89E2-79F1CD494F02}" id="{11B93DFC-57FB-4E71-896C-9703C4FE527C}">
    <text>Press kits for Mia meeting with Japanese media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14" dT="2025-03-17T21:43:11.11" personId="{B23AF81A-2BFA-4FF0-87C4-AF9DC0922D63}" id="{FCACD731-491E-42C8-848A-6D2CE5C5CCD6}">
    <text>Bedlam Zone (Big Red Store) - $1860
BYUH Print Services - $148.82</text>
  </threadedComment>
  <threadedComment ref="D14" dT="2025-03-17T21:30:11.73" personId="{B23AF81A-2BFA-4FF0-87C4-AF9DC0922D63}" id="{B78852C5-63E7-492D-82ED-882105AAEA96}">
    <text>L&amp;L Hawaiian Barbeque - $957.38 (food for cast and staff)
BYUH Print Services - $1140.15
Costco - $643.99
Foodland - $28.88</text>
  </threadedComment>
  <threadedComment ref="E14" dT="2025-03-17T23:48:00.73" personId="{B23AF81A-2BFA-4FF0-87C4-AF9DC0922D63}" id="{C0FB92A7-EEAD-4D01-8881-1CA2FA2FF88A}">
    <text>Hobby Lobby - $55.81</text>
  </threadedComment>
  <threadedComment ref="H14" dT="2025-11-07T03:48:03.64" personId="{F8E349F5-822B-4ADF-89E2-79F1CD494F02}" id="{D676D375-2A52-46FA-B559-FACAE812715D}">
    <text xml:space="preserve">Honyaku Center for Sharing Aloha Promo Translations
</text>
  </threadedComment>
  <threadedComment ref="I14" dT="2025-08-14T18:07:27.88" personId="{9C5494AF-3297-4335-8A1A-EB1A19B177FD}" id="{A2FE2726-94E5-4DB5-BAFF-9909D60675F4}">
    <text>Sharing Aloha Signs-Print Services</text>
  </threadedComment>
  <threadedComment ref="G18" dT="2025-06-26T05:12:11.22" personId="{F8E349F5-822B-4ADF-89E2-79F1CD494F02}" id="{2885BCFA-BE0C-4F38-A60C-68C2EBA7DA0B}">
    <text>Kiwi Corner- Food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C6" dT="2025-07-15T23:30:44.67" personId="{F8E349F5-822B-4ADF-89E2-79F1CD494F02}" id="{5732D1AB-4D35-4A5A-9436-FD997AB54E79}">
    <text>20k Greater than PowerBI #</text>
  </threadedComment>
  <threadedComment ref="J14" dT="2025-09-09T02:38:13.02" personId="{930983BC-8F38-4809-AF36-D0ED05FDA46D}" id="{2AD41D0E-A496-4F6F-B506-0C2DF8CDA4C5}">
    <text>113,500 FALL Gate Handouts</text>
  </threadedComment>
  <threadedComment ref="I18" dT="2025-09-09T02:29:45.08" personId="{930983BC-8F38-4809-AF36-D0ED05FDA46D}" id="{DBE3974A-4143-4ECC-B820-F89B2EFAB458}">
    <text>10,000 Keiki Passports</text>
  </threadedComment>
  <threadedComment ref="K42" dT="2025-11-19T04:00:13.74" personId="{F8E349F5-822B-4ADF-89E2-79F1CD494F02}" id="{55830371-8DB1-4F72-BE20-128784FD908E}">
    <text>Krisha's Reimbursement, 9.26.25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78" dT="2025-04-08T01:35:10.99" personId="{B23AF81A-2BFA-4FF0-87C4-AF9DC0922D63}" id="{CA5D2E25-58EE-43A6-8A5D-6705D775CBB1}">
    <text>Vacuum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L54" dT="2025-11-08T03:07:43.50" personId="{F8E349F5-822B-4ADF-89E2-79F1CD494F02}" id="{B5AA68AA-D4F3-44E1-A69A-F9450765EC3F}">
    <text>Prepaid MusicBed for 3 Years</text>
  </threadedComment>
  <threadedComment ref="J78" dT="2025-10-11T02:47:16.78" personId="{F8E349F5-822B-4ADF-89E2-79F1CD494F02}" id="{726ABEF3-43DA-4FBB-8328-7D1FC739D073}">
    <text>Annual Fee of $9,604.18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31" dT="2024-03-26T00:50:04.11" personId="{B23AF81A-2BFA-4FF0-87C4-AF9DC0922D63}" id="{8F86E310-1C12-444B-93E3-7F7EAB682EA9}">
    <text>Two-year contract with Conductor. Invoice paid for first half of contract period Feb. 2024 to Jan. 2025 worth $37,200. Cost is amortized for 12 months.</text>
  </threadedComment>
  <threadedComment ref="F42" dT="2025-05-07T02:56:58.26" personId="{F8E349F5-822B-4ADF-89E2-79F1CD494F02}" id="{2BE39B7B-1679-4F80-96D7-6B6FD5F4435E}">
    <text xml:space="preserve">This was inputted before I added Virginia's PCard amount, what was that from?
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E14" dT="2025-04-08T01:34:27.44" personId="{B23AF81A-2BFA-4FF0-87C4-AF9DC0922D63}" id="{59A3C9B6-9798-4083-9A9F-33D8B36FD192}">
    <text>Tutu's</text>
  </threadedComment>
  <threadedComment ref="F14" dT="2025-05-30T02:17:49.26" personId="{F8E349F5-822B-4ADF-89E2-79F1CD494F02}" id="{11B315D8-FA9F-4292-83B4-6B3528F1AFCF}">
    <text xml:space="preserve">Tutu's
</text>
  </threadedComment>
  <threadedComment ref="I14" dT="2025-08-14T18:46:07.60" personId="{9C5494AF-3297-4335-8A1A-EB1A19B177FD}" id="{7266E000-DE1B-41D7-A3DF-D3EC3492685B}">
    <text>Foodland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F22" dT="2025-05-30T02:25:04.92" personId="{F8E349F5-822B-4ADF-89E2-79F1CD494F02}" id="{D536D8B1-5A6D-4650-BE7F-5EA0DB1DADBD}">
    <text>8 Costco Leis</text>
  </threadedComment>
  <threadedComment ref="F30" dT="2025-05-30T02:36:16.81" personId="{F8E349F5-822B-4ADF-89E2-79F1CD494F02}" id="{D9360E69-751C-4B07-AE53-65BE16C2DF9B}">
    <text>Recognition Gift for Jared + Bret's Employment Milestone</text>
  </threadedComment>
  <threadedComment ref="K30" dT="2025-11-07T21:52:37.40" personId="{F8E349F5-822B-4ADF-89E2-79F1CD494F02}" id="{C4BABDE1-82BD-4C6E-8940-356B6A7E5262}">
    <text xml:space="preserve">Employee Recognition
</text>
  </threadedComment>
  <threadedComment ref="C34" dT="2025-03-17T23:46:39.52" personId="{B23AF81A-2BFA-4FF0-87C4-AF9DC0922D63}" id="{F8C71D0A-CDA2-40E4-A0D4-A37916F143AA}">
    <text>Bret's lunch meeting with Alan - $47.91
Bret's lunch meeting with Nephi - $65.28</text>
  </threadedComment>
  <threadedComment ref="G34" dT="2025-06-26T04:52:34.11" personId="{F8E349F5-822B-4ADF-89E2-79F1CD494F02}" id="{F536C326-60D7-478B-A282-F6BA13DE3BE8}">
    <text>Alan and Seth Chile Relleno</text>
  </threadedComment>
  <threadedComment ref="K34" dT="2025-11-07T21:56:23.02" personId="{F8E349F5-822B-4ADF-89E2-79F1CD494F02}" id="{D134AA64-2421-40F4-9428-2787E66A6C00}">
    <text>Devo</text>
  </threadedComment>
  <threadedComment ref="E38" dT="2025-04-08T01:29:47.59" personId="{B23AF81A-2BFA-4FF0-87C4-AF9DC0922D63}" id="{CF14DE6C-8676-4A34-B4C1-13D9249D50E9}">
    <text>for Cam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E26" dT="2025-04-08T01:33:10.48" personId="{B23AF81A-2BFA-4FF0-87C4-AF9DC0922D63}" id="{B90DFEF7-54B5-4E26-9A6E-4449A8C94940}">
    <text>May 2025 Japan promo trip</text>
  </threadedComment>
  <threadedComment ref="E34" dT="2025-04-08T01:33:28.61" personId="{B23AF81A-2BFA-4FF0-87C4-AF9DC0922D63}" id="{E87D6360-6924-4EF9-B03C-A7A000217BA3}">
    <text>May 2025 Japan promo trip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G18" dT="2025-06-26T22:21:58.63" personId="{F8E349F5-822B-4ADF-89E2-79F1CD494F02}" id="{5AFE265D-170C-49F8-9E9C-4A3920E526C5}">
    <text>Snacks for Ohana club family models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F14" dT="2025-11-19T21:25:13.92" personId="{F8E349F5-822B-4ADF-89E2-79F1CD494F02}" id="{BC1246CF-239B-4AAD-A7D1-3A5482B3DE41}">
    <text>We are samoa</text>
  </threadedComment>
  <threadedComment ref="J14" dT="2025-11-19T21:43:25.65" personId="{F8E349F5-822B-4ADF-89E2-79F1CD494F02}" id="{1730EEDA-58F7-49B3-9179-3A919A4C4F3E}">
    <text xml:space="preserve">Liz: Poster Distribution for "Sharing Aloha"
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F10" dT="2025-07-11T23:04:05.71" personId="{F8E349F5-822B-4ADF-89E2-79F1CD494F02}" id="{27EE7E0D-5CE6-4C47-A660-985000ADFA0F}">
    <text>Had to copy last months, needs changing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7EE3-3064-44F3-B281-F54D45260820}">
  <sheetPr codeName="Sheet1"/>
  <dimension ref="A1:S208"/>
  <sheetViews>
    <sheetView tabSelected="1" workbookViewId="0">
      <pane xSplit="2" ySplit="1" topLeftCell="E2" activePane="bottomRight" state="frozen"/>
      <selection pane="topRight"/>
      <selection pane="bottomLeft"/>
      <selection pane="bottomRight" activeCell="G9" sqref="G9"/>
    </sheetView>
  </sheetViews>
  <sheetFormatPr defaultRowHeight="14.4" x14ac:dyDescent="0.3"/>
  <cols>
    <col min="1" max="1" width="30.5546875" customWidth="1"/>
    <col min="2" max="2" width="22.88671875" bestFit="1" customWidth="1"/>
    <col min="3" max="14" width="14.44140625" customWidth="1"/>
    <col min="15" max="15" width="16.109375" customWidth="1"/>
    <col min="17" max="17" width="26.5546875" bestFit="1" customWidth="1"/>
    <col min="18" max="18" width="27.5546875" customWidth="1"/>
  </cols>
  <sheetData>
    <row r="1" spans="1:19" x14ac:dyDescent="0.3">
      <c r="A1" s="230" t="s">
        <v>0</v>
      </c>
      <c r="B1" s="230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9" t="s">
        <v>13</v>
      </c>
      <c r="Q1" t="s">
        <v>14</v>
      </c>
    </row>
    <row r="2" spans="1:19" x14ac:dyDescent="0.3">
      <c r="A2" s="79" t="s">
        <v>15</v>
      </c>
      <c r="B2" s="57" t="s">
        <v>16</v>
      </c>
      <c r="C2" s="58">
        <f t="shared" ref="C2:N2" si="0">SUMIFS(C18:C204,$B$18:$B$204,"Actual 2024")</f>
        <v>279328.95</v>
      </c>
      <c r="D2" s="58">
        <f t="shared" si="0"/>
        <v>270214.24000000005</v>
      </c>
      <c r="E2" s="58">
        <f t="shared" si="0"/>
        <v>361676.73</v>
      </c>
      <c r="F2" s="58">
        <f t="shared" si="0"/>
        <v>340089.85000000003</v>
      </c>
      <c r="G2" s="58">
        <f t="shared" si="0"/>
        <v>352828.34</v>
      </c>
      <c r="H2" s="58">
        <f t="shared" si="0"/>
        <v>279066.84999999992</v>
      </c>
      <c r="I2" s="58">
        <f t="shared" si="0"/>
        <v>304345.61</v>
      </c>
      <c r="J2" s="58">
        <f t="shared" si="0"/>
        <v>304643.70999999996</v>
      </c>
      <c r="K2" s="58">
        <f t="shared" si="0"/>
        <v>349086.72999999992</v>
      </c>
      <c r="L2" s="58">
        <f t="shared" si="0"/>
        <v>331838.71999999986</v>
      </c>
      <c r="M2" s="58">
        <f t="shared" si="0"/>
        <v>330231.45999999996</v>
      </c>
      <c r="N2" s="58">
        <f t="shared" si="0"/>
        <v>300395.29999999993</v>
      </c>
      <c r="O2" s="59">
        <f t="shared" ref="O2:O8" si="1">SUM(C2:N2)</f>
        <v>3803746.4899999993</v>
      </c>
    </row>
    <row r="3" spans="1:19" x14ac:dyDescent="0.3">
      <c r="A3" s="80"/>
      <c r="B3" s="50" t="s">
        <v>17</v>
      </c>
      <c r="C3" s="60">
        <f t="shared" ref="C3:N3" si="2">SUMIFS(C18:C204,$B$18:$B$204,"Estimated")</f>
        <v>386832.24000000005</v>
      </c>
      <c r="D3" s="60">
        <f t="shared" si="2"/>
        <v>390190.88</v>
      </c>
      <c r="E3" s="60">
        <f t="shared" si="2"/>
        <v>370736.10000000003</v>
      </c>
      <c r="F3" s="60">
        <f t="shared" si="2"/>
        <v>341182.5</v>
      </c>
      <c r="G3" s="60">
        <f t="shared" si="2"/>
        <v>361749.72000000003</v>
      </c>
      <c r="H3" s="60">
        <f t="shared" si="2"/>
        <v>330303.67000000004</v>
      </c>
      <c r="I3" s="60">
        <f t="shared" si="2"/>
        <v>298664.66000000003</v>
      </c>
      <c r="J3" s="60">
        <f t="shared" si="2"/>
        <v>327027.09000000003</v>
      </c>
      <c r="K3" s="60">
        <f t="shared" si="2"/>
        <v>371037.05</v>
      </c>
      <c r="L3" s="60">
        <f t="shared" si="2"/>
        <v>317977.02</v>
      </c>
      <c r="M3" s="60">
        <f t="shared" si="2"/>
        <v>314830.34000000003</v>
      </c>
      <c r="N3" s="60">
        <f t="shared" si="2"/>
        <v>321172.34000000003</v>
      </c>
      <c r="O3" s="61">
        <f>SUM(C3:N3)</f>
        <v>4131703.61</v>
      </c>
    </row>
    <row r="4" spans="1:19" x14ac:dyDescent="0.3">
      <c r="A4" s="80"/>
      <c r="B4" s="49" t="s">
        <v>18</v>
      </c>
      <c r="C4" s="60">
        <f t="shared" ref="C4:N4" si="3">SUMIFS(C18:C204,$B$18:$B$204,"Budget")</f>
        <v>343948.14999999997</v>
      </c>
      <c r="D4" s="60">
        <f t="shared" si="3"/>
        <v>389470.60000000003</v>
      </c>
      <c r="E4" s="60">
        <f t="shared" si="3"/>
        <v>369659.20999999996</v>
      </c>
      <c r="F4" s="60">
        <f t="shared" si="3"/>
        <v>337869.28</v>
      </c>
      <c r="G4" s="60">
        <f t="shared" si="3"/>
        <v>349380.65</v>
      </c>
      <c r="H4" s="60">
        <f t="shared" si="3"/>
        <v>323922</v>
      </c>
      <c r="I4" s="60">
        <f t="shared" si="3"/>
        <v>299871.66000000003</v>
      </c>
      <c r="J4" s="60">
        <f t="shared" si="3"/>
        <v>315111.09999999998</v>
      </c>
      <c r="K4" s="60">
        <f t="shared" si="3"/>
        <v>366615.42000000004</v>
      </c>
      <c r="L4" s="60">
        <f t="shared" si="3"/>
        <v>312007.58999999997</v>
      </c>
      <c r="M4" s="60">
        <f t="shared" si="3"/>
        <v>306270.67000000004</v>
      </c>
      <c r="N4" s="60">
        <f t="shared" si="3"/>
        <v>319183.58</v>
      </c>
      <c r="O4" s="61">
        <f t="shared" si="1"/>
        <v>4033309.91</v>
      </c>
    </row>
    <row r="5" spans="1:19" x14ac:dyDescent="0.3">
      <c r="A5" s="80"/>
      <c r="B5" s="49" t="s">
        <v>19</v>
      </c>
      <c r="C5" s="60">
        <f t="shared" ref="C5:N5" si="4">SUMIFS(C18:C204,$B$18:$B$204,"Actual")</f>
        <v>356907.3</v>
      </c>
      <c r="D5" s="60">
        <f t="shared" si="4"/>
        <v>344891.48000000004</v>
      </c>
      <c r="E5" s="60">
        <f t="shared" si="4"/>
        <v>403531.81999999995</v>
      </c>
      <c r="F5" s="60">
        <f t="shared" si="4"/>
        <v>381063.99</v>
      </c>
      <c r="G5" s="60">
        <f>SUMIFS(G18:G204,$B$18:$B$204,"Actual")</f>
        <v>408641.75</v>
      </c>
      <c r="H5" s="60">
        <f t="shared" si="4"/>
        <v>384046.38999999996</v>
      </c>
      <c r="I5" s="60">
        <f t="shared" si="4"/>
        <v>392927.52</v>
      </c>
      <c r="J5" s="60">
        <f t="shared" si="4"/>
        <v>400678.58000000007</v>
      </c>
      <c r="K5" s="60">
        <f t="shared" si="4"/>
        <v>315723.39999999991</v>
      </c>
      <c r="L5" s="60">
        <f t="shared" si="4"/>
        <v>240948.19000000003</v>
      </c>
      <c r="M5" s="60">
        <f t="shared" si="4"/>
        <v>6976.78</v>
      </c>
      <c r="N5" s="60">
        <f t="shared" si="4"/>
        <v>0</v>
      </c>
      <c r="O5" s="61">
        <f t="shared" si="1"/>
        <v>3636337.1999999997</v>
      </c>
      <c r="Q5" s="33">
        <f>O3-O2</f>
        <v>327957.12000000058</v>
      </c>
      <c r="R5" t="s">
        <v>20</v>
      </c>
      <c r="S5" s="35">
        <f>Q5/O2</f>
        <v>8.62194998699823E-2</v>
      </c>
    </row>
    <row r="6" spans="1:19" x14ac:dyDescent="0.3">
      <c r="A6" s="81"/>
      <c r="B6" s="49" t="s">
        <v>21</v>
      </c>
      <c r="C6" s="48">
        <f>C14</f>
        <v>-12959.150000000023</v>
      </c>
      <c r="D6" s="48">
        <f t="shared" ref="D6:H6" si="5">D4-D5</f>
        <v>44579.119999999995</v>
      </c>
      <c r="E6" s="48">
        <f t="shared" si="5"/>
        <v>-33872.609999999986</v>
      </c>
      <c r="F6" s="48">
        <f t="shared" si="5"/>
        <v>-43194.709999999963</v>
      </c>
      <c r="G6" s="48">
        <f t="shared" si="5"/>
        <v>-59261.099999999977</v>
      </c>
      <c r="H6" s="48">
        <f t="shared" si="5"/>
        <v>-60124.389999999956</v>
      </c>
      <c r="I6" s="48">
        <f>I4-I5</f>
        <v>-93055.859999999986</v>
      </c>
      <c r="J6" s="48">
        <f>J4-J5</f>
        <v>-85567.480000000098</v>
      </c>
      <c r="K6" s="48"/>
      <c r="L6" s="48"/>
      <c r="M6" s="48"/>
      <c r="N6" s="48"/>
      <c r="O6" s="61">
        <f t="shared" si="1"/>
        <v>-343456.18</v>
      </c>
      <c r="Q6" s="34">
        <f>Q28</f>
        <v>65960.050000000047</v>
      </c>
      <c r="R6" t="s">
        <v>22</v>
      </c>
    </row>
    <row r="7" spans="1:19" x14ac:dyDescent="0.3">
      <c r="A7" s="81"/>
      <c r="B7" s="50" t="s">
        <v>23</v>
      </c>
      <c r="C7" s="50">
        <f>SUM($C5:C5)</f>
        <v>356907.3</v>
      </c>
      <c r="D7" s="50">
        <f>SUM($C5:D5)</f>
        <v>701798.78</v>
      </c>
      <c r="E7" s="50">
        <f>SUM($C5:E5)</f>
        <v>1105330.6000000001</v>
      </c>
      <c r="F7" s="50">
        <f>SUM($C5:F5)</f>
        <v>1486394.59</v>
      </c>
      <c r="G7" s="50">
        <f>SUM($C5:G5)</f>
        <v>1895036.34</v>
      </c>
      <c r="H7" s="50">
        <f>SUM($C5:H5)</f>
        <v>2279082.73</v>
      </c>
      <c r="I7" s="50">
        <f>SUM($C5:I5)</f>
        <v>2672010.25</v>
      </c>
      <c r="J7" s="50">
        <f>SUM($C5:J5)</f>
        <v>3072688.83</v>
      </c>
      <c r="K7" s="50"/>
      <c r="L7" s="50"/>
      <c r="M7" s="50"/>
      <c r="N7" s="50"/>
      <c r="O7" s="61">
        <f>O5</f>
        <v>3636337.1999999997</v>
      </c>
      <c r="Q7" s="33">
        <f>Q5-Q6</f>
        <v>261997.07000000053</v>
      </c>
      <c r="R7" t="s">
        <v>24</v>
      </c>
      <c r="S7" s="35">
        <f>Q7/O2</f>
        <v>6.8878688600512009E-2</v>
      </c>
    </row>
    <row r="8" spans="1:19" x14ac:dyDescent="0.3">
      <c r="A8" s="82"/>
      <c r="B8" s="51" t="s">
        <v>25</v>
      </c>
      <c r="C8" s="51">
        <f>C4-C7</f>
        <v>-12959.150000000023</v>
      </c>
      <c r="D8" s="51">
        <f>SUM($C4:D4)-D7</f>
        <v>31619.969999999972</v>
      </c>
      <c r="E8" s="51">
        <f>SUM($C4:E4)-E7</f>
        <v>-2252.6400000001304</v>
      </c>
      <c r="F8" s="51">
        <f>SUM($C4:F4)-F7</f>
        <v>-45447.350000000093</v>
      </c>
      <c r="G8" s="51">
        <f>SUM($C4:G4)-G7</f>
        <v>-104708.44999999995</v>
      </c>
      <c r="H8" s="51">
        <f>SUM($C4:H4)-H7</f>
        <v>-164832.83999999985</v>
      </c>
      <c r="I8" s="51">
        <f>SUM($C4:I4)-I7</f>
        <v>-257888.69999999972</v>
      </c>
      <c r="J8" s="51">
        <f>SUM($C4:J4)-J7</f>
        <v>-343456.1799999997</v>
      </c>
      <c r="K8" s="51"/>
      <c r="L8" s="51"/>
      <c r="M8" s="51"/>
      <c r="N8" s="51"/>
      <c r="O8" s="62">
        <f t="shared" si="1"/>
        <v>-899925.3399999995</v>
      </c>
      <c r="Q8" s="33"/>
      <c r="S8" s="35"/>
    </row>
    <row r="9" spans="1:19" x14ac:dyDescent="0.3">
      <c r="O9" s="27"/>
    </row>
    <row r="10" spans="1:19" x14ac:dyDescent="0.3">
      <c r="A10" s="79" t="s">
        <v>26</v>
      </c>
      <c r="B10" s="57" t="s">
        <v>16</v>
      </c>
      <c r="C10" s="58">
        <f t="shared" ref="C10:N10" si="6">SUMIFS(C18:C195,$B$18:$B$195,"Actual 2024")</f>
        <v>276395.89</v>
      </c>
      <c r="D10" s="58">
        <f t="shared" si="6"/>
        <v>265891.91000000003</v>
      </c>
      <c r="E10" s="58">
        <f t="shared" si="6"/>
        <v>318342.65999999997</v>
      </c>
      <c r="F10" s="58">
        <f t="shared" si="6"/>
        <v>332878.99000000005</v>
      </c>
      <c r="G10" s="58">
        <f t="shared" si="6"/>
        <v>348416.69</v>
      </c>
      <c r="H10" s="58">
        <f t="shared" si="6"/>
        <v>274374.53999999992</v>
      </c>
      <c r="I10" s="58">
        <f t="shared" si="6"/>
        <v>299083.15999999997</v>
      </c>
      <c r="J10" s="58">
        <f t="shared" si="6"/>
        <v>299928.01999999996</v>
      </c>
      <c r="K10" s="58">
        <f t="shared" si="6"/>
        <v>342022.56999999995</v>
      </c>
      <c r="L10" s="58">
        <f t="shared" si="6"/>
        <v>324898.73999999987</v>
      </c>
      <c r="M10" s="58">
        <f t="shared" si="6"/>
        <v>325486.21999999997</v>
      </c>
      <c r="N10" s="58">
        <f t="shared" si="6"/>
        <v>295673.57999999996</v>
      </c>
      <c r="O10" s="59">
        <f>SUM(C10:N10)</f>
        <v>3703392.9699999997</v>
      </c>
    </row>
    <row r="11" spans="1:19" x14ac:dyDescent="0.3">
      <c r="A11" s="80"/>
      <c r="B11" s="50" t="s">
        <v>27</v>
      </c>
      <c r="C11" s="60">
        <f t="shared" ref="C11:N11" si="7">SUMIFS(C18:C195,$B$18:$B$195,"Estimated")</f>
        <v>386832.24000000005</v>
      </c>
      <c r="D11" s="60">
        <f t="shared" si="7"/>
        <v>390190.88</v>
      </c>
      <c r="E11" s="60">
        <f t="shared" si="7"/>
        <v>370736.10000000003</v>
      </c>
      <c r="F11" s="60">
        <f t="shared" si="7"/>
        <v>341182.5</v>
      </c>
      <c r="G11" s="60">
        <f t="shared" si="7"/>
        <v>361749.72000000003</v>
      </c>
      <c r="H11" s="60">
        <f t="shared" si="7"/>
        <v>330303.67000000004</v>
      </c>
      <c r="I11" s="60">
        <f t="shared" si="7"/>
        <v>298664.66000000003</v>
      </c>
      <c r="J11" s="60">
        <f t="shared" si="7"/>
        <v>327027.09000000003</v>
      </c>
      <c r="K11" s="60">
        <f t="shared" si="7"/>
        <v>371037.05</v>
      </c>
      <c r="L11" s="60">
        <f t="shared" si="7"/>
        <v>317977.02</v>
      </c>
      <c r="M11" s="60">
        <f t="shared" si="7"/>
        <v>314830.34000000003</v>
      </c>
      <c r="N11" s="60">
        <f t="shared" si="7"/>
        <v>321172.34000000003</v>
      </c>
      <c r="O11" s="61">
        <f>SUM(C11:N11)</f>
        <v>4131703.61</v>
      </c>
    </row>
    <row r="12" spans="1:19" x14ac:dyDescent="0.3">
      <c r="A12" s="80"/>
      <c r="B12" s="49" t="s">
        <v>18</v>
      </c>
      <c r="C12" s="60">
        <f t="shared" ref="C12:N12" si="8">SUMIFS(C18:C195,$B$18:$B$195,"Budget")</f>
        <v>343948.14999999997</v>
      </c>
      <c r="D12" s="60">
        <f t="shared" si="8"/>
        <v>389470.60000000003</v>
      </c>
      <c r="E12" s="60">
        <f t="shared" si="8"/>
        <v>369659.20999999996</v>
      </c>
      <c r="F12" s="60">
        <f t="shared" si="8"/>
        <v>337869.28</v>
      </c>
      <c r="G12" s="60">
        <f t="shared" si="8"/>
        <v>349380.65</v>
      </c>
      <c r="H12" s="60">
        <f t="shared" si="8"/>
        <v>323922</v>
      </c>
      <c r="I12" s="60">
        <f t="shared" si="8"/>
        <v>299871.66000000003</v>
      </c>
      <c r="J12" s="60">
        <f t="shared" si="8"/>
        <v>315111.09999999998</v>
      </c>
      <c r="K12" s="60">
        <f t="shared" si="8"/>
        <v>366615.42000000004</v>
      </c>
      <c r="L12" s="60">
        <f t="shared" si="8"/>
        <v>312007.58999999997</v>
      </c>
      <c r="M12" s="60">
        <f t="shared" si="8"/>
        <v>306270.67000000004</v>
      </c>
      <c r="N12" s="60">
        <f t="shared" si="8"/>
        <v>319183.58</v>
      </c>
      <c r="O12" s="61">
        <f t="shared" ref="O12:O16" si="9">SUM(C12:N12)</f>
        <v>4033309.91</v>
      </c>
    </row>
    <row r="13" spans="1:19" x14ac:dyDescent="0.3">
      <c r="A13" s="80"/>
      <c r="B13" s="49" t="s">
        <v>19</v>
      </c>
      <c r="C13" s="60">
        <f t="shared" ref="C13:N13" si="10">SUMIFS(C18:C195,$B$18:$B$195,"Actual")</f>
        <v>356907.3</v>
      </c>
      <c r="D13" s="60">
        <f t="shared" si="10"/>
        <v>344891.48000000004</v>
      </c>
      <c r="E13" s="60">
        <f t="shared" si="10"/>
        <v>403531.81999999995</v>
      </c>
      <c r="F13" s="60">
        <f t="shared" si="10"/>
        <v>381063.99</v>
      </c>
      <c r="G13" s="60">
        <f t="shared" si="10"/>
        <v>408641.75</v>
      </c>
      <c r="H13" s="60">
        <f t="shared" si="10"/>
        <v>384046.38999999996</v>
      </c>
      <c r="I13" s="60">
        <f t="shared" si="10"/>
        <v>392927.52</v>
      </c>
      <c r="J13" s="60">
        <f t="shared" si="10"/>
        <v>400678.58000000007</v>
      </c>
      <c r="K13" s="60">
        <f t="shared" si="10"/>
        <v>315723.39999999991</v>
      </c>
      <c r="L13" s="60">
        <f t="shared" si="10"/>
        <v>240948.19000000003</v>
      </c>
      <c r="M13" s="60">
        <f t="shared" si="10"/>
        <v>6976.78</v>
      </c>
      <c r="N13" s="60">
        <f t="shared" si="10"/>
        <v>0</v>
      </c>
      <c r="O13" s="61">
        <f t="shared" si="9"/>
        <v>3636337.1999999997</v>
      </c>
    </row>
    <row r="14" spans="1:19" x14ac:dyDescent="0.3">
      <c r="A14" s="81"/>
      <c r="B14" s="49" t="s">
        <v>21</v>
      </c>
      <c r="C14" s="48">
        <f t="shared" ref="C14:H14" si="11">C12-C13</f>
        <v>-12959.150000000023</v>
      </c>
      <c r="D14" s="48">
        <f t="shared" si="11"/>
        <v>44579.119999999995</v>
      </c>
      <c r="E14" s="48">
        <f t="shared" si="11"/>
        <v>-33872.609999999986</v>
      </c>
      <c r="F14" s="48">
        <f t="shared" si="11"/>
        <v>-43194.709999999963</v>
      </c>
      <c r="G14" s="48">
        <f t="shared" si="11"/>
        <v>-59261.099999999977</v>
      </c>
      <c r="H14" s="48">
        <f t="shared" si="11"/>
        <v>-60124.389999999956</v>
      </c>
      <c r="I14" s="48">
        <f t="shared" ref="I14:L14" si="12">I12-I13</f>
        <v>-93055.859999999986</v>
      </c>
      <c r="J14" s="48">
        <f t="shared" si="12"/>
        <v>-85567.480000000098</v>
      </c>
      <c r="K14" s="48">
        <f t="shared" si="12"/>
        <v>50892.020000000135</v>
      </c>
      <c r="L14" s="48">
        <f t="shared" si="12"/>
        <v>71059.399999999936</v>
      </c>
      <c r="M14" s="48"/>
      <c r="N14" s="48"/>
      <c r="O14" s="61">
        <f t="shared" si="9"/>
        <v>-221504.75999999992</v>
      </c>
    </row>
    <row r="15" spans="1:19" x14ac:dyDescent="0.3">
      <c r="A15" s="83"/>
      <c r="B15" s="50" t="s">
        <v>23</v>
      </c>
      <c r="C15" s="50">
        <f>SUM($C13:C13)</f>
        <v>356907.3</v>
      </c>
      <c r="D15" s="50">
        <f>SUM($C13:D13)</f>
        <v>701798.78</v>
      </c>
      <c r="E15" s="50">
        <f>SUM($C13:E13)</f>
        <v>1105330.6000000001</v>
      </c>
      <c r="F15" s="50">
        <f>SUM($C13:F13)</f>
        <v>1486394.59</v>
      </c>
      <c r="G15" s="50">
        <f>SUM($C13:G13)</f>
        <v>1895036.34</v>
      </c>
      <c r="H15" s="50">
        <f>SUM($C13:H13)</f>
        <v>2279082.73</v>
      </c>
      <c r="I15" s="50">
        <f>SUM($C13:I13)</f>
        <v>2672010.25</v>
      </c>
      <c r="J15" s="50">
        <f>SUM($C13:J13)</f>
        <v>3072688.83</v>
      </c>
      <c r="K15" s="50">
        <f>SUM($C13:K13)</f>
        <v>3388412.23</v>
      </c>
      <c r="L15" s="50">
        <f>SUM($C13:L13)</f>
        <v>3629360.42</v>
      </c>
      <c r="M15" s="50"/>
      <c r="N15" s="50"/>
      <c r="O15" s="61">
        <f>O13</f>
        <v>3636337.1999999997</v>
      </c>
    </row>
    <row r="16" spans="1:19" x14ac:dyDescent="0.3">
      <c r="A16" s="82"/>
      <c r="B16" s="51" t="s">
        <v>25</v>
      </c>
      <c r="C16" s="51">
        <f>SUM($C12:C12)-C15</f>
        <v>-12959.150000000023</v>
      </c>
      <c r="D16" s="51">
        <f>SUM($C12:D12)-D15</f>
        <v>31619.969999999972</v>
      </c>
      <c r="E16" s="51">
        <f>SUM($C12:E12)-E15</f>
        <v>-2252.6400000001304</v>
      </c>
      <c r="F16" s="51">
        <f>SUM($C12:F12)-F15</f>
        <v>-45447.350000000093</v>
      </c>
      <c r="G16" s="51">
        <f>SUM($C12:G12)-G15</f>
        <v>-104708.44999999995</v>
      </c>
      <c r="H16" s="51">
        <f>SUM($C12:H12)-H15</f>
        <v>-164832.83999999985</v>
      </c>
      <c r="I16" s="51">
        <f>SUM($C12:I12)-I15</f>
        <v>-257888.69999999972</v>
      </c>
      <c r="J16" s="51">
        <f>SUM($C12:J12)-J15</f>
        <v>-343456.1799999997</v>
      </c>
      <c r="K16" s="51">
        <f>SUM($C12:K12)-K15</f>
        <v>-292564.15999999968</v>
      </c>
      <c r="L16" s="51">
        <f>SUM($C12:L12)-L15</f>
        <v>-221504.75999999978</v>
      </c>
      <c r="M16" s="51"/>
      <c r="N16" s="51"/>
      <c r="O16" s="61">
        <f t="shared" si="9"/>
        <v>-1413994.2599999988</v>
      </c>
    </row>
    <row r="17" spans="1:18" x14ac:dyDescent="0.3">
      <c r="A17" s="84"/>
      <c r="B17" s="4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</row>
    <row r="18" spans="1:18" x14ac:dyDescent="0.3">
      <c r="A18" s="85" t="s">
        <v>28</v>
      </c>
      <c r="B18" s="57" t="s">
        <v>16</v>
      </c>
      <c r="C18" s="14">
        <f>'5024-510 Individual Contractors'!C3</f>
        <v>15182.75</v>
      </c>
      <c r="D18" s="14">
        <f>'5024-510 Individual Contractors'!D3</f>
        <v>14877.45</v>
      </c>
      <c r="E18" s="14">
        <f>'5024-510 Individual Contractors'!E3</f>
        <v>15152.75</v>
      </c>
      <c r="F18" s="14">
        <f>'5024-510 Individual Contractors'!F3</f>
        <v>15467</v>
      </c>
      <c r="G18" s="14">
        <f>'5024-510 Individual Contractors'!G3</f>
        <v>16872.5</v>
      </c>
      <c r="H18" s="14">
        <f>'5024-510 Individual Contractors'!H3</f>
        <v>15506.5</v>
      </c>
      <c r="I18" s="14">
        <f>'5024-510 Individual Contractors'!I3</f>
        <v>22385.5</v>
      </c>
      <c r="J18" s="14">
        <f>'5024-510 Individual Contractors'!J3</f>
        <v>23444</v>
      </c>
      <c r="K18" s="14">
        <f>'5024-510 Individual Contractors'!K3</f>
        <v>22825</v>
      </c>
      <c r="L18" s="14">
        <f>'5024-510 Individual Contractors'!L3</f>
        <v>24565</v>
      </c>
      <c r="M18" s="14">
        <f>'5024-510 Individual Contractors'!M3</f>
        <v>24609</v>
      </c>
      <c r="N18" s="14">
        <f>'5024-510 Individual Contractors'!N3</f>
        <v>24363</v>
      </c>
      <c r="O18" s="15">
        <f>'5024-510 Individual Contractors'!O3</f>
        <v>235250.45</v>
      </c>
    </row>
    <row r="19" spans="1:18" x14ac:dyDescent="0.3">
      <c r="A19" s="63"/>
      <c r="B19" s="50" t="s">
        <v>29</v>
      </c>
      <c r="C19" s="16">
        <f>'5024-510 Individual Contractors'!C4</f>
        <v>25473</v>
      </c>
      <c r="D19" s="16">
        <f>'5024-510 Individual Contractors'!D4</f>
        <v>25473</v>
      </c>
      <c r="E19" s="16">
        <f>'5024-510 Individual Contractors'!E4</f>
        <v>25473</v>
      </c>
      <c r="F19" s="16">
        <f>'5024-510 Individual Contractors'!F4</f>
        <v>25473</v>
      </c>
      <c r="G19" s="16">
        <f>'5024-510 Individual Contractors'!G4</f>
        <v>25473</v>
      </c>
      <c r="H19" s="16">
        <f>'5024-510 Individual Contractors'!H4</f>
        <v>25473</v>
      </c>
      <c r="I19" s="16">
        <f>'5024-510 Individual Contractors'!I4</f>
        <v>25473</v>
      </c>
      <c r="J19" s="16">
        <f>'5024-510 Individual Contractors'!J4</f>
        <v>25473</v>
      </c>
      <c r="K19" s="16">
        <f>'5024-510 Individual Contractors'!K4</f>
        <v>25473</v>
      </c>
      <c r="L19" s="16">
        <f>'5024-510 Individual Contractors'!L4</f>
        <v>25473</v>
      </c>
      <c r="M19" s="16">
        <f>'5024-510 Individual Contractors'!M4</f>
        <v>25473</v>
      </c>
      <c r="N19" s="16">
        <f>'5024-510 Individual Contractors'!N4</f>
        <v>25473</v>
      </c>
      <c r="O19" s="17">
        <f>'5024-510 Individual Contractors'!O4</f>
        <v>305676</v>
      </c>
      <c r="Q19" s="33">
        <f>O19-O18</f>
        <v>70425.549999999988</v>
      </c>
      <c r="R19" t="s">
        <v>30</v>
      </c>
    </row>
    <row r="20" spans="1:18" x14ac:dyDescent="0.3">
      <c r="A20" s="63"/>
      <c r="B20" s="49" t="s">
        <v>31</v>
      </c>
      <c r="C20" s="16">
        <f>'5024-510 Individual Contractors'!C5</f>
        <v>23573</v>
      </c>
      <c r="D20" s="16">
        <f>'5024-510 Individual Contractors'!D5</f>
        <v>23573</v>
      </c>
      <c r="E20" s="16">
        <f>'5024-510 Individual Contractors'!E5</f>
        <v>23573</v>
      </c>
      <c r="F20" s="16">
        <f>'5024-510 Individual Contractors'!F5</f>
        <v>23573</v>
      </c>
      <c r="G20" s="16">
        <f>'5024-510 Individual Contractors'!G5</f>
        <v>23573</v>
      </c>
      <c r="H20" s="16">
        <f>'5024-510 Individual Contractors'!H5</f>
        <v>23573</v>
      </c>
      <c r="I20" s="16">
        <f>'5024-510 Individual Contractors'!I5</f>
        <v>23573</v>
      </c>
      <c r="J20" s="16">
        <f>'5024-510 Individual Contractors'!J5</f>
        <v>23573</v>
      </c>
      <c r="K20" s="16">
        <f>'5024-510 Individual Contractors'!K5</f>
        <v>23573</v>
      </c>
      <c r="L20" s="16">
        <f>'5024-510 Individual Contractors'!L5</f>
        <v>23573</v>
      </c>
      <c r="M20" s="16">
        <f>'5024-510 Individual Contractors'!M5</f>
        <v>23573</v>
      </c>
      <c r="N20" s="16">
        <f>'5024-510 Individual Contractors'!N5</f>
        <v>23573</v>
      </c>
      <c r="O20" s="17">
        <f>'5024-510 Individual Contractors'!O5</f>
        <v>282876</v>
      </c>
    </row>
    <row r="21" spans="1:18" x14ac:dyDescent="0.3">
      <c r="A21" s="63"/>
      <c r="B21" s="49" t="s">
        <v>32</v>
      </c>
      <c r="C21" s="16">
        <f>'5024-510 Individual Contractors'!C6</f>
        <v>25960.83</v>
      </c>
      <c r="D21" s="16">
        <f>'5024-510 Individual Contractors'!D6</f>
        <v>23257.83</v>
      </c>
      <c r="E21" s="16">
        <f>'5024-510 Individual Contractors'!E6</f>
        <v>26377</v>
      </c>
      <c r="F21" s="16">
        <f>'5024-510 Individual Contractors'!F6</f>
        <v>36213.01</v>
      </c>
      <c r="G21" s="16">
        <f>'5024-510 Individual Contractors'!G6</f>
        <v>66882.95</v>
      </c>
      <c r="H21" s="16">
        <f>'5024-510 Individual Contractors'!H6</f>
        <v>49229.950000000004</v>
      </c>
      <c r="I21" s="16">
        <f>'5024-510 Individual Contractors'!I6</f>
        <v>37253.5</v>
      </c>
      <c r="J21" s="16">
        <f>'5024-510 Individual Contractors'!J6</f>
        <v>19065</v>
      </c>
      <c r="K21" s="16">
        <f>'5024-510 Individual Contractors'!K6</f>
        <v>17310.5</v>
      </c>
      <c r="L21" s="16">
        <f>'5024-510 Individual Contractors'!L6</f>
        <v>17409</v>
      </c>
      <c r="M21" s="16">
        <f>'5024-510 Individual Contractors'!M6</f>
        <v>0</v>
      </c>
      <c r="N21" s="16">
        <f>'5024-510 Individual Contractors'!N6</f>
        <v>0</v>
      </c>
      <c r="O21" s="17">
        <f>'5024-510 Individual Contractors'!O6</f>
        <v>315566.74000000005</v>
      </c>
      <c r="Q21" s="33">
        <f>Q19+Q96</f>
        <v>49252.19999999999</v>
      </c>
      <c r="R21" t="s">
        <v>33</v>
      </c>
    </row>
    <row r="22" spans="1:18" ht="43.2" x14ac:dyDescent="0.3">
      <c r="A22" s="86" t="s">
        <v>34</v>
      </c>
      <c r="B22" s="49" t="s">
        <v>21</v>
      </c>
      <c r="C22" s="16">
        <f>'5024-510 Individual Contractors'!C7</f>
        <v>-2387.8300000000017</v>
      </c>
      <c r="D22" s="16">
        <f>'5024-510 Individual Contractors'!D7</f>
        <v>315.16999999999825</v>
      </c>
      <c r="E22" s="16">
        <f>'5024-510 Individual Contractors'!E7</f>
        <v>-2804</v>
      </c>
      <c r="F22" s="16">
        <f>'5024-510 Individual Contractors'!F7</f>
        <v>-12640.010000000002</v>
      </c>
      <c r="G22" s="16">
        <f>'5024-510 Individual Contractors'!G7</f>
        <v>-43309.95</v>
      </c>
      <c r="H22" s="16">
        <f>'5024-510 Individual Contractors'!H7</f>
        <v>-25656.950000000004</v>
      </c>
      <c r="I22" s="16">
        <f>'5024-510 Individual Contractors'!I7</f>
        <v>-13680.5</v>
      </c>
      <c r="J22" s="16">
        <f>'5024-510 Individual Contractors'!J7</f>
        <v>4508</v>
      </c>
      <c r="K22" s="16">
        <f>'5024-510 Individual Contractors'!K7</f>
        <v>6262.5</v>
      </c>
      <c r="L22" s="16">
        <f>'5024-510 Individual Contractors'!L7</f>
        <v>6164</v>
      </c>
      <c r="M22" s="16">
        <f>'5024-510 Individual Contractors'!M7</f>
        <v>23573</v>
      </c>
      <c r="N22" s="16">
        <f>'5024-510 Individual Contractors'!N7</f>
        <v>23573</v>
      </c>
      <c r="O22" s="17">
        <f>'5024-510 Individual Contractors'!O7</f>
        <v>-32690.740000000049</v>
      </c>
      <c r="R22" t="s">
        <v>35</v>
      </c>
    </row>
    <row r="23" spans="1:18" x14ac:dyDescent="0.3">
      <c r="A23" s="86"/>
      <c r="B23" s="50" t="s">
        <v>23</v>
      </c>
      <c r="C23" s="16">
        <f>'5024-510 Individual Contractors'!C8</f>
        <v>25960.83</v>
      </c>
      <c r="D23" s="16">
        <f>'5024-510 Individual Contractors'!D8</f>
        <v>49218.66</v>
      </c>
      <c r="E23" s="16">
        <f>'5024-510 Individual Contractors'!E8</f>
        <v>75595.66</v>
      </c>
      <c r="F23" s="16">
        <f>'5024-510 Individual Contractors'!F8</f>
        <v>111808.67000000001</v>
      </c>
      <c r="G23" s="16">
        <f>'5024-510 Individual Contractors'!G8</f>
        <v>178691.62</v>
      </c>
      <c r="H23" s="16">
        <f>'5024-510 Individual Contractors'!H8</f>
        <v>227921.57</v>
      </c>
      <c r="I23" s="16">
        <f>'5024-510 Individual Contractors'!I8</f>
        <v>265175.07</v>
      </c>
      <c r="J23" s="16">
        <f>'5024-510 Individual Contractors'!J8</f>
        <v>284240.07</v>
      </c>
      <c r="K23" s="16">
        <f>'5024-510 Individual Contractors'!K8</f>
        <v>301550.57</v>
      </c>
      <c r="L23" s="16">
        <f>'5024-510 Individual Contractors'!L8</f>
        <v>318959.57</v>
      </c>
      <c r="M23" s="16">
        <f>'5024-510 Individual Contractors'!M8</f>
        <v>318959.57</v>
      </c>
      <c r="N23" s="16">
        <f>'5024-510 Individual Contractors'!N8</f>
        <v>318959.57</v>
      </c>
      <c r="O23" s="17">
        <f>'5024-510 Individual Contractors'!O8</f>
        <v>315566.74000000005</v>
      </c>
    </row>
    <row r="24" spans="1:18" x14ac:dyDescent="0.3">
      <c r="A24" s="87"/>
      <c r="B24" s="51" t="s">
        <v>25</v>
      </c>
      <c r="C24" s="26">
        <f>'5024-510 Individual Contractors'!C9</f>
        <v>-2387.8300000000017</v>
      </c>
      <c r="D24" s="26">
        <f>'5024-510 Individual Contractors'!D9</f>
        <v>-2072.6600000000035</v>
      </c>
      <c r="E24" s="26">
        <f>'5024-510 Individual Contractors'!E9</f>
        <v>-4876.6600000000035</v>
      </c>
      <c r="F24" s="26">
        <f>'5024-510 Individual Contractors'!F9</f>
        <v>-17516.670000000013</v>
      </c>
      <c r="G24" s="26">
        <f>'5024-510 Individual Contractors'!G9</f>
        <v>-60826.619999999995</v>
      </c>
      <c r="H24" s="26">
        <f>'5024-510 Individual Contractors'!H9</f>
        <v>-86483.57</v>
      </c>
      <c r="I24" s="26">
        <f>'5024-510 Individual Contractors'!I9</f>
        <v>-100164.07</v>
      </c>
      <c r="J24" s="26">
        <f>'5024-510 Individual Contractors'!J9</f>
        <v>-95656.07</v>
      </c>
      <c r="K24" s="26">
        <f>'5024-510 Individual Contractors'!K9</f>
        <v>-89393.57</v>
      </c>
      <c r="L24" s="26">
        <f>'5024-510 Individual Contractors'!L9</f>
        <v>-83229.570000000007</v>
      </c>
      <c r="M24" s="26">
        <f>'5024-510 Individual Contractors'!M9</f>
        <v>-59656.570000000007</v>
      </c>
      <c r="N24" s="26">
        <f>'5024-510 Individual Contractors'!N9</f>
        <v>-36083.570000000007</v>
      </c>
      <c r="O24" s="24">
        <f>'5024-510 Individual Contractors'!O9</f>
        <v>0</v>
      </c>
    </row>
    <row r="25" spans="1:18" x14ac:dyDescent="0.3">
      <c r="A25" s="88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1:18" x14ac:dyDescent="0.3">
      <c r="A26" s="2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21"/>
    </row>
    <row r="27" spans="1:18" x14ac:dyDescent="0.3">
      <c r="A27" s="85" t="s">
        <v>36</v>
      </c>
      <c r="B27" s="57" t="s">
        <v>16</v>
      </c>
      <c r="C27" s="14">
        <f>'5100-510 Performance based'!C3</f>
        <v>143539.30000000002</v>
      </c>
      <c r="D27" s="14">
        <f>'5100-510 Performance based'!D3</f>
        <v>147248.12999999998</v>
      </c>
      <c r="E27" s="14">
        <f>'5100-510 Performance based'!E3</f>
        <v>185140.96999999997</v>
      </c>
      <c r="F27" s="14">
        <f>'5100-510 Performance based'!F3</f>
        <v>169233.26</v>
      </c>
      <c r="G27" s="14">
        <f>'5100-510 Performance based'!G3</f>
        <v>176262.05999999997</v>
      </c>
      <c r="H27" s="14">
        <f>'5100-510 Performance based'!H3</f>
        <v>149970.94</v>
      </c>
      <c r="I27" s="14">
        <f>'5100-510 Performance based'!I3</f>
        <v>177140.26000000004</v>
      </c>
      <c r="J27" s="14">
        <f>'5100-510 Performance based'!J3</f>
        <v>155860.75</v>
      </c>
      <c r="K27" s="14">
        <f>'5100-510 Performance based'!K3</f>
        <v>160101.50999999998</v>
      </c>
      <c r="L27" s="14">
        <f>'5100-510 Performance based'!L3</f>
        <v>181197.25</v>
      </c>
      <c r="M27" s="14">
        <f>'5100-510 Performance based'!M3</f>
        <v>187060.81</v>
      </c>
      <c r="N27" s="14">
        <f>'5100-510 Performance based'!N3</f>
        <v>143695.43</v>
      </c>
      <c r="O27" s="15">
        <f>'5100-510 Performance based'!O3</f>
        <v>1976450.67</v>
      </c>
    </row>
    <row r="28" spans="1:18" x14ac:dyDescent="0.3">
      <c r="A28" s="63"/>
      <c r="B28" s="50" t="s">
        <v>29</v>
      </c>
      <c r="C28" s="16">
        <f>'5100-510 Performance based'!C4</f>
        <v>146953</v>
      </c>
      <c r="D28" s="16">
        <f>'5100-510 Performance based'!D4</f>
        <v>180607.9</v>
      </c>
      <c r="E28" s="16">
        <f>'5100-510 Performance based'!E4</f>
        <v>187009.76</v>
      </c>
      <c r="F28" s="16">
        <f>'5100-510 Performance based'!F4</f>
        <v>174751.99</v>
      </c>
      <c r="G28" s="16">
        <f>'5100-510 Performance based'!G4</f>
        <v>176957.38</v>
      </c>
      <c r="H28" s="16">
        <f>'5100-510 Performance based'!H4</f>
        <v>173636.33000000002</v>
      </c>
      <c r="I28" s="16">
        <f>'5100-510 Performance based'!I4</f>
        <v>175447.32</v>
      </c>
      <c r="J28" s="16">
        <f>'5100-510 Performance based'!J4</f>
        <v>166596.13</v>
      </c>
      <c r="K28" s="16">
        <f>'5100-510 Performance based'!K4</f>
        <v>170767.23</v>
      </c>
      <c r="L28" s="16">
        <f>'5100-510 Performance based'!L4</f>
        <v>163163.68</v>
      </c>
      <c r="M28" s="16">
        <f>'5100-510 Performance based'!M4</f>
        <v>162832</v>
      </c>
      <c r="N28" s="16">
        <f>'5100-510 Performance based'!N4</f>
        <v>163688</v>
      </c>
      <c r="O28" s="17">
        <f>'5100-510 Performance based'!O4</f>
        <v>2042410.72</v>
      </c>
      <c r="Q28" s="33">
        <f>O28-O27</f>
        <v>65960.050000000047</v>
      </c>
    </row>
    <row r="29" spans="1:18" x14ac:dyDescent="0.3">
      <c r="A29" s="63"/>
      <c r="B29" s="49" t="s">
        <v>31</v>
      </c>
      <c r="C29" s="16">
        <f>'5100-510 Performance based'!C5</f>
        <v>154148.07999999999</v>
      </c>
      <c r="D29" s="16">
        <f>'5100-510 Performance based'!D5</f>
        <v>189450.78</v>
      </c>
      <c r="E29" s="16">
        <f>'5100-510 Performance based'!E5</f>
        <v>196166.08</v>
      </c>
      <c r="F29" s="16">
        <f>'5100-510 Performance based'!F5</f>
        <v>183308.15</v>
      </c>
      <c r="G29" s="16">
        <f>'5100-510 Performance based'!G5</f>
        <v>185621.52</v>
      </c>
      <c r="H29" s="16">
        <f>'5100-510 Performance based'!H5</f>
        <v>182137.87</v>
      </c>
      <c r="I29" s="16">
        <f>'5100-510 Performance based'!I5</f>
        <v>184037.53</v>
      </c>
      <c r="J29" s="16">
        <f>'5100-510 Performance based'!J5</f>
        <v>174752.97</v>
      </c>
      <c r="K29" s="16">
        <f>'5100-510 Performance based'!K5</f>
        <v>179128.29</v>
      </c>
      <c r="L29" s="16">
        <f>'5100-510 Performance based'!L5</f>
        <v>171152.46</v>
      </c>
      <c r="M29" s="16">
        <f>'5100-510 Performance based'!M5</f>
        <v>170804.54</v>
      </c>
      <c r="N29" s="16">
        <f>'5100-510 Performance based'!N5</f>
        <v>171702.45</v>
      </c>
      <c r="O29" s="17">
        <f>'5100-510 Performance based'!O5</f>
        <v>2142410.7200000002</v>
      </c>
    </row>
    <row r="30" spans="1:18" x14ac:dyDescent="0.3">
      <c r="A30" s="63"/>
      <c r="B30" s="49" t="s">
        <v>32</v>
      </c>
      <c r="C30" s="16">
        <f>'5100-510 Performance based'!C6</f>
        <v>167533.56000000003</v>
      </c>
      <c r="D30" s="16">
        <f>'5100-510 Performance based'!D6</f>
        <v>177155.24000000002</v>
      </c>
      <c r="E30" s="16">
        <f>'5100-510 Performance based'!E6</f>
        <v>194641.19999999998</v>
      </c>
      <c r="F30" s="16">
        <f>'5100-510 Performance based'!F6</f>
        <v>189109.50000000006</v>
      </c>
      <c r="G30" s="16">
        <f>'5100-510 Performance based'!G6</f>
        <v>186083.65999999997</v>
      </c>
      <c r="H30" s="16">
        <f>'5100-510 Performance based'!H6</f>
        <v>186467.29</v>
      </c>
      <c r="I30" s="16">
        <f>'5100-510 Performance based'!I6</f>
        <v>218352.1</v>
      </c>
      <c r="J30" s="16">
        <f>'5100-510 Performance based'!J6</f>
        <v>206940.24000000002</v>
      </c>
      <c r="K30" s="16">
        <f>'5100-510 Performance based'!K6</f>
        <v>160392.99999999997</v>
      </c>
      <c r="L30" s="16">
        <f>'5100-510 Performance based'!L6</f>
        <v>141438.72</v>
      </c>
      <c r="M30" s="16">
        <f>'5100-510 Performance based'!M6</f>
        <v>0</v>
      </c>
      <c r="N30" s="16">
        <f>'5100-510 Performance based'!N6</f>
        <v>0</v>
      </c>
      <c r="O30" s="17">
        <f>'5100-510 Performance based'!O6</f>
        <v>1828114.51</v>
      </c>
    </row>
    <row r="31" spans="1:18" ht="28.8" x14ac:dyDescent="0.3">
      <c r="A31" s="86" t="s">
        <v>37</v>
      </c>
      <c r="B31" s="49" t="s">
        <v>21</v>
      </c>
      <c r="C31" s="16">
        <f>'5100-510 Performance based'!C7</f>
        <v>-13385.48000000004</v>
      </c>
      <c r="D31" s="16">
        <f>'5100-510 Performance based'!D7</f>
        <v>12295.539999999979</v>
      </c>
      <c r="E31" s="16">
        <f>'5100-510 Performance based'!E7</f>
        <v>1524.8800000000047</v>
      </c>
      <c r="F31" s="16">
        <f>'5100-510 Performance based'!F7</f>
        <v>-5801.350000000064</v>
      </c>
      <c r="G31" s="16">
        <f>'5100-510 Performance based'!G7</f>
        <v>-462.13999999998487</v>
      </c>
      <c r="H31" s="16">
        <f>'5100-510 Performance based'!H7</f>
        <v>-4329.4200000000128</v>
      </c>
      <c r="I31" s="16">
        <f>'5100-510 Performance based'!I7</f>
        <v>-34314.570000000007</v>
      </c>
      <c r="J31" s="16">
        <f>'5100-510 Performance based'!J7</f>
        <v>-32187.270000000019</v>
      </c>
      <c r="K31" s="16">
        <f>'5100-510 Performance based'!K7</f>
        <v>18735.290000000037</v>
      </c>
      <c r="L31" s="16">
        <f>'5100-510 Performance based'!L7</f>
        <v>29713.739999999991</v>
      </c>
      <c r="M31" s="16">
        <f>'5100-510 Performance based'!M7</f>
        <v>170804.54</v>
      </c>
      <c r="N31" s="16">
        <f>'5100-510 Performance based'!N7</f>
        <v>171702.45</v>
      </c>
      <c r="O31" s="17">
        <f>'5100-510 Performance based'!O7</f>
        <v>314296.2100000002</v>
      </c>
    </row>
    <row r="32" spans="1:18" x14ac:dyDescent="0.3">
      <c r="A32" s="89"/>
      <c r="B32" s="50" t="s">
        <v>23</v>
      </c>
      <c r="C32" s="16">
        <f>'5100-510 Performance based'!C8</f>
        <v>167533.56000000003</v>
      </c>
      <c r="D32" s="16">
        <f>'5100-510 Performance based'!D8</f>
        <v>344688.80000000005</v>
      </c>
      <c r="E32" s="16">
        <f>'5100-510 Performance based'!E8</f>
        <v>539330</v>
      </c>
      <c r="F32" s="16">
        <f>'5100-510 Performance based'!F8</f>
        <v>728439.5</v>
      </c>
      <c r="G32" s="16">
        <f>'5100-510 Performance based'!G8</f>
        <v>914523.15999999992</v>
      </c>
      <c r="H32" s="16">
        <f>'5100-510 Performance based'!H8</f>
        <v>1100990.45</v>
      </c>
      <c r="I32" s="16">
        <f>'5100-510 Performance based'!I8</f>
        <v>1319342.55</v>
      </c>
      <c r="J32" s="16">
        <f>'5100-510 Performance based'!J8</f>
        <v>1526282.79</v>
      </c>
      <c r="K32" s="16">
        <f>'5100-510 Performance based'!K8</f>
        <v>1686675.79</v>
      </c>
      <c r="L32" s="16">
        <f>'5100-510 Performance based'!L8</f>
        <v>1828114.51</v>
      </c>
      <c r="M32" s="16">
        <f>'5100-510 Performance based'!M8</f>
        <v>1828114.51</v>
      </c>
      <c r="N32" s="16">
        <f>'5100-510 Performance based'!N8</f>
        <v>1828114.51</v>
      </c>
      <c r="O32" s="17">
        <f>'5100-510 Performance based'!O8</f>
        <v>1828114.51</v>
      </c>
    </row>
    <row r="33" spans="1:18" x14ac:dyDescent="0.3">
      <c r="A33" s="90"/>
      <c r="B33" s="51" t="s">
        <v>25</v>
      </c>
      <c r="C33" s="26">
        <f>'5100-510 Performance based'!C9</f>
        <v>-13385.48000000004</v>
      </c>
      <c r="D33" s="26">
        <f>'5100-510 Performance based'!D9</f>
        <v>-1089.9400000000605</v>
      </c>
      <c r="E33" s="26">
        <f>'5100-510 Performance based'!E9</f>
        <v>434.93999999994412</v>
      </c>
      <c r="F33" s="26">
        <f>'5100-510 Performance based'!F9</f>
        <v>-5366.4100000000326</v>
      </c>
      <c r="G33" s="26">
        <f>'5100-510 Performance based'!G9</f>
        <v>-5828.5499999999302</v>
      </c>
      <c r="H33" s="26">
        <f>'5100-510 Performance based'!H9</f>
        <v>-10157.969999999972</v>
      </c>
      <c r="I33" s="26">
        <f>'5100-510 Performance based'!I9</f>
        <v>-44472.540000000037</v>
      </c>
      <c r="J33" s="26">
        <f>'5100-510 Performance based'!J9</f>
        <v>-76659.810000000056</v>
      </c>
      <c r="K33" s="26">
        <f>'5100-510 Performance based'!K9</f>
        <v>-57924.520000000019</v>
      </c>
      <c r="L33" s="26">
        <f>'5100-510 Performance based'!L9</f>
        <v>-28210.780000000028</v>
      </c>
      <c r="M33" s="26">
        <f>'5100-510 Performance based'!M9</f>
        <v>142593.76</v>
      </c>
      <c r="N33" s="26">
        <f>'5100-510 Performance based'!N9</f>
        <v>314296.2100000002</v>
      </c>
      <c r="O33" s="24">
        <f>'5100-510 Performance based'!O9</f>
        <v>0</v>
      </c>
    </row>
    <row r="34" spans="1:18" x14ac:dyDescent="0.3">
      <c r="A34" s="20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8" x14ac:dyDescent="0.3">
      <c r="A35" s="84"/>
      <c r="B35" s="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1:18" x14ac:dyDescent="0.3">
      <c r="A36" s="91" t="s">
        <v>38</v>
      </c>
      <c r="B36" s="57" t="s">
        <v>16</v>
      </c>
      <c r="C36" s="14">
        <f>'5101-510 Non performance based'!C3</f>
        <v>54961.34</v>
      </c>
      <c r="D36" s="14">
        <f>'5101-510 Non performance based'!D3</f>
        <v>52303.61</v>
      </c>
      <c r="E36" s="14">
        <f>'5101-510 Non performance based'!E3</f>
        <v>53970.61</v>
      </c>
      <c r="F36" s="14">
        <f>'5101-510 Non performance based'!F3</f>
        <v>62526.2</v>
      </c>
      <c r="G36" s="14">
        <f>'5101-510 Non performance based'!G3</f>
        <v>50448.93</v>
      </c>
      <c r="H36" s="14">
        <f>'5101-510 Non performance based'!H3</f>
        <v>33734.71</v>
      </c>
      <c r="I36" s="14">
        <f>'5101-510 Non performance based'!I3</f>
        <v>36157.39</v>
      </c>
      <c r="J36" s="14">
        <f>'5101-510 Non performance based'!J3</f>
        <v>43318.85</v>
      </c>
      <c r="K36" s="14">
        <f>'5101-510 Non performance based'!K3</f>
        <v>48044.149999999994</v>
      </c>
      <c r="L36" s="14">
        <f>'5101-510 Non performance based'!L3</f>
        <v>43316.749999999993</v>
      </c>
      <c r="M36" s="14">
        <f>'5101-510 Non performance based'!M3</f>
        <v>34350.509999999995</v>
      </c>
      <c r="N36" s="14">
        <f>'5101-510 Non performance based'!N3</f>
        <v>66324.239999999991</v>
      </c>
      <c r="O36" s="15">
        <f>'5101-510 Non performance based'!O3</f>
        <v>579457.29</v>
      </c>
    </row>
    <row r="37" spans="1:18" x14ac:dyDescent="0.3">
      <c r="A37" s="63"/>
      <c r="B37" s="50" t="s">
        <v>29</v>
      </c>
      <c r="C37" s="16">
        <f>'5101-510 Non performance based'!C4</f>
        <v>73939</v>
      </c>
      <c r="D37" s="16">
        <f>'5101-510 Non performance based'!D4</f>
        <v>58654</v>
      </c>
      <c r="E37" s="16">
        <f>'5101-510 Non performance based'!E4</f>
        <v>50860</v>
      </c>
      <c r="F37" s="16">
        <f>'5101-510 Non performance based'!F4</f>
        <v>64316</v>
      </c>
      <c r="G37" s="16">
        <f>'5101-510 Non performance based'!G4</f>
        <v>47360</v>
      </c>
      <c r="H37" s="16">
        <f>'5101-510 Non performance based'!H4</f>
        <v>42133</v>
      </c>
      <c r="I37" s="16">
        <f>'5101-510 Non performance based'!I4</f>
        <v>29860</v>
      </c>
      <c r="J37" s="16">
        <f>'5101-510 Non performance based'!J4</f>
        <v>43399</v>
      </c>
      <c r="K37" s="16">
        <f>'5101-510 Non performance based'!K4</f>
        <v>55360</v>
      </c>
      <c r="L37" s="16">
        <f>'5101-510 Non performance based'!L4</f>
        <v>45149</v>
      </c>
      <c r="M37" s="16">
        <f>'5101-510 Non performance based'!M4</f>
        <v>35760</v>
      </c>
      <c r="N37" s="16">
        <f>'5101-510 Non performance based'!N4</f>
        <v>58775</v>
      </c>
      <c r="O37" s="17">
        <f>'5101-510 Non performance based'!O4</f>
        <v>605565</v>
      </c>
      <c r="Q37" s="33">
        <f>O37-O36</f>
        <v>26107.709999999963</v>
      </c>
      <c r="R37" t="s">
        <v>39</v>
      </c>
    </row>
    <row r="38" spans="1:18" x14ac:dyDescent="0.3">
      <c r="A38" s="63"/>
      <c r="B38" s="49" t="s">
        <v>31</v>
      </c>
      <c r="C38" s="16">
        <f>'5101-510 Non performance based'!C5</f>
        <v>75939</v>
      </c>
      <c r="D38" s="16">
        <f>'5101-510 Non performance based'!D5</f>
        <v>58654</v>
      </c>
      <c r="E38" s="16">
        <f>'5101-510 Non performance based'!E5</f>
        <v>50860</v>
      </c>
      <c r="F38" s="16">
        <f>'5101-510 Non performance based'!F5</f>
        <v>66316</v>
      </c>
      <c r="G38" s="16">
        <f>'5101-510 Non performance based'!G5</f>
        <v>47360</v>
      </c>
      <c r="H38" s="16">
        <f>'5101-510 Non performance based'!H5</f>
        <v>42133</v>
      </c>
      <c r="I38" s="16">
        <f>'5101-510 Non performance based'!I5</f>
        <v>31860</v>
      </c>
      <c r="J38" s="16">
        <f>'5101-510 Non performance based'!J5</f>
        <v>43399</v>
      </c>
      <c r="K38" s="16">
        <f>'5101-510 Non performance based'!K5</f>
        <v>55360</v>
      </c>
      <c r="L38" s="16">
        <f>'5101-510 Non performance based'!L5</f>
        <v>47149</v>
      </c>
      <c r="M38" s="16">
        <f>'5101-510 Non performance based'!M5</f>
        <v>35760</v>
      </c>
      <c r="N38" s="16">
        <f>'5101-510 Non performance based'!N5</f>
        <v>58775</v>
      </c>
      <c r="O38" s="17">
        <f>'5101-510 Non performance based'!O5</f>
        <v>613565</v>
      </c>
    </row>
    <row r="39" spans="1:18" x14ac:dyDescent="0.3">
      <c r="A39" s="63"/>
      <c r="B39" s="49" t="s">
        <v>32</v>
      </c>
      <c r="C39" s="16">
        <f>'5101-510 Non performance based'!C6</f>
        <v>48578.52</v>
      </c>
      <c r="D39" s="16">
        <f>'5101-510 Non performance based'!D6</f>
        <v>47324.93</v>
      </c>
      <c r="E39" s="16">
        <f>'5101-510 Non performance based'!E6</f>
        <v>43482.71</v>
      </c>
      <c r="F39" s="16">
        <f>'5101-510 Non performance based'!F6</f>
        <v>73020.92</v>
      </c>
      <c r="G39" s="16">
        <f>'5101-510 Non performance based'!G6</f>
        <v>35157.549999999996</v>
      </c>
      <c r="H39" s="16">
        <f>'5101-510 Non performance based'!H6</f>
        <v>57157.04</v>
      </c>
      <c r="I39" s="16">
        <f>'5101-510 Non performance based'!I6</f>
        <v>37818.82</v>
      </c>
      <c r="J39" s="16">
        <f>'5101-510 Non performance based'!J6</f>
        <v>50222.33</v>
      </c>
      <c r="K39" s="16">
        <f>'5101-510 Non performance based'!K6</f>
        <v>47988.46</v>
      </c>
      <c r="L39" s="16">
        <f>'5101-510 Non performance based'!L6</f>
        <v>51220.909999999996</v>
      </c>
      <c r="M39" s="16">
        <f>'5101-510 Non performance based'!M6</f>
        <v>0</v>
      </c>
      <c r="N39" s="16">
        <f>'5101-510 Non performance based'!N6</f>
        <v>0</v>
      </c>
      <c r="O39" s="17">
        <f>'5101-510 Non performance based'!O6</f>
        <v>491972.18999999989</v>
      </c>
    </row>
    <row r="40" spans="1:18" x14ac:dyDescent="0.3">
      <c r="A40" s="86" t="s">
        <v>40</v>
      </c>
      <c r="B40" s="49" t="s">
        <v>21</v>
      </c>
      <c r="C40" s="16">
        <f>'5101-510 Non performance based'!C7</f>
        <v>27360.480000000003</v>
      </c>
      <c r="D40" s="16">
        <f>'5101-510 Non performance based'!D7</f>
        <v>11329.07</v>
      </c>
      <c r="E40" s="16">
        <f>'5101-510 Non performance based'!E7</f>
        <v>7377.2900000000009</v>
      </c>
      <c r="F40" s="16">
        <f>'5101-510 Non performance based'!F7</f>
        <v>-6704.9199999999983</v>
      </c>
      <c r="G40" s="16">
        <f>'5101-510 Non performance based'!G7</f>
        <v>12202.450000000004</v>
      </c>
      <c r="H40" s="16">
        <f>'5101-510 Non performance based'!H7</f>
        <v>-15024.04</v>
      </c>
      <c r="I40" s="16">
        <f>'5101-510 Non performance based'!I7</f>
        <v>-5958.82</v>
      </c>
      <c r="J40" s="16">
        <f>'5101-510 Non performance based'!J7</f>
        <v>-6823.3300000000017</v>
      </c>
      <c r="K40" s="16">
        <f>'5101-510 Non performance based'!K7</f>
        <v>7371.5400000000009</v>
      </c>
      <c r="L40" s="16">
        <f>'5101-510 Non performance based'!L7</f>
        <v>-4071.9099999999962</v>
      </c>
      <c r="M40" s="16">
        <f>'5101-510 Non performance based'!M7</f>
        <v>35760</v>
      </c>
      <c r="N40" s="16">
        <f>'5101-510 Non performance based'!N7</f>
        <v>58775</v>
      </c>
      <c r="O40" s="17">
        <f>'5101-510 Non performance based'!O7</f>
        <v>121592.81000000011</v>
      </c>
    </row>
    <row r="41" spans="1:18" x14ac:dyDescent="0.3">
      <c r="A41" s="86"/>
      <c r="B41" s="50" t="s">
        <v>23</v>
      </c>
      <c r="C41" s="16">
        <f>'5101-510 Non performance based'!C8</f>
        <v>48578.52</v>
      </c>
      <c r="D41" s="16">
        <f>'5101-510 Non performance based'!D8</f>
        <v>95903.45</v>
      </c>
      <c r="E41" s="16">
        <f>'5101-510 Non performance based'!E8</f>
        <v>139386.16</v>
      </c>
      <c r="F41" s="16">
        <f>'5101-510 Non performance based'!F8</f>
        <v>212407.08000000002</v>
      </c>
      <c r="G41" s="16">
        <f>'5101-510 Non performance based'!G8</f>
        <v>247564.63</v>
      </c>
      <c r="H41" s="16">
        <f>'5101-510 Non performance based'!H8</f>
        <v>304721.67</v>
      </c>
      <c r="I41" s="16">
        <f>'5101-510 Non performance based'!I8</f>
        <v>342540.49</v>
      </c>
      <c r="J41" s="16">
        <f>'5101-510 Non performance based'!J8</f>
        <v>392762.82</v>
      </c>
      <c r="K41" s="16">
        <f>'5101-510 Non performance based'!K8</f>
        <v>440751.28</v>
      </c>
      <c r="L41" s="16">
        <f>'5101-510 Non performance based'!L8</f>
        <v>491972.19</v>
      </c>
      <c r="M41" s="16">
        <f>'5101-510 Non performance based'!M8</f>
        <v>491972.19</v>
      </c>
      <c r="N41" s="16">
        <f>'5101-510 Non performance based'!N8</f>
        <v>491972.19</v>
      </c>
      <c r="O41" s="17">
        <f>'5101-510 Non performance based'!O8</f>
        <v>491972.18999999989</v>
      </c>
    </row>
    <row r="42" spans="1:18" x14ac:dyDescent="0.3">
      <c r="A42" s="87"/>
      <c r="B42" s="51" t="s">
        <v>25</v>
      </c>
      <c r="C42" s="26">
        <f>'5101-510 Non performance based'!C9</f>
        <v>27360.480000000003</v>
      </c>
      <c r="D42" s="26">
        <f>'5101-510 Non performance based'!D9</f>
        <v>38689.550000000003</v>
      </c>
      <c r="E42" s="26">
        <f>'5101-510 Non performance based'!E9</f>
        <v>46066.84</v>
      </c>
      <c r="F42" s="26">
        <f>'5101-510 Non performance based'!F9</f>
        <v>39361.919999999984</v>
      </c>
      <c r="G42" s="26">
        <f>'5101-510 Non performance based'!G9</f>
        <v>51564.369999999995</v>
      </c>
      <c r="H42" s="26">
        <f>'5101-510 Non performance based'!H9</f>
        <v>36540.330000000016</v>
      </c>
      <c r="I42" s="26">
        <f>'5101-510 Non performance based'!I9</f>
        <v>30581.510000000009</v>
      </c>
      <c r="J42" s="26">
        <f>'5101-510 Non performance based'!J9</f>
        <v>23758.179999999993</v>
      </c>
      <c r="K42" s="26">
        <f>'5101-510 Non performance based'!K9</f>
        <v>31129.719999999972</v>
      </c>
      <c r="L42" s="26">
        <f>'5101-510 Non performance based'!L9</f>
        <v>27057.809999999998</v>
      </c>
      <c r="M42" s="26">
        <f>'5101-510 Non performance based'!M9</f>
        <v>62817.81</v>
      </c>
      <c r="N42" s="26">
        <f>'5101-510 Non performance based'!N9</f>
        <v>121592.81</v>
      </c>
      <c r="O42" s="24">
        <f>'5101-510 Non performance based'!O9</f>
        <v>0</v>
      </c>
    </row>
    <row r="43" spans="1:18" x14ac:dyDescent="0.3">
      <c r="A43" s="84"/>
      <c r="B43" s="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1:18" x14ac:dyDescent="0.3">
      <c r="A44" s="20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8" x14ac:dyDescent="0.3">
      <c r="A45" s="85" t="s">
        <v>41</v>
      </c>
      <c r="B45" s="57" t="s">
        <v>16</v>
      </c>
      <c r="C45" s="14">
        <f>'5102-510 Advertising Agency Fee'!C3</f>
        <v>30663.22</v>
      </c>
      <c r="D45" s="14">
        <f>'5102-510 Advertising Agency Fee'!D3</f>
        <v>34061.61</v>
      </c>
      <c r="E45" s="14">
        <f>'5102-510 Advertising Agency Fee'!E3</f>
        <v>48123.82</v>
      </c>
      <c r="F45" s="14">
        <f>'5102-510 Advertising Agency Fee'!F3</f>
        <v>35442.910000000003</v>
      </c>
      <c r="G45" s="14">
        <f>'5102-510 Advertising Agency Fee'!G3</f>
        <v>57806.73</v>
      </c>
      <c r="H45" s="14">
        <f>'5102-510 Advertising Agency Fee'!H3</f>
        <v>42091.03</v>
      </c>
      <c r="I45" s="14">
        <f>'5102-510 Advertising Agency Fee'!I3</f>
        <v>39212.950000000004</v>
      </c>
      <c r="J45" s="14">
        <f>'5102-510 Advertising Agency Fee'!J3</f>
        <v>38385.770000000004</v>
      </c>
      <c r="K45" s="14">
        <f>'5102-510 Advertising Agency Fee'!K3</f>
        <v>38132.100000000006</v>
      </c>
      <c r="L45" s="14">
        <f>'5102-510 Advertising Agency Fee'!L3</f>
        <v>41412.85</v>
      </c>
      <c r="M45" s="14">
        <f>'5102-510 Advertising Agency Fee'!M3</f>
        <v>40440.990000000005</v>
      </c>
      <c r="N45" s="14">
        <f>'5102-510 Advertising Agency Fee'!N3</f>
        <v>43343.27</v>
      </c>
      <c r="O45" s="15">
        <f>'5102-510 Advertising Agency Fee'!O3</f>
        <v>489117.24999999994</v>
      </c>
    </row>
    <row r="46" spans="1:18" x14ac:dyDescent="0.3">
      <c r="A46" s="63"/>
      <c r="B46" s="50" t="s">
        <v>29</v>
      </c>
      <c r="C46" s="16">
        <f>'5102-510 Advertising Agency Fee'!C4</f>
        <v>67567</v>
      </c>
      <c r="D46" s="16">
        <f>'5102-510 Advertising Agency Fee'!D4</f>
        <v>97522</v>
      </c>
      <c r="E46" s="16">
        <f>'5102-510 Advertising Agency Fee'!E4</f>
        <v>58826</v>
      </c>
      <c r="F46" s="16">
        <f>'5102-510 Advertising Agency Fee'!F4</f>
        <v>51522</v>
      </c>
      <c r="G46" s="16">
        <f>'5102-510 Advertising Agency Fee'!G4</f>
        <v>65022</v>
      </c>
      <c r="H46" s="16">
        <f>'5102-510 Advertising Agency Fee'!H4</f>
        <v>49022</v>
      </c>
      <c r="I46" s="16">
        <f>'5102-510 Advertising Agency Fee'!I4</f>
        <v>47085</v>
      </c>
      <c r="J46" s="16">
        <f>'5102-510 Advertising Agency Fee'!J4</f>
        <v>47022</v>
      </c>
      <c r="K46" s="16">
        <f>'5102-510 Advertising Agency Fee'!K4</f>
        <v>47522</v>
      </c>
      <c r="L46" s="16">
        <f>'5102-510 Advertising Agency Fee'!L4</f>
        <v>56022</v>
      </c>
      <c r="M46" s="16">
        <f>'5102-510 Advertising Agency Fee'!M4</f>
        <v>57522</v>
      </c>
      <c r="N46" s="16">
        <f>'5102-510 Advertising Agency Fee'!N4</f>
        <v>52522</v>
      </c>
      <c r="O46" s="17">
        <f>'5102-510 Advertising Agency Fee'!O4</f>
        <v>697176</v>
      </c>
      <c r="Q46" s="33">
        <f>O46-O45</f>
        <v>208058.75000000006</v>
      </c>
      <c r="R46" t="s">
        <v>42</v>
      </c>
    </row>
    <row r="47" spans="1:18" x14ac:dyDescent="0.3">
      <c r="A47" s="63"/>
      <c r="B47" s="49" t="s">
        <v>31</v>
      </c>
      <c r="C47" s="16">
        <f>'5102-510 Advertising Agency Fee'!C5</f>
        <v>67567</v>
      </c>
      <c r="D47" s="16">
        <f>'5102-510 Advertising Agency Fee'!D5</f>
        <v>97522</v>
      </c>
      <c r="E47" s="16">
        <f>'5102-510 Advertising Agency Fee'!E5</f>
        <v>58826</v>
      </c>
      <c r="F47" s="16">
        <f>'5102-510 Advertising Agency Fee'!F5</f>
        <v>51522</v>
      </c>
      <c r="G47" s="16">
        <f>'5102-510 Advertising Agency Fee'!G5</f>
        <v>65022</v>
      </c>
      <c r="H47" s="16">
        <f>'5102-510 Advertising Agency Fee'!H5</f>
        <v>49022</v>
      </c>
      <c r="I47" s="16">
        <f>'5102-510 Advertising Agency Fee'!I5</f>
        <v>47085</v>
      </c>
      <c r="J47" s="16">
        <f>'5102-510 Advertising Agency Fee'!J5</f>
        <v>47022</v>
      </c>
      <c r="K47" s="16">
        <f>'5102-510 Advertising Agency Fee'!K5</f>
        <v>47522</v>
      </c>
      <c r="L47" s="16">
        <f>'5102-510 Advertising Agency Fee'!L5</f>
        <v>56022</v>
      </c>
      <c r="M47" s="16">
        <f>'5102-510 Advertising Agency Fee'!M5</f>
        <v>57522</v>
      </c>
      <c r="N47" s="16">
        <f>'5102-510 Advertising Agency Fee'!N5</f>
        <v>52522</v>
      </c>
      <c r="O47" s="17">
        <f>'5102-510 Advertising Agency Fee'!O5</f>
        <v>697176</v>
      </c>
    </row>
    <row r="48" spans="1:18" x14ac:dyDescent="0.3">
      <c r="A48" s="63"/>
      <c r="B48" s="49" t="s">
        <v>32</v>
      </c>
      <c r="C48" s="16">
        <f>'5102-510 Advertising Agency Fee'!C6</f>
        <v>51418.499999999993</v>
      </c>
      <c r="D48" s="16">
        <f>'5102-510 Advertising Agency Fee'!D6</f>
        <v>59616.700000000004</v>
      </c>
      <c r="E48" s="16">
        <f>'5102-510 Advertising Agency Fee'!E6</f>
        <v>47803.15</v>
      </c>
      <c r="F48" s="16">
        <f>'5102-510 Advertising Agency Fee'!F6</f>
        <v>54958.579999999994</v>
      </c>
      <c r="G48" s="16">
        <f>'5102-510 Advertising Agency Fee'!G6</f>
        <v>55320.829999999994</v>
      </c>
      <c r="H48" s="16">
        <f>'5102-510 Advertising Agency Fee'!H6</f>
        <v>58388.509999999995</v>
      </c>
      <c r="I48" s="16">
        <f>'5102-510 Advertising Agency Fee'!I6</f>
        <v>63125.88</v>
      </c>
      <c r="J48" s="16">
        <f>'5102-510 Advertising Agency Fee'!J6</f>
        <v>59393.07</v>
      </c>
      <c r="K48" s="16">
        <f>'5102-510 Advertising Agency Fee'!K6</f>
        <v>55454.37</v>
      </c>
      <c r="L48" s="16">
        <f>'5102-510 Advertising Agency Fee'!L6</f>
        <v>23340.07</v>
      </c>
      <c r="M48" s="16">
        <f>'5102-510 Advertising Agency Fee'!M6</f>
        <v>0</v>
      </c>
      <c r="N48" s="16">
        <f>'5102-510 Advertising Agency Fee'!N6</f>
        <v>0</v>
      </c>
      <c r="O48" s="17">
        <f>'5102-510 Advertising Agency Fee'!O6</f>
        <v>528819.66</v>
      </c>
    </row>
    <row r="49" spans="1:17" x14ac:dyDescent="0.3">
      <c r="A49" s="86" t="s">
        <v>43</v>
      </c>
      <c r="B49" s="49" t="s">
        <v>21</v>
      </c>
      <c r="C49" s="16">
        <f>'5102-510 Advertising Agency Fee'!C7</f>
        <v>16148.500000000007</v>
      </c>
      <c r="D49" s="16">
        <f>'5102-510 Advertising Agency Fee'!D7</f>
        <v>37905.299999999996</v>
      </c>
      <c r="E49" s="16">
        <f>'5102-510 Advertising Agency Fee'!E7</f>
        <v>11022.849999999999</v>
      </c>
      <c r="F49" s="16">
        <f>'5102-510 Advertising Agency Fee'!F7</f>
        <v>-3436.5799999999945</v>
      </c>
      <c r="G49" s="16">
        <f>'5102-510 Advertising Agency Fee'!G7</f>
        <v>9701.1700000000055</v>
      </c>
      <c r="H49" s="16">
        <f>'5102-510 Advertising Agency Fee'!H7</f>
        <v>-9366.5099999999948</v>
      </c>
      <c r="I49" s="16">
        <f>'5102-510 Advertising Agency Fee'!I7</f>
        <v>-16040.879999999997</v>
      </c>
      <c r="J49" s="16">
        <f>'5102-510 Advertising Agency Fee'!J7</f>
        <v>-12371.07</v>
      </c>
      <c r="K49" s="16">
        <f>'5102-510 Advertising Agency Fee'!K7</f>
        <v>-7932.3700000000026</v>
      </c>
      <c r="L49" s="16">
        <f>'5102-510 Advertising Agency Fee'!L7</f>
        <v>32681.93</v>
      </c>
      <c r="M49" s="16">
        <f>'5102-510 Advertising Agency Fee'!M7</f>
        <v>57522</v>
      </c>
      <c r="N49" s="16">
        <f>'5102-510 Advertising Agency Fee'!N7</f>
        <v>52522</v>
      </c>
      <c r="O49" s="17">
        <f>'5102-510 Advertising Agency Fee'!O7</f>
        <v>168356.33999999997</v>
      </c>
    </row>
    <row r="50" spans="1:17" x14ac:dyDescent="0.3">
      <c r="A50" s="86"/>
      <c r="B50" s="50" t="s">
        <v>23</v>
      </c>
      <c r="C50" s="16">
        <f>'5102-510 Advertising Agency Fee'!C8</f>
        <v>51418.499999999993</v>
      </c>
      <c r="D50" s="16">
        <f>'5102-510 Advertising Agency Fee'!D8</f>
        <v>111035.2</v>
      </c>
      <c r="E50" s="16">
        <f>'5102-510 Advertising Agency Fee'!E8</f>
        <v>158838.35</v>
      </c>
      <c r="F50" s="16">
        <f>'5102-510 Advertising Agency Fee'!F8</f>
        <v>213796.93</v>
      </c>
      <c r="G50" s="16">
        <f>'5102-510 Advertising Agency Fee'!G8</f>
        <v>269117.76</v>
      </c>
      <c r="H50" s="16">
        <f>'5102-510 Advertising Agency Fee'!H8</f>
        <v>327506.27</v>
      </c>
      <c r="I50" s="16">
        <f>'5102-510 Advertising Agency Fee'!I8</f>
        <v>390632.15</v>
      </c>
      <c r="J50" s="16">
        <f>'5102-510 Advertising Agency Fee'!J8</f>
        <v>450025.22000000003</v>
      </c>
      <c r="K50" s="16">
        <f>'5102-510 Advertising Agency Fee'!K8</f>
        <v>505479.59</v>
      </c>
      <c r="L50" s="16">
        <f>'5102-510 Advertising Agency Fee'!L8</f>
        <v>528819.66</v>
      </c>
      <c r="M50" s="16">
        <f>'5102-510 Advertising Agency Fee'!M8</f>
        <v>528819.66</v>
      </c>
      <c r="N50" s="16">
        <f>'5102-510 Advertising Agency Fee'!N8</f>
        <v>528819.66</v>
      </c>
      <c r="O50" s="17">
        <f>'5102-510 Advertising Agency Fee'!O8</f>
        <v>528819.66</v>
      </c>
    </row>
    <row r="51" spans="1:17" x14ac:dyDescent="0.3">
      <c r="A51" s="87"/>
      <c r="B51" s="51" t="s">
        <v>25</v>
      </c>
      <c r="C51" s="26">
        <f>'5102-510 Advertising Agency Fee'!C9</f>
        <v>16148.500000000007</v>
      </c>
      <c r="D51" s="26">
        <f>'5102-510 Advertising Agency Fee'!D9</f>
        <v>54053.8</v>
      </c>
      <c r="E51" s="26">
        <f>'5102-510 Advertising Agency Fee'!E9</f>
        <v>65076.649999999994</v>
      </c>
      <c r="F51" s="26">
        <f>'5102-510 Advertising Agency Fee'!F9</f>
        <v>61640.070000000007</v>
      </c>
      <c r="G51" s="26">
        <f>'5102-510 Advertising Agency Fee'!G9</f>
        <v>71341.239999999991</v>
      </c>
      <c r="H51" s="26">
        <f>'5102-510 Advertising Agency Fee'!H9</f>
        <v>61974.729999999981</v>
      </c>
      <c r="I51" s="26">
        <f>'5102-510 Advertising Agency Fee'!I9</f>
        <v>45933.849999999977</v>
      </c>
      <c r="J51" s="26">
        <f>'5102-510 Advertising Agency Fee'!J9</f>
        <v>33562.77999999997</v>
      </c>
      <c r="K51" s="26">
        <f>'5102-510 Advertising Agency Fee'!K9</f>
        <v>25630.409999999974</v>
      </c>
      <c r="L51" s="26">
        <f>'5102-510 Advertising Agency Fee'!L9</f>
        <v>58312.339999999967</v>
      </c>
      <c r="M51" s="26">
        <f>'5102-510 Advertising Agency Fee'!M9</f>
        <v>115834.33999999997</v>
      </c>
      <c r="N51" s="26">
        <f>'5102-510 Advertising Agency Fee'!N9</f>
        <v>168356.33999999997</v>
      </c>
      <c r="O51" s="24">
        <f>'5102-510 Advertising Agency Fee'!O9</f>
        <v>0</v>
      </c>
    </row>
    <row r="52" spans="1:17" x14ac:dyDescent="0.3">
      <c r="A52" s="20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7" x14ac:dyDescent="0.3">
      <c r="A53" s="85" t="s">
        <v>44</v>
      </c>
      <c r="B53" s="57" t="s">
        <v>16</v>
      </c>
      <c r="C53" s="14">
        <f>'5104-510 Public Relations'!C3</f>
        <v>8376.9599999999991</v>
      </c>
      <c r="D53" s="14">
        <f>'5104-510 Public Relations'!D3</f>
        <v>8376.9599999999991</v>
      </c>
      <c r="E53" s="14">
        <f>'5104-510 Public Relations'!E3</f>
        <v>8376.9599999999991</v>
      </c>
      <c r="F53" s="14">
        <f>'5104-510 Public Relations'!F3</f>
        <v>17177.879999999997</v>
      </c>
      <c r="G53" s="14">
        <f>'5104-510 Public Relations'!G3</f>
        <v>23701.57</v>
      </c>
      <c r="H53" s="14">
        <f>'5104-510 Public Relations'!H3</f>
        <v>11057.630000000001</v>
      </c>
      <c r="I53" s="14">
        <f>'5104-510 Public Relations'!I3</f>
        <v>10209.419999999998</v>
      </c>
      <c r="J53" s="14">
        <f>'5104-510 Public Relations'!J3</f>
        <v>10209.419999999998</v>
      </c>
      <c r="K53" s="14">
        <f>'5104-510 Public Relations'!K3</f>
        <v>12596.25</v>
      </c>
      <c r="L53" s="14">
        <f>'5104-510 Public Relations'!L3</f>
        <v>12089.599999999999</v>
      </c>
      <c r="M53" s="14">
        <f>'5104-510 Public Relations'!M3</f>
        <v>25163.3</v>
      </c>
      <c r="N53" s="14">
        <f>'5104-510 Public Relations'!N3</f>
        <v>10209.419999999998</v>
      </c>
      <c r="O53" s="15">
        <f>'5104-510 Public Relations'!O3</f>
        <v>157545.36999999997</v>
      </c>
    </row>
    <row r="54" spans="1:17" x14ac:dyDescent="0.3">
      <c r="A54" s="92"/>
      <c r="B54" s="50" t="s">
        <v>29</v>
      </c>
      <c r="C54" s="16">
        <f>'5104-510 Public Relations'!C4</f>
        <v>10209.459999999999</v>
      </c>
      <c r="D54" s="16">
        <f>'5104-510 Public Relations'!D4</f>
        <v>10209.459999999999</v>
      </c>
      <c r="E54" s="16">
        <f>'5104-510 Public Relations'!E4</f>
        <v>21832.46</v>
      </c>
      <c r="F54" s="16">
        <f>'5104-510 Public Relations'!F4</f>
        <v>10209.459999999999</v>
      </c>
      <c r="G54" s="16">
        <f>'5104-510 Public Relations'!G4</f>
        <v>16832.46</v>
      </c>
      <c r="H54" s="16">
        <f>'5104-510 Public Relations'!H4</f>
        <v>10209.459999999999</v>
      </c>
      <c r="I54" s="16">
        <f>'5104-510 Public Relations'!I4</f>
        <v>10209.459999999999</v>
      </c>
      <c r="J54" s="16">
        <f>'5104-510 Public Relations'!J4</f>
        <v>10209.459999999999</v>
      </c>
      <c r="K54" s="16">
        <f>'5104-510 Public Relations'!K4</f>
        <v>21832.46</v>
      </c>
      <c r="L54" s="16">
        <f>'5104-510 Public Relations'!L4</f>
        <v>10209.459999999999</v>
      </c>
      <c r="M54" s="16">
        <f>'5104-510 Public Relations'!M4</f>
        <v>10209.459999999999</v>
      </c>
      <c r="N54" s="16">
        <f>'5104-510 Public Relations'!N4</f>
        <v>10209.459999999999</v>
      </c>
      <c r="O54" s="17">
        <f>'5104-510 Public Relations'!O4</f>
        <v>152382.51999999999</v>
      </c>
      <c r="Q54" s="33">
        <f>O54-O53</f>
        <v>-5162.8499999999767</v>
      </c>
    </row>
    <row r="55" spans="1:17" x14ac:dyDescent="0.3">
      <c r="A55" s="92"/>
      <c r="B55" s="49" t="s">
        <v>31</v>
      </c>
      <c r="C55" s="16">
        <f>'5104-510 Public Relations'!C5</f>
        <v>10209.459999999999</v>
      </c>
      <c r="D55" s="16">
        <f>'5104-510 Public Relations'!D5</f>
        <v>10209.459999999999</v>
      </c>
      <c r="E55" s="16">
        <f>'5104-510 Public Relations'!E5</f>
        <v>21832.46</v>
      </c>
      <c r="F55" s="16">
        <f>'5104-510 Public Relations'!F5</f>
        <v>10209.459999999999</v>
      </c>
      <c r="G55" s="16">
        <f>'5104-510 Public Relations'!G5</f>
        <v>16832.46</v>
      </c>
      <c r="H55" s="16">
        <f>'5104-510 Public Relations'!H5</f>
        <v>10209.459999999999</v>
      </c>
      <c r="I55" s="16">
        <f>'5104-510 Public Relations'!I5</f>
        <v>10209.459999999999</v>
      </c>
      <c r="J55" s="16">
        <f>'5104-510 Public Relations'!J5</f>
        <v>10209.459999999999</v>
      </c>
      <c r="K55" s="16">
        <f>'5104-510 Public Relations'!K5</f>
        <v>21832.46</v>
      </c>
      <c r="L55" s="16">
        <f>'5104-510 Public Relations'!L5</f>
        <v>10209.459999999999</v>
      </c>
      <c r="M55" s="16">
        <f>'5104-510 Public Relations'!M5</f>
        <v>10209.459999999999</v>
      </c>
      <c r="N55" s="16">
        <f>'5104-510 Public Relations'!N5</f>
        <v>10209.459999999999</v>
      </c>
      <c r="O55" s="17">
        <f>'5104-510 Public Relations'!O5</f>
        <v>152382.51999999993</v>
      </c>
    </row>
    <row r="56" spans="1:17" x14ac:dyDescent="0.3">
      <c r="A56" s="92"/>
      <c r="B56" s="49" t="s">
        <v>32</v>
      </c>
      <c r="C56" s="16">
        <f>'5104-510 Public Relations'!C6</f>
        <v>10467.720000000001</v>
      </c>
      <c r="D56" s="16">
        <f>'5104-510 Public Relations'!D6</f>
        <v>12294.219999999998</v>
      </c>
      <c r="E56" s="16">
        <f>'5104-510 Public Relations'!E6</f>
        <v>10209.419999999998</v>
      </c>
      <c r="F56" s="16">
        <f>'5104-510 Public Relations'!F6</f>
        <v>9126.9599999999991</v>
      </c>
      <c r="G56" s="16">
        <f>'5104-510 Public Relations'!G6</f>
        <v>21267.289999999997</v>
      </c>
      <c r="H56" s="16">
        <f>'5104-510 Public Relations'!H6</f>
        <v>13282.009999999998</v>
      </c>
      <c r="I56" s="16">
        <f>'5104-510 Public Relations'!I6</f>
        <v>8376.9599999999991</v>
      </c>
      <c r="J56" s="16">
        <f>'5104-510 Public Relations'!J6</f>
        <v>8376.9599999999991</v>
      </c>
      <c r="K56" s="16">
        <f>'5104-510 Public Relations'!K6</f>
        <v>10209.419999999998</v>
      </c>
      <c r="L56" s="16">
        <f>'5104-510 Public Relations'!L6</f>
        <v>0</v>
      </c>
      <c r="M56" s="16">
        <f>'5104-510 Public Relations'!M6</f>
        <v>0</v>
      </c>
      <c r="N56" s="16">
        <f>'5104-510 Public Relations'!N6</f>
        <v>0</v>
      </c>
      <c r="O56" s="17">
        <f>'5104-510 Public Relations'!O6</f>
        <v>103610.95999999998</v>
      </c>
    </row>
    <row r="57" spans="1:17" ht="28.8" x14ac:dyDescent="0.3">
      <c r="A57" s="86" t="s">
        <v>45</v>
      </c>
      <c r="B57" s="49" t="s">
        <v>21</v>
      </c>
      <c r="C57" s="16">
        <f>'5104-510 Public Relations'!C7</f>
        <v>-258.26000000000204</v>
      </c>
      <c r="D57" s="16">
        <f>'5104-510 Public Relations'!D7</f>
        <v>-2084.7599999999984</v>
      </c>
      <c r="E57" s="16">
        <f>'5104-510 Public Relations'!E7</f>
        <v>11623.04</v>
      </c>
      <c r="F57" s="16">
        <f>'5104-510 Public Relations'!F7</f>
        <v>1082.5</v>
      </c>
      <c r="G57" s="16">
        <f>'5104-510 Public Relations'!G7</f>
        <v>-4434.8299999999981</v>
      </c>
      <c r="H57" s="16">
        <f>'5104-510 Public Relations'!H7</f>
        <v>-3072.5499999999993</v>
      </c>
      <c r="I57" s="16">
        <f>'5104-510 Public Relations'!I7</f>
        <v>1832.5</v>
      </c>
      <c r="J57" s="16">
        <f>'5104-510 Public Relations'!J7</f>
        <v>1832.5</v>
      </c>
      <c r="K57" s="16">
        <f>'5104-510 Public Relations'!K7</f>
        <v>11623.04</v>
      </c>
      <c r="L57" s="16">
        <f>'5104-510 Public Relations'!L7</f>
        <v>10209.459999999999</v>
      </c>
      <c r="M57" s="16">
        <f>'5104-510 Public Relations'!M7</f>
        <v>10209.459999999999</v>
      </c>
      <c r="N57" s="16">
        <f>'5104-510 Public Relations'!N7</f>
        <v>10209.459999999999</v>
      </c>
      <c r="O57" s="17">
        <f>'5104-510 Public Relations'!O7</f>
        <v>48771.559999999954</v>
      </c>
    </row>
    <row r="58" spans="1:17" x14ac:dyDescent="0.3">
      <c r="A58" s="86"/>
      <c r="B58" s="50" t="s">
        <v>23</v>
      </c>
      <c r="C58" s="16">
        <f>'5104-510 Public Relations'!C8</f>
        <v>10467.720000000001</v>
      </c>
      <c r="D58" s="16">
        <f>'5104-510 Public Relations'!D8</f>
        <v>22761.94</v>
      </c>
      <c r="E58" s="16">
        <f>'5104-510 Public Relations'!E8</f>
        <v>32971.360000000001</v>
      </c>
      <c r="F58" s="16">
        <f>'5104-510 Public Relations'!F8</f>
        <v>42098.32</v>
      </c>
      <c r="G58" s="16">
        <f>'5104-510 Public Relations'!G8</f>
        <v>63365.61</v>
      </c>
      <c r="H58" s="16">
        <f>'5104-510 Public Relations'!H8</f>
        <v>76647.62</v>
      </c>
      <c r="I58" s="16">
        <f>'5104-510 Public Relations'!I8</f>
        <v>85024.579999999987</v>
      </c>
      <c r="J58" s="16">
        <f>'5104-510 Public Relations'!J8</f>
        <v>93401.539999999979</v>
      </c>
      <c r="K58" s="16">
        <f>'5104-510 Public Relations'!K8</f>
        <v>103610.95999999998</v>
      </c>
      <c r="L58" s="16">
        <f>'5104-510 Public Relations'!L8</f>
        <v>103610.95999999998</v>
      </c>
      <c r="M58" s="16">
        <f>'5104-510 Public Relations'!M8</f>
        <v>103610.95999999998</v>
      </c>
      <c r="N58" s="16">
        <f>'5104-510 Public Relations'!N8</f>
        <v>103610.95999999998</v>
      </c>
      <c r="O58" s="17">
        <f>'5104-510 Public Relations'!O8</f>
        <v>103610.95999999998</v>
      </c>
    </row>
    <row r="59" spans="1:17" x14ac:dyDescent="0.3">
      <c r="A59" s="87"/>
      <c r="B59" s="51" t="s">
        <v>25</v>
      </c>
      <c r="C59" s="26">
        <f>'5104-510 Public Relations'!C9</f>
        <v>-258.26000000000204</v>
      </c>
      <c r="D59" s="26">
        <f>'5104-510 Public Relations'!D9</f>
        <v>-2343.0200000000004</v>
      </c>
      <c r="E59" s="26">
        <f>'5104-510 Public Relations'!E9</f>
        <v>9280.0199999999968</v>
      </c>
      <c r="F59" s="26">
        <f>'5104-510 Public Relations'!F9</f>
        <v>10362.519999999997</v>
      </c>
      <c r="G59" s="26">
        <f>'5104-510 Public Relations'!G9</f>
        <v>5927.6899999999878</v>
      </c>
      <c r="H59" s="26">
        <f>'5104-510 Public Relations'!H9</f>
        <v>2855.1399999999849</v>
      </c>
      <c r="I59" s="26">
        <f>'5104-510 Public Relations'!I9</f>
        <v>4687.6399999999849</v>
      </c>
      <c r="J59" s="26">
        <f>'5104-510 Public Relations'!J9</f>
        <v>6520.1399999999849</v>
      </c>
      <c r="K59" s="26">
        <f>'5104-510 Public Relations'!K9</f>
        <v>18143.179999999978</v>
      </c>
      <c r="L59" s="26">
        <f>'5104-510 Public Relations'!L9</f>
        <v>28352.63999999997</v>
      </c>
      <c r="M59" s="26">
        <f>'5104-510 Public Relations'!M9</f>
        <v>38562.099999999962</v>
      </c>
      <c r="N59" s="26">
        <f>'5104-510 Public Relations'!N9</f>
        <v>48771.559999999954</v>
      </c>
      <c r="O59" s="24">
        <f>'5104-510 Public Relations'!O9</f>
        <v>0</v>
      </c>
    </row>
    <row r="60" spans="1:17" x14ac:dyDescent="0.3">
      <c r="A60" s="88"/>
      <c r="B60" s="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</row>
    <row r="61" spans="1:17" x14ac:dyDescent="0.3">
      <c r="A61" s="85" t="s">
        <v>46</v>
      </c>
      <c r="B61" s="57" t="s">
        <v>16</v>
      </c>
      <c r="C61" s="14">
        <f>'5105-510 Promotional Events'!C3</f>
        <v>0</v>
      </c>
      <c r="D61" s="14">
        <f>'5105-510 Promotional Events'!D3</f>
        <v>0</v>
      </c>
      <c r="E61" s="14">
        <f>'5105-510 Promotional Events'!E3</f>
        <v>0</v>
      </c>
      <c r="F61" s="14">
        <f>'5105-510 Promotional Events'!F3</f>
        <v>0</v>
      </c>
      <c r="G61" s="14">
        <f>'5105-510 Promotional Events'!G3</f>
        <v>0</v>
      </c>
      <c r="H61" s="14">
        <f>'5105-510 Promotional Events'!H3</f>
        <v>0</v>
      </c>
      <c r="I61" s="14">
        <f>'5105-510 Promotional Events'!I3</f>
        <v>0</v>
      </c>
      <c r="J61" s="14">
        <f>'5105-510 Promotional Events'!J3</f>
        <v>0</v>
      </c>
      <c r="K61" s="14">
        <f>'5105-510 Promotional Events'!K3</f>
        <v>0</v>
      </c>
      <c r="L61" s="14">
        <f>'5105-510 Promotional Events'!L3</f>
        <v>0</v>
      </c>
      <c r="M61" s="14">
        <f>'5105-510 Promotional Events'!M3</f>
        <v>0</v>
      </c>
      <c r="N61" s="14">
        <f>'5105-510 Promotional Events'!N3</f>
        <v>0</v>
      </c>
      <c r="O61" s="15">
        <f>'5105-510 Promotional Events'!O3</f>
        <v>0</v>
      </c>
    </row>
    <row r="62" spans="1:17" x14ac:dyDescent="0.3">
      <c r="A62" s="92"/>
      <c r="B62" s="50" t="s">
        <v>29</v>
      </c>
      <c r="C62" s="16">
        <f>'5105-510 Promotional Events'!C4</f>
        <v>0</v>
      </c>
      <c r="D62" s="16">
        <f>'5105-510 Promotional Events'!D4</f>
        <v>0</v>
      </c>
      <c r="E62" s="16">
        <f>'5105-510 Promotional Events'!E4</f>
        <v>0</v>
      </c>
      <c r="F62" s="16">
        <f>'5105-510 Promotional Events'!F4</f>
        <v>0</v>
      </c>
      <c r="G62" s="16">
        <f>'5105-510 Promotional Events'!G4</f>
        <v>0</v>
      </c>
      <c r="H62" s="16">
        <f>'5105-510 Promotional Events'!H4</f>
        <v>0</v>
      </c>
      <c r="I62" s="16">
        <f>'5105-510 Promotional Events'!I4</f>
        <v>0</v>
      </c>
      <c r="J62" s="16">
        <f>'5105-510 Promotional Events'!J4</f>
        <v>0</v>
      </c>
      <c r="K62" s="16">
        <f>'5105-510 Promotional Events'!K4</f>
        <v>0</v>
      </c>
      <c r="L62" s="16">
        <f>'5105-510 Promotional Events'!L4</f>
        <v>0</v>
      </c>
      <c r="M62" s="16">
        <f>'5105-510 Promotional Events'!M4</f>
        <v>0</v>
      </c>
      <c r="N62" s="16">
        <f>'5105-510 Promotional Events'!N4</f>
        <v>0</v>
      </c>
      <c r="O62" s="17">
        <f>'5105-510 Promotional Events'!O4</f>
        <v>0</v>
      </c>
    </row>
    <row r="63" spans="1:17" x14ac:dyDescent="0.3">
      <c r="A63" s="92"/>
      <c r="B63" s="49" t="s">
        <v>31</v>
      </c>
      <c r="C63" s="16">
        <f>'5105-510 Promotional Events'!C5</f>
        <v>0</v>
      </c>
      <c r="D63" s="16">
        <f>'5105-510 Promotional Events'!D5</f>
        <v>0</v>
      </c>
      <c r="E63" s="16">
        <f>'5105-510 Promotional Events'!E5</f>
        <v>0</v>
      </c>
      <c r="F63" s="16">
        <f>'5105-510 Promotional Events'!F5</f>
        <v>0</v>
      </c>
      <c r="G63" s="16">
        <f>'5105-510 Promotional Events'!G5</f>
        <v>0</v>
      </c>
      <c r="H63" s="16">
        <f>'5105-510 Promotional Events'!H5</f>
        <v>0</v>
      </c>
      <c r="I63" s="16">
        <f>'5105-510 Promotional Events'!I5</f>
        <v>0</v>
      </c>
      <c r="J63" s="16">
        <f>'5105-510 Promotional Events'!J5</f>
        <v>0</v>
      </c>
      <c r="K63" s="16">
        <f>'5105-510 Promotional Events'!K5</f>
        <v>0</v>
      </c>
      <c r="L63" s="16">
        <f>'5105-510 Promotional Events'!L5</f>
        <v>0</v>
      </c>
      <c r="M63" s="16">
        <f>'5105-510 Promotional Events'!M5</f>
        <v>0</v>
      </c>
      <c r="N63" s="16">
        <f>'5105-510 Promotional Events'!N5</f>
        <v>0</v>
      </c>
      <c r="O63" s="17">
        <f>'5105-510 Promotional Events'!O5</f>
        <v>0</v>
      </c>
    </row>
    <row r="64" spans="1:17" x14ac:dyDescent="0.3">
      <c r="A64" s="92"/>
      <c r="B64" s="49" t="s">
        <v>32</v>
      </c>
      <c r="C64" s="16">
        <f>'5105-510 Promotional Events'!C6</f>
        <v>2008.82</v>
      </c>
      <c r="D64" s="16">
        <f>'5105-510 Promotional Events'!D6</f>
        <v>2770.4</v>
      </c>
      <c r="E64" s="16">
        <f>'5105-510 Promotional Events'!E6</f>
        <v>55.81</v>
      </c>
      <c r="F64" s="16">
        <f>'5105-510 Promotional Events'!F6</f>
        <v>2373.4199999999996</v>
      </c>
      <c r="G64" s="16">
        <f>'5105-510 Promotional Events'!G6</f>
        <v>1969.39</v>
      </c>
      <c r="H64" s="16">
        <f>'5105-510 Promotional Events'!H6</f>
        <v>3896.16</v>
      </c>
      <c r="I64" s="16">
        <f>'5105-510 Promotional Events'!I6</f>
        <v>96.71</v>
      </c>
      <c r="J64" s="16">
        <f>'5105-510 Promotional Events'!J6</f>
        <v>7626.130000000001</v>
      </c>
      <c r="K64" s="16">
        <f>'5105-510 Promotional Events'!K6</f>
        <v>4229.63</v>
      </c>
      <c r="L64" s="16">
        <f>'5105-510 Promotional Events'!L6</f>
        <v>2301.7199999999998</v>
      </c>
      <c r="M64" s="16">
        <f>'5105-510 Promotional Events'!M6</f>
        <v>0</v>
      </c>
      <c r="N64" s="16">
        <f>'5105-510 Promotional Events'!N6</f>
        <v>0</v>
      </c>
      <c r="O64" s="17">
        <f>'5105-510 Promotional Events'!O6</f>
        <v>27328.19000000001</v>
      </c>
    </row>
    <row r="65" spans="1:17" ht="43.2" x14ac:dyDescent="0.3">
      <c r="A65" s="86" t="s">
        <v>47</v>
      </c>
      <c r="B65" s="49" t="s">
        <v>21</v>
      </c>
      <c r="C65" s="16">
        <f>'5105-510 Promotional Events'!C7</f>
        <v>-2008.82</v>
      </c>
      <c r="D65" s="16">
        <f>'5105-510 Promotional Events'!D7</f>
        <v>-2770.4</v>
      </c>
      <c r="E65" s="16">
        <f>'5105-510 Promotional Events'!E7</f>
        <v>-55.81</v>
      </c>
      <c r="F65" s="16">
        <f>'5105-510 Promotional Events'!F7</f>
        <v>-2373.4199999999996</v>
      </c>
      <c r="G65" s="16">
        <f>'5105-510 Promotional Events'!G7</f>
        <v>-1969.39</v>
      </c>
      <c r="H65" s="16">
        <f>'5105-510 Promotional Events'!H7</f>
        <v>-3896.16</v>
      </c>
      <c r="I65" s="16">
        <f>'5105-510 Promotional Events'!I7</f>
        <v>-96.71</v>
      </c>
      <c r="J65" s="16">
        <f>'5105-510 Promotional Events'!J7</f>
        <v>-7626.130000000001</v>
      </c>
      <c r="K65" s="16">
        <f>'5105-510 Promotional Events'!K7</f>
        <v>-4229.63</v>
      </c>
      <c r="L65" s="16">
        <f>'5105-510 Promotional Events'!L7</f>
        <v>-2301.7199999999998</v>
      </c>
      <c r="M65" s="16">
        <f>'5105-510 Promotional Events'!M7</f>
        <v>0</v>
      </c>
      <c r="N65" s="16">
        <f>'5105-510 Promotional Events'!N7</f>
        <v>0</v>
      </c>
      <c r="O65" s="17">
        <f>'5105-510 Promotional Events'!O7</f>
        <v>-27328.19000000001</v>
      </c>
    </row>
    <row r="66" spans="1:17" x14ac:dyDescent="0.3">
      <c r="A66" s="86"/>
      <c r="B66" s="50" t="s">
        <v>23</v>
      </c>
      <c r="C66" s="16">
        <f>'5105-510 Promotional Events'!C8</f>
        <v>2008.82</v>
      </c>
      <c r="D66" s="16">
        <f>'5105-510 Promotional Events'!D8</f>
        <v>4779.22</v>
      </c>
      <c r="E66" s="16">
        <f>'5105-510 Promotional Events'!E8</f>
        <v>4835.0300000000007</v>
      </c>
      <c r="F66" s="16">
        <f>'5105-510 Promotional Events'!F8</f>
        <v>7208.4500000000007</v>
      </c>
      <c r="G66" s="16">
        <f>'5105-510 Promotional Events'!G8</f>
        <v>9177.84</v>
      </c>
      <c r="H66" s="16">
        <f>'5105-510 Promotional Events'!H8</f>
        <v>13074</v>
      </c>
      <c r="I66" s="16">
        <f>'5105-510 Promotional Events'!I8</f>
        <v>13170.71</v>
      </c>
      <c r="J66" s="16">
        <f>'5105-510 Promotional Events'!J8</f>
        <v>20796.84</v>
      </c>
      <c r="K66" s="16">
        <f>'5105-510 Promotional Events'!K8</f>
        <v>25026.47</v>
      </c>
      <c r="L66" s="16">
        <f>'5105-510 Promotional Events'!L8</f>
        <v>27328.190000000002</v>
      </c>
      <c r="M66" s="16">
        <f>'5105-510 Promotional Events'!M8</f>
        <v>27328.190000000002</v>
      </c>
      <c r="N66" s="16">
        <f>'5105-510 Promotional Events'!N8</f>
        <v>27328.190000000002</v>
      </c>
      <c r="O66" s="17">
        <f>'5105-510 Promotional Events'!O8</f>
        <v>27328.19000000001</v>
      </c>
    </row>
    <row r="67" spans="1:17" x14ac:dyDescent="0.3">
      <c r="A67" s="87"/>
      <c r="B67" s="51" t="s">
        <v>25</v>
      </c>
      <c r="C67" s="26">
        <f>'5105-510 Promotional Events'!C9</f>
        <v>-2008.82</v>
      </c>
      <c r="D67" s="26">
        <f>'5105-510 Promotional Events'!D9</f>
        <v>-4779.22</v>
      </c>
      <c r="E67" s="26">
        <f>'5105-510 Promotional Events'!E9</f>
        <v>-4835.0300000000007</v>
      </c>
      <c r="F67" s="26">
        <f>'5105-510 Promotional Events'!F9</f>
        <v>-7208.4500000000007</v>
      </c>
      <c r="G67" s="26">
        <f>'5105-510 Promotional Events'!G9</f>
        <v>-9177.84</v>
      </c>
      <c r="H67" s="26">
        <f>'5105-510 Promotional Events'!H9</f>
        <v>-13074</v>
      </c>
      <c r="I67" s="26">
        <f>'5105-510 Promotional Events'!I9</f>
        <v>-13170.71</v>
      </c>
      <c r="J67" s="26">
        <f>'5105-510 Promotional Events'!J9</f>
        <v>-20796.84</v>
      </c>
      <c r="K67" s="26">
        <f>'5105-510 Promotional Events'!K9</f>
        <v>-25026.47</v>
      </c>
      <c r="L67" s="26">
        <f>'5105-510 Promotional Events'!L9</f>
        <v>-27328.190000000002</v>
      </c>
      <c r="M67" s="26">
        <f>'5105-510 Promotional Events'!M9</f>
        <v>-27328.190000000002</v>
      </c>
      <c r="N67" s="26">
        <f>'5105-510 Promotional Events'!N9</f>
        <v>-27328.190000000002</v>
      </c>
      <c r="O67" s="24">
        <f>'5105-510 Promotional Events'!O9</f>
        <v>0</v>
      </c>
    </row>
    <row r="70" spans="1:17" x14ac:dyDescent="0.3">
      <c r="A70" s="85" t="s">
        <v>48</v>
      </c>
      <c r="B70" s="57" t="s">
        <v>16</v>
      </c>
      <c r="C70" s="14">
        <f>'5200-510 Operating Materials'!C3</f>
        <v>11179.59</v>
      </c>
      <c r="D70" s="14">
        <f>'5200-510 Operating Materials'!D3</f>
        <v>1172.82</v>
      </c>
      <c r="E70" s="14">
        <f>'5200-510 Operating Materials'!E3</f>
        <v>736.31000000000006</v>
      </c>
      <c r="F70" s="14">
        <f>'5200-510 Operating Materials'!F3</f>
        <v>664.21</v>
      </c>
      <c r="G70" s="14">
        <f>'5200-510 Operating Materials'!G3</f>
        <v>16420.22</v>
      </c>
      <c r="H70" s="14">
        <f>'5200-510 Operating Materials'!H3</f>
        <v>15007.29</v>
      </c>
      <c r="I70" s="14">
        <f>'5200-510 Operating Materials'!I3</f>
        <v>1207.3100000000002</v>
      </c>
      <c r="J70" s="14">
        <f>'5200-510 Operating Materials'!J3</f>
        <v>12974.18</v>
      </c>
      <c r="K70" s="14">
        <f>'5200-510 Operating Materials'!K3</f>
        <v>33189.300000000003</v>
      </c>
      <c r="L70" s="14">
        <f>'5200-510 Operating Materials'!L3</f>
        <v>1699.35</v>
      </c>
      <c r="M70" s="14">
        <f>'5200-510 Operating Materials'!M3</f>
        <v>296.19</v>
      </c>
      <c r="N70" s="14">
        <f>'5200-510 Operating Materials'!N3</f>
        <v>0</v>
      </c>
      <c r="O70" s="15">
        <f>'5200-510 Operating Materials'!O3</f>
        <v>94546.76999999999</v>
      </c>
    </row>
    <row r="71" spans="1:17" x14ac:dyDescent="0.3">
      <c r="A71" s="92"/>
      <c r="B71" s="50" t="s">
        <v>29</v>
      </c>
      <c r="C71" s="16">
        <f>'5200-510 Operating Materials'!C4</f>
        <v>10884.94</v>
      </c>
      <c r="D71" s="16">
        <f>'5200-510 Operating Materials'!D4</f>
        <v>2434.69</v>
      </c>
      <c r="E71" s="16">
        <f>'5200-510 Operating Materials'!E4</f>
        <v>16775</v>
      </c>
      <c r="F71" s="16">
        <f>'5200-510 Operating Materials'!F4</f>
        <v>1314</v>
      </c>
      <c r="G71" s="16">
        <f>'5200-510 Operating Materials'!G4</f>
        <v>3345</v>
      </c>
      <c r="H71" s="16">
        <f>'5200-510 Operating Materials'!H4</f>
        <v>15220</v>
      </c>
      <c r="I71" s="16">
        <f>'5200-510 Operating Materials'!I4</f>
        <v>1475</v>
      </c>
      <c r="J71" s="16">
        <f>'5200-510 Operating Materials'!J4</f>
        <v>14505</v>
      </c>
      <c r="K71" s="16">
        <f>'5200-510 Operating Materials'!K4</f>
        <v>31059</v>
      </c>
      <c r="L71" s="16">
        <f>'5200-510 Operating Materials'!L4</f>
        <v>2275</v>
      </c>
      <c r="M71" s="16">
        <f>'5200-510 Operating Materials'!M4</f>
        <v>775</v>
      </c>
      <c r="N71" s="16">
        <f>'5200-510 Operating Materials'!N4</f>
        <v>775</v>
      </c>
      <c r="O71" s="17">
        <f>'5200-510 Operating Materials'!O4</f>
        <v>100837.63</v>
      </c>
      <c r="Q71" s="33">
        <f>O71-O70</f>
        <v>6290.8600000000151</v>
      </c>
    </row>
    <row r="72" spans="1:17" x14ac:dyDescent="0.3">
      <c r="A72" s="92"/>
      <c r="B72" s="49" t="s">
        <v>31</v>
      </c>
      <c r="C72" s="16">
        <f>'5200-510 Operating Materials'!C5</f>
        <v>10884.94</v>
      </c>
      <c r="D72" s="16">
        <f>'5200-510 Operating Materials'!D5</f>
        <v>2434.69</v>
      </c>
      <c r="E72" s="16">
        <f>'5200-510 Operating Materials'!E5</f>
        <v>16775</v>
      </c>
      <c r="F72" s="16">
        <f>'5200-510 Operating Materials'!F5</f>
        <v>1314</v>
      </c>
      <c r="G72" s="16">
        <f>'5200-510 Operating Materials'!G5</f>
        <v>3345</v>
      </c>
      <c r="H72" s="16">
        <f>'5200-510 Operating Materials'!H5</f>
        <v>15220</v>
      </c>
      <c r="I72" s="16">
        <f>'5200-510 Operating Materials'!I5</f>
        <v>1475</v>
      </c>
      <c r="J72" s="16">
        <f>'5200-510 Operating Materials'!J5</f>
        <v>14505</v>
      </c>
      <c r="K72" s="16">
        <f>'5200-510 Operating Materials'!K5</f>
        <v>31059</v>
      </c>
      <c r="L72" s="16">
        <f>'5200-510 Operating Materials'!L5</f>
        <v>2275</v>
      </c>
      <c r="M72" s="16">
        <f>'5200-510 Operating Materials'!M5</f>
        <v>775</v>
      </c>
      <c r="N72" s="16">
        <f>'5200-510 Operating Materials'!N5</f>
        <v>775</v>
      </c>
      <c r="O72" s="17">
        <f>'5200-510 Operating Materials'!O5</f>
        <v>100837.63</v>
      </c>
    </row>
    <row r="73" spans="1:17" x14ac:dyDescent="0.3">
      <c r="A73" s="92"/>
      <c r="B73" s="49" t="s">
        <v>32</v>
      </c>
      <c r="C73" s="16">
        <f>'5200-510 Operating Materials'!C6</f>
        <v>44094.99</v>
      </c>
      <c r="D73" s="16">
        <f>'5200-510 Operating Materials'!D6</f>
        <v>13689.270000000002</v>
      </c>
      <c r="E73" s="16">
        <f>'5200-510 Operating Materials'!E6</f>
        <v>18956.759999999998</v>
      </c>
      <c r="F73" s="16">
        <f>'5200-510 Operating Materials'!F6</f>
        <v>571.13</v>
      </c>
      <c r="G73" s="16">
        <f>'5200-510 Operating Materials'!G6</f>
        <v>18214.759999999998</v>
      </c>
      <c r="H73" s="16">
        <f>'5200-510 Operating Materials'!H6</f>
        <v>4108.58</v>
      </c>
      <c r="I73" s="16">
        <f>'5200-510 Operating Materials'!I6</f>
        <v>19645.819999999996</v>
      </c>
      <c r="J73" s="16">
        <f>'5200-510 Operating Materials'!J6</f>
        <v>30129.71</v>
      </c>
      <c r="K73" s="16">
        <f>'5200-510 Operating Materials'!K6</f>
        <v>10098.229999999998</v>
      </c>
      <c r="L73" s="16">
        <f>'5200-510 Operating Materials'!L6</f>
        <v>111.14000000000001</v>
      </c>
      <c r="M73" s="16">
        <f>'5200-510 Operating Materials'!M6</f>
        <v>0</v>
      </c>
      <c r="N73" s="16">
        <f>'5200-510 Operating Materials'!N6</f>
        <v>0</v>
      </c>
      <c r="O73" s="17">
        <f>'5200-510 Operating Materials'!O6</f>
        <v>159620.38999999998</v>
      </c>
    </row>
    <row r="74" spans="1:17" ht="43.2" x14ac:dyDescent="0.3">
      <c r="A74" s="86" t="s">
        <v>49</v>
      </c>
      <c r="B74" s="49" t="s">
        <v>21</v>
      </c>
      <c r="C74" s="16">
        <f>'5200-510 Operating Materials'!C7</f>
        <v>-33210.049999999996</v>
      </c>
      <c r="D74" s="16">
        <f>'5200-510 Operating Materials'!D7</f>
        <v>-11254.580000000002</v>
      </c>
      <c r="E74" s="16">
        <f>'5200-510 Operating Materials'!E7</f>
        <v>-2181.7599999999984</v>
      </c>
      <c r="F74" s="16">
        <f>'5200-510 Operating Materials'!F7</f>
        <v>742.87</v>
      </c>
      <c r="G74" s="16">
        <f>'5200-510 Operating Materials'!G7</f>
        <v>-14869.759999999998</v>
      </c>
      <c r="H74" s="16">
        <f>'5200-510 Operating Materials'!H7</f>
        <v>11111.42</v>
      </c>
      <c r="I74" s="16">
        <f>'5200-510 Operating Materials'!I7</f>
        <v>-18170.819999999996</v>
      </c>
      <c r="J74" s="16">
        <f>'5200-510 Operating Materials'!J7</f>
        <v>-15624.71</v>
      </c>
      <c r="K74" s="16">
        <f>'5200-510 Operating Materials'!K7</f>
        <v>20960.770000000004</v>
      </c>
      <c r="L74" s="16">
        <f>'5200-510 Operating Materials'!L7</f>
        <v>2163.86</v>
      </c>
      <c r="M74" s="16">
        <f>'5200-510 Operating Materials'!M7</f>
        <v>775</v>
      </c>
      <c r="N74" s="16">
        <f>'5200-510 Operating Materials'!N7</f>
        <v>775</v>
      </c>
      <c r="O74" s="17">
        <f>'5200-510 Operating Materials'!O7</f>
        <v>-58782.75999999998</v>
      </c>
    </row>
    <row r="75" spans="1:17" x14ac:dyDescent="0.3">
      <c r="A75" s="86"/>
      <c r="B75" s="50" t="s">
        <v>23</v>
      </c>
      <c r="C75" s="16">
        <f>'5200-510 Operating Materials'!C8</f>
        <v>44094.99</v>
      </c>
      <c r="D75" s="16">
        <f>'5200-510 Operating Materials'!D8</f>
        <v>57784.26</v>
      </c>
      <c r="E75" s="16">
        <f>'5200-510 Operating Materials'!E8</f>
        <v>76741.02</v>
      </c>
      <c r="F75" s="16">
        <f>'5200-510 Operating Materials'!F8</f>
        <v>77312.150000000009</v>
      </c>
      <c r="G75" s="16">
        <f>'5200-510 Operating Materials'!G8</f>
        <v>95526.91</v>
      </c>
      <c r="H75" s="16">
        <f>'5200-510 Operating Materials'!H8</f>
        <v>99635.49</v>
      </c>
      <c r="I75" s="16">
        <f>'5200-510 Operating Materials'!I8</f>
        <v>119281.31</v>
      </c>
      <c r="J75" s="16">
        <f>'5200-510 Operating Materials'!J8</f>
        <v>149411.01999999999</v>
      </c>
      <c r="K75" s="16">
        <f>'5200-510 Operating Materials'!K8</f>
        <v>159509.25</v>
      </c>
      <c r="L75" s="16">
        <f>'5200-510 Operating Materials'!L8</f>
        <v>159620.39000000001</v>
      </c>
      <c r="M75" s="16">
        <f>'5200-510 Operating Materials'!M8</f>
        <v>159620.39000000001</v>
      </c>
      <c r="N75" s="16">
        <f>'5200-510 Operating Materials'!N8</f>
        <v>159620.39000000001</v>
      </c>
      <c r="O75" s="17">
        <f>'5200-510 Operating Materials'!O8</f>
        <v>159620.38999999998</v>
      </c>
    </row>
    <row r="76" spans="1:17" x14ac:dyDescent="0.3">
      <c r="A76" s="87"/>
      <c r="B76" s="51" t="s">
        <v>25</v>
      </c>
      <c r="C76" s="26">
        <f>'5200-510 Operating Materials'!C9</f>
        <v>-33210.049999999996</v>
      </c>
      <c r="D76" s="26">
        <f>'5200-510 Operating Materials'!D9</f>
        <v>-44464.630000000005</v>
      </c>
      <c r="E76" s="26">
        <f>'5200-510 Operating Materials'!E9</f>
        <v>-46646.39</v>
      </c>
      <c r="F76" s="26">
        <f>'5200-510 Operating Materials'!F9</f>
        <v>-45903.520000000004</v>
      </c>
      <c r="G76" s="26">
        <f>'5200-510 Operating Materials'!G9</f>
        <v>-60773.279999999999</v>
      </c>
      <c r="H76" s="26">
        <f>'5200-510 Operating Materials'!H9</f>
        <v>-49661.86</v>
      </c>
      <c r="I76" s="26">
        <f>'5200-510 Operating Materials'!I9</f>
        <v>-67832.679999999993</v>
      </c>
      <c r="J76" s="26">
        <f>'5200-510 Operating Materials'!J9</f>
        <v>-83457.389999999985</v>
      </c>
      <c r="K76" s="26">
        <f>'5200-510 Operating Materials'!K9</f>
        <v>-62496.619999999995</v>
      </c>
      <c r="L76" s="26">
        <f>'5200-510 Operating Materials'!L9</f>
        <v>-60332.760000000009</v>
      </c>
      <c r="M76" s="26">
        <f>'5200-510 Operating Materials'!M9</f>
        <v>-59557.760000000009</v>
      </c>
      <c r="N76" s="26">
        <f>'5200-510 Operating Materials'!N9</f>
        <v>-58782.760000000009</v>
      </c>
      <c r="O76" s="24">
        <f>'5200-510 Operating Materials'!O9</f>
        <v>0</v>
      </c>
    </row>
    <row r="78" spans="1:17" x14ac:dyDescent="0.3">
      <c r="A78" s="85" t="s">
        <v>50</v>
      </c>
      <c r="B78" s="57" t="s">
        <v>16</v>
      </c>
      <c r="C78" s="14">
        <f>'5201-510 Uniform'!C3</f>
        <v>0</v>
      </c>
      <c r="D78" s="14">
        <f>'5201-510 Uniform'!D3</f>
        <v>360.23</v>
      </c>
      <c r="E78" s="14">
        <f>'5201-510 Uniform'!E3</f>
        <v>695.32</v>
      </c>
      <c r="F78" s="14">
        <f>'5201-510 Uniform'!F3</f>
        <v>0</v>
      </c>
      <c r="G78" s="14">
        <f>'5201-510 Uniform'!G3</f>
        <v>85.42</v>
      </c>
      <c r="H78" s="14">
        <f>'5201-510 Uniform'!H3</f>
        <v>0</v>
      </c>
      <c r="I78" s="14">
        <f>'5201-510 Uniform'!I3</f>
        <v>0</v>
      </c>
      <c r="J78" s="14">
        <f>'5201-510 Uniform'!J3</f>
        <v>0</v>
      </c>
      <c r="K78" s="14">
        <f>'5201-510 Uniform'!K3</f>
        <v>0</v>
      </c>
      <c r="L78" s="14">
        <f>'5201-510 Uniform'!L3</f>
        <v>0</v>
      </c>
      <c r="M78" s="14">
        <f>'5201-510 Uniform'!M3</f>
        <v>0</v>
      </c>
      <c r="N78" s="14">
        <f>'5201-510 Uniform'!N3</f>
        <v>0</v>
      </c>
      <c r="O78" s="15">
        <f>'5201-510 Uniform'!O3</f>
        <v>1140.9700000000003</v>
      </c>
    </row>
    <row r="79" spans="1:17" x14ac:dyDescent="0.3">
      <c r="A79" s="86"/>
      <c r="B79" s="50" t="s">
        <v>29</v>
      </c>
      <c r="C79" s="16">
        <f>'5201-510 Uniform'!C4</f>
        <v>3500</v>
      </c>
      <c r="D79" s="16">
        <f>'5201-510 Uniform'!D4</f>
        <v>0</v>
      </c>
      <c r="E79" s="16">
        <f>'5201-510 Uniform'!E4</f>
        <v>0</v>
      </c>
      <c r="F79" s="16">
        <f>'5201-510 Uniform'!F4</f>
        <v>0</v>
      </c>
      <c r="G79" s="16">
        <f>'5201-510 Uniform'!G4</f>
        <v>0</v>
      </c>
      <c r="H79" s="16">
        <f>'5201-510 Uniform'!H4</f>
        <v>0</v>
      </c>
      <c r="I79" s="16">
        <f>'5201-510 Uniform'!I4</f>
        <v>0</v>
      </c>
      <c r="J79" s="16">
        <f>'5201-510 Uniform'!J4</f>
        <v>0</v>
      </c>
      <c r="K79" s="16">
        <f>'5201-510 Uniform'!K4</f>
        <v>0</v>
      </c>
      <c r="L79" s="16">
        <f>'5201-510 Uniform'!L4</f>
        <v>0</v>
      </c>
      <c r="M79" s="16">
        <f>'5201-510 Uniform'!M4</f>
        <v>0</v>
      </c>
      <c r="N79" s="16">
        <f>'5201-510 Uniform'!N4</f>
        <v>0</v>
      </c>
      <c r="O79" s="17">
        <f>'5201-510 Uniform'!O4</f>
        <v>3500</v>
      </c>
      <c r="Q79" s="33">
        <f>O79-O78</f>
        <v>2359.0299999999997</v>
      </c>
    </row>
    <row r="80" spans="1:17" x14ac:dyDescent="0.3">
      <c r="A80" s="86"/>
      <c r="B80" s="49" t="s">
        <v>31</v>
      </c>
      <c r="C80" s="16">
        <f>'5201-510 Uniform'!C5</f>
        <v>0</v>
      </c>
      <c r="D80" s="16">
        <f>'5201-510 Uniform'!D5</f>
        <v>0</v>
      </c>
      <c r="E80" s="16">
        <f>'5201-510 Uniform'!E5</f>
        <v>0</v>
      </c>
      <c r="F80" s="16">
        <f>'5201-510 Uniform'!F5</f>
        <v>0</v>
      </c>
      <c r="G80" s="16">
        <f>'5201-510 Uniform'!G5</f>
        <v>0</v>
      </c>
      <c r="H80" s="16">
        <f>'5201-510 Uniform'!H5</f>
        <v>0</v>
      </c>
      <c r="I80" s="16">
        <f>'5201-510 Uniform'!I5</f>
        <v>0</v>
      </c>
      <c r="J80" s="16">
        <f>'5201-510 Uniform'!J5</f>
        <v>0</v>
      </c>
      <c r="K80" s="16">
        <f>'5201-510 Uniform'!K5</f>
        <v>0</v>
      </c>
      <c r="L80" s="16">
        <f>'5201-510 Uniform'!L5</f>
        <v>0</v>
      </c>
      <c r="M80" s="16">
        <f>'5201-510 Uniform'!M5</f>
        <v>0</v>
      </c>
      <c r="N80" s="16">
        <f>'5201-510 Uniform'!N5</f>
        <v>0</v>
      </c>
      <c r="O80" s="17">
        <f>'5201-510 Uniform'!O5</f>
        <v>0</v>
      </c>
    </row>
    <row r="81" spans="1:18" x14ac:dyDescent="0.3">
      <c r="A81" s="86"/>
      <c r="B81" s="49" t="s">
        <v>32</v>
      </c>
      <c r="C81" s="16">
        <f>'5201-510 Uniform'!C6</f>
        <v>0</v>
      </c>
      <c r="D81" s="16">
        <f>'5201-510 Uniform'!D6</f>
        <v>0</v>
      </c>
      <c r="E81" s="16">
        <f>'5201-510 Uniform'!E6</f>
        <v>0</v>
      </c>
      <c r="F81" s="16">
        <f>'5201-510 Uniform'!F6</f>
        <v>1593.8</v>
      </c>
      <c r="G81" s="16">
        <f>'5201-510 Uniform'!G6</f>
        <v>0</v>
      </c>
      <c r="H81" s="16">
        <f>'5201-510 Uniform'!H6</f>
        <v>0</v>
      </c>
      <c r="I81" s="16">
        <f>'5201-510 Uniform'!I6</f>
        <v>0</v>
      </c>
      <c r="J81" s="16">
        <f>'5201-510 Uniform'!J6</f>
        <v>93.76</v>
      </c>
      <c r="K81" s="16">
        <f>'5201-510 Uniform'!K6</f>
        <v>0</v>
      </c>
      <c r="L81" s="16">
        <f>'5201-510 Uniform'!L6</f>
        <v>0</v>
      </c>
      <c r="M81" s="16">
        <f>'5201-510 Uniform'!M6</f>
        <v>0</v>
      </c>
      <c r="N81" s="16">
        <f>'5201-510 Uniform'!N6</f>
        <v>0</v>
      </c>
      <c r="O81" s="17">
        <f>'5201-510 Uniform'!O6</f>
        <v>1687.56</v>
      </c>
    </row>
    <row r="82" spans="1:18" x14ac:dyDescent="0.3">
      <c r="A82" s="86" t="s">
        <v>51</v>
      </c>
      <c r="B82" s="49" t="s">
        <v>21</v>
      </c>
      <c r="C82" s="16">
        <f>'5201-510 Uniform'!C7</f>
        <v>0</v>
      </c>
      <c r="D82" s="16">
        <f>'5201-510 Uniform'!D7</f>
        <v>0</v>
      </c>
      <c r="E82" s="16">
        <f>'5201-510 Uniform'!E7</f>
        <v>0</v>
      </c>
      <c r="F82" s="16">
        <f>'5201-510 Uniform'!F7</f>
        <v>-1593.8</v>
      </c>
      <c r="G82" s="16">
        <f>'5201-510 Uniform'!G7</f>
        <v>0</v>
      </c>
      <c r="H82" s="16">
        <f>'5201-510 Uniform'!H7</f>
        <v>0</v>
      </c>
      <c r="I82" s="16">
        <f>'5201-510 Uniform'!I7</f>
        <v>0</v>
      </c>
      <c r="J82" s="16">
        <f>'5201-510 Uniform'!J7</f>
        <v>-93.76</v>
      </c>
      <c r="K82" s="16">
        <f>'5201-510 Uniform'!K7</f>
        <v>0</v>
      </c>
      <c r="L82" s="16">
        <f>'5201-510 Uniform'!L7</f>
        <v>0</v>
      </c>
      <c r="M82" s="16">
        <f>'5201-510 Uniform'!M7</f>
        <v>0</v>
      </c>
      <c r="N82" s="16">
        <f>'5201-510 Uniform'!N7</f>
        <v>0</v>
      </c>
      <c r="O82" s="17">
        <f>'5201-510 Uniform'!O7</f>
        <v>-1687.56</v>
      </c>
    </row>
    <row r="83" spans="1:18" x14ac:dyDescent="0.3">
      <c r="A83" s="86"/>
      <c r="B83" s="50" t="s">
        <v>23</v>
      </c>
      <c r="C83" s="16">
        <f>'5201-510 Uniform'!C8</f>
        <v>0</v>
      </c>
      <c r="D83" s="16">
        <f>'5201-510 Uniform'!D8</f>
        <v>0</v>
      </c>
      <c r="E83" s="16">
        <f>'5201-510 Uniform'!E8</f>
        <v>0</v>
      </c>
      <c r="F83" s="16">
        <f>'5201-510 Uniform'!F8</f>
        <v>1593.8</v>
      </c>
      <c r="G83" s="16">
        <f>'5201-510 Uniform'!G8</f>
        <v>1593.8</v>
      </c>
      <c r="H83" s="16">
        <f>'5201-510 Uniform'!H8</f>
        <v>1593.8</v>
      </c>
      <c r="I83" s="16">
        <f>'5201-510 Uniform'!I8</f>
        <v>1593.8</v>
      </c>
      <c r="J83" s="16">
        <f>'5201-510 Uniform'!J8</f>
        <v>1687.56</v>
      </c>
      <c r="K83" s="16">
        <f>'5201-510 Uniform'!K8</f>
        <v>1687.56</v>
      </c>
      <c r="L83" s="16">
        <f>'5201-510 Uniform'!L8</f>
        <v>1687.56</v>
      </c>
      <c r="M83" s="16">
        <f>'5201-510 Uniform'!M8</f>
        <v>1687.56</v>
      </c>
      <c r="N83" s="16">
        <f>'5201-510 Uniform'!N8</f>
        <v>1687.56</v>
      </c>
      <c r="O83" s="17">
        <f>'5201-510 Uniform'!O8</f>
        <v>1687.56</v>
      </c>
    </row>
    <row r="84" spans="1:18" x14ac:dyDescent="0.3">
      <c r="A84" s="87"/>
      <c r="B84" s="51" t="s">
        <v>25</v>
      </c>
      <c r="C84" s="26">
        <f>'5201-510 Uniform'!C9</f>
        <v>0</v>
      </c>
      <c r="D84" s="26">
        <f>'5201-510 Uniform'!D9</f>
        <v>0</v>
      </c>
      <c r="E84" s="26">
        <f>'5201-510 Uniform'!E9</f>
        <v>0</v>
      </c>
      <c r="F84" s="26">
        <f>'5201-510 Uniform'!F9</f>
        <v>-1593.8</v>
      </c>
      <c r="G84" s="26">
        <f>'5201-510 Uniform'!G9</f>
        <v>-1593.8</v>
      </c>
      <c r="H84" s="26">
        <f>'5201-510 Uniform'!H9</f>
        <v>-1593.8</v>
      </c>
      <c r="I84" s="26">
        <f>'5201-510 Uniform'!I9</f>
        <v>-1593.8</v>
      </c>
      <c r="J84" s="26">
        <f>'5201-510 Uniform'!J9</f>
        <v>-1687.56</v>
      </c>
      <c r="K84" s="26">
        <f>'5201-510 Uniform'!K9</f>
        <v>-1687.56</v>
      </c>
      <c r="L84" s="26">
        <f>'5201-510 Uniform'!L9</f>
        <v>-1687.56</v>
      </c>
      <c r="M84" s="26">
        <f>'5201-510 Uniform'!M9</f>
        <v>-1687.56</v>
      </c>
      <c r="N84" s="26">
        <f>'5201-510 Uniform'!N9</f>
        <v>-1687.56</v>
      </c>
      <c r="O84" s="24">
        <f>'5201-510 Uniform'!O9</f>
        <v>0</v>
      </c>
    </row>
    <row r="85" spans="1:18" x14ac:dyDescent="0.3">
      <c r="O85" s="37"/>
    </row>
    <row r="86" spans="1:18" x14ac:dyDescent="0.3">
      <c r="A86" s="85" t="s">
        <v>52</v>
      </c>
      <c r="B86" s="57" t="s">
        <v>16</v>
      </c>
      <c r="C86" s="14">
        <f>'5203-510 Furnishings'!C3</f>
        <v>3692.5</v>
      </c>
      <c r="D86" s="14">
        <f>'5203-510 Furnishings'!D3</f>
        <v>0</v>
      </c>
      <c r="E86" s="14">
        <f>'5203-510 Furnishings'!E3</f>
        <v>0</v>
      </c>
      <c r="F86" s="14">
        <f>'5203-510 Furnishings'!F3</f>
        <v>0</v>
      </c>
      <c r="G86" s="14">
        <f>'5203-510 Furnishings'!G3</f>
        <v>0</v>
      </c>
      <c r="H86" s="14">
        <f>'5203-510 Furnishings'!H3</f>
        <v>0</v>
      </c>
      <c r="I86" s="14">
        <f>'5203-510 Furnishings'!I3</f>
        <v>0</v>
      </c>
      <c r="J86" s="14">
        <f>'5203-510 Furnishings'!J3</f>
        <v>0</v>
      </c>
      <c r="K86" s="14">
        <f>'5203-510 Furnishings'!K3</f>
        <v>0</v>
      </c>
      <c r="L86" s="14">
        <f>'5203-510 Furnishings'!L3</f>
        <v>0</v>
      </c>
      <c r="M86" s="14">
        <f>'5203-510 Furnishings'!M3</f>
        <v>0</v>
      </c>
      <c r="N86" s="14">
        <f>'5203-510 Furnishings'!N3</f>
        <v>0</v>
      </c>
      <c r="O86" s="17">
        <f>'5203-510 Furnishings'!O3</f>
        <v>0</v>
      </c>
      <c r="R86" t="s">
        <v>53</v>
      </c>
    </row>
    <row r="87" spans="1:18" x14ac:dyDescent="0.3">
      <c r="A87" s="86"/>
      <c r="B87" s="50" t="s">
        <v>29</v>
      </c>
      <c r="C87" s="16">
        <f>'5203-510 Furnishings'!C4</f>
        <v>38895.53</v>
      </c>
      <c r="D87" s="16">
        <f>'5203-510 Furnishings'!D4</f>
        <v>0</v>
      </c>
      <c r="E87" s="16">
        <f>'5203-510 Furnishings'!E4</f>
        <v>0</v>
      </c>
      <c r="F87" s="16">
        <f>'5203-510 Furnishings'!F4</f>
        <v>236.17</v>
      </c>
      <c r="G87" s="16">
        <f>'5203-510 Furnishings'!G4</f>
        <v>0</v>
      </c>
      <c r="H87" s="16">
        <f>'5203-510 Furnishings'!H4</f>
        <v>0</v>
      </c>
      <c r="I87" s="16">
        <f>'5203-510 Furnishings'!I4</f>
        <v>0</v>
      </c>
      <c r="J87" s="16">
        <f>'5203-510 Furnishings'!J4</f>
        <v>0</v>
      </c>
      <c r="K87" s="16">
        <f>'5203-510 Furnishings'!K4</f>
        <v>0</v>
      </c>
      <c r="L87" s="16">
        <f>'5203-510 Furnishings'!L4</f>
        <v>0</v>
      </c>
      <c r="M87" s="16">
        <f>'5203-510 Furnishings'!M4</f>
        <v>0</v>
      </c>
      <c r="N87" s="16">
        <f>'5203-510 Furnishings'!N4</f>
        <v>0</v>
      </c>
      <c r="O87" s="17">
        <f>'5203-510 Furnishings'!O4</f>
        <v>39131.699999999997</v>
      </c>
      <c r="Q87" s="33">
        <f>O87-O86</f>
        <v>39131.699999999997</v>
      </c>
      <c r="R87" t="s">
        <v>54</v>
      </c>
    </row>
    <row r="88" spans="1:18" x14ac:dyDescent="0.3">
      <c r="A88" s="86"/>
      <c r="B88" s="49" t="s">
        <v>31</v>
      </c>
      <c r="C88" s="16">
        <f>'5203-510 Furnishings'!C5</f>
        <v>0</v>
      </c>
      <c r="D88" s="16">
        <f>'5203-510 Furnishings'!D5</f>
        <v>0</v>
      </c>
      <c r="E88" s="16">
        <f>'5203-510 Furnishings'!E5</f>
        <v>0</v>
      </c>
      <c r="F88" s="16">
        <f>'5203-510 Furnishings'!F5</f>
        <v>0</v>
      </c>
      <c r="G88" s="16">
        <f>'5203-510 Furnishings'!G5</f>
        <v>0</v>
      </c>
      <c r="H88" s="16">
        <f>'5203-510 Furnishings'!H5</f>
        <v>0</v>
      </c>
      <c r="I88" s="16">
        <f>'5203-510 Furnishings'!I5</f>
        <v>0</v>
      </c>
      <c r="J88" s="16">
        <f>'5203-510 Furnishings'!J5</f>
        <v>0</v>
      </c>
      <c r="K88" s="16">
        <f>'5203-510 Furnishings'!K5</f>
        <v>0</v>
      </c>
      <c r="L88" s="16">
        <f>'5203-510 Furnishings'!L5</f>
        <v>0</v>
      </c>
      <c r="M88" s="16">
        <f>'5203-510 Furnishings'!M5</f>
        <v>0</v>
      </c>
      <c r="N88" s="16">
        <f>'5203-510 Furnishings'!N5</f>
        <v>0</v>
      </c>
      <c r="O88" s="17">
        <f>'5203-510 Furnishings'!O5</f>
        <v>0</v>
      </c>
    </row>
    <row r="89" spans="1:18" x14ac:dyDescent="0.3">
      <c r="A89" s="86"/>
      <c r="B89" s="49" t="s">
        <v>32</v>
      </c>
      <c r="C89" s="16">
        <f>'5203-510 Furnishings'!C6</f>
        <v>0</v>
      </c>
      <c r="D89" s="16">
        <f>'5203-510 Furnishings'!D6</f>
        <v>0</v>
      </c>
      <c r="E89" s="16">
        <f>'5203-510 Furnishings'!E6</f>
        <v>40709.160000000003</v>
      </c>
      <c r="F89" s="16">
        <f>'5203-510 Furnishings'!F6</f>
        <v>3858.19</v>
      </c>
      <c r="G89" s="16">
        <f>'5203-510 Furnishings'!G6</f>
        <v>243.55</v>
      </c>
      <c r="H89" s="16">
        <f>'5203-510 Furnishings'!H6</f>
        <v>0</v>
      </c>
      <c r="I89" s="16">
        <f>'5203-510 Furnishings'!I6</f>
        <v>54.69</v>
      </c>
      <c r="J89" s="16">
        <f>'5203-510 Furnishings'!J6</f>
        <v>28.26</v>
      </c>
      <c r="K89" s="16">
        <f>'5203-510 Furnishings'!K6</f>
        <v>56.69</v>
      </c>
      <c r="L89" s="16">
        <f>'5203-510 Furnishings'!L6</f>
        <v>0</v>
      </c>
      <c r="M89" s="16">
        <f>'5203-510 Furnishings'!M6</f>
        <v>0</v>
      </c>
      <c r="N89" s="16">
        <f>'5203-510 Furnishings'!N6</f>
        <v>0</v>
      </c>
      <c r="O89" s="17">
        <f>'5203-510 Furnishings'!O6</f>
        <v>44950.54</v>
      </c>
    </row>
    <row r="90" spans="1:18" ht="28.8" x14ac:dyDescent="0.3">
      <c r="A90" s="86" t="s">
        <v>55</v>
      </c>
      <c r="B90" s="49" t="s">
        <v>21</v>
      </c>
      <c r="C90" s="16">
        <f>'5203-510 Furnishings'!C7</f>
        <v>0</v>
      </c>
      <c r="D90" s="16">
        <f>'5203-510 Furnishings'!D7</f>
        <v>0</v>
      </c>
      <c r="E90" s="16">
        <f>'5203-510 Furnishings'!E7</f>
        <v>-40709.160000000003</v>
      </c>
      <c r="F90" s="16">
        <f>'5203-510 Furnishings'!F7</f>
        <v>-3858.19</v>
      </c>
      <c r="G90" s="16">
        <f>'5203-510 Furnishings'!G7</f>
        <v>-243.55</v>
      </c>
      <c r="H90" s="16">
        <f>'5203-510 Furnishings'!H7</f>
        <v>0</v>
      </c>
      <c r="I90" s="16">
        <f>'5203-510 Furnishings'!I7</f>
        <v>-54.69</v>
      </c>
      <c r="J90" s="16">
        <f>'5203-510 Furnishings'!J7</f>
        <v>-28.26</v>
      </c>
      <c r="K90" s="16">
        <f>'5203-510 Furnishings'!K7</f>
        <v>-56.69</v>
      </c>
      <c r="L90" s="16">
        <f>'5203-510 Furnishings'!L7</f>
        <v>0</v>
      </c>
      <c r="M90" s="16">
        <f>'5203-510 Furnishings'!M7</f>
        <v>0</v>
      </c>
      <c r="N90" s="16">
        <f>'5203-510 Furnishings'!N7</f>
        <v>0</v>
      </c>
      <c r="O90" s="17">
        <f>'5203-510 Furnishings'!O7</f>
        <v>-44950.54</v>
      </c>
    </row>
    <row r="91" spans="1:18" x14ac:dyDescent="0.3">
      <c r="A91" s="86"/>
      <c r="B91" s="50" t="s">
        <v>23</v>
      </c>
      <c r="C91" s="16">
        <f>'5203-510 Furnishings'!C8</f>
        <v>0</v>
      </c>
      <c r="D91" s="16">
        <f>'5203-510 Furnishings'!D8</f>
        <v>0</v>
      </c>
      <c r="E91" s="16">
        <f>'5203-510 Furnishings'!E8</f>
        <v>40709.160000000003</v>
      </c>
      <c r="F91" s="16">
        <f>'5203-510 Furnishings'!F8</f>
        <v>44567.350000000006</v>
      </c>
      <c r="G91" s="16">
        <f>'5203-510 Furnishings'!G8</f>
        <v>44810.900000000009</v>
      </c>
      <c r="H91" s="16">
        <f>'5203-510 Furnishings'!H8</f>
        <v>44810.900000000009</v>
      </c>
      <c r="I91" s="16">
        <f>'5203-510 Furnishings'!I8</f>
        <v>44865.590000000011</v>
      </c>
      <c r="J91" s="16">
        <f>'5203-510 Furnishings'!J8</f>
        <v>44893.850000000013</v>
      </c>
      <c r="K91" s="16">
        <f>'5203-510 Furnishings'!K8</f>
        <v>44950.540000000015</v>
      </c>
      <c r="L91" s="16">
        <f>'5203-510 Furnishings'!L8</f>
        <v>44950.540000000015</v>
      </c>
      <c r="M91" s="16">
        <f>'5203-510 Furnishings'!M8</f>
        <v>44950.540000000015</v>
      </c>
      <c r="N91" s="16">
        <f>'5203-510 Furnishings'!N8</f>
        <v>44950.540000000015</v>
      </c>
      <c r="O91" s="17">
        <f>'5203-510 Furnishings'!O8</f>
        <v>44950.54</v>
      </c>
    </row>
    <row r="92" spans="1:18" x14ac:dyDescent="0.3">
      <c r="A92" s="87"/>
      <c r="B92" s="51" t="s">
        <v>25</v>
      </c>
      <c r="C92" s="26">
        <f>'5203-510 Furnishings'!C9</f>
        <v>0</v>
      </c>
      <c r="D92" s="26">
        <f>'5203-510 Furnishings'!D9</f>
        <v>0</v>
      </c>
      <c r="E92" s="26">
        <f>'5203-510 Furnishings'!E9</f>
        <v>-40709.160000000003</v>
      </c>
      <c r="F92" s="26">
        <f>'5203-510 Furnishings'!F9</f>
        <v>-44567.350000000006</v>
      </c>
      <c r="G92" s="26">
        <f>'5203-510 Furnishings'!G9</f>
        <v>-44810.900000000009</v>
      </c>
      <c r="H92" s="26">
        <f>'5203-510 Furnishings'!H9</f>
        <v>-44810.900000000009</v>
      </c>
      <c r="I92" s="26">
        <f>'5203-510 Furnishings'!I9</f>
        <v>-44865.590000000011</v>
      </c>
      <c r="J92" s="26">
        <f>'5203-510 Furnishings'!J9</f>
        <v>-44893.850000000013</v>
      </c>
      <c r="K92" s="26">
        <f>'5203-510 Furnishings'!K9</f>
        <v>-44950.540000000015</v>
      </c>
      <c r="L92" s="26">
        <f>'5203-510 Furnishings'!L9</f>
        <v>-44950.540000000015</v>
      </c>
      <c r="M92" s="26">
        <f>'5203-510 Furnishings'!M9</f>
        <v>-44950.540000000015</v>
      </c>
      <c r="N92" s="26">
        <f>'5203-510 Furnishings'!N9</f>
        <v>-44950.540000000015</v>
      </c>
      <c r="O92" s="24">
        <f>'5203-510 Furnishings'!O9</f>
        <v>0</v>
      </c>
    </row>
    <row r="93" spans="1:18" x14ac:dyDescent="0.3">
      <c r="A93" s="88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5" spans="1:18" x14ac:dyDescent="0.3">
      <c r="A95" s="85" t="s">
        <v>56</v>
      </c>
      <c r="B95" s="57" t="s">
        <v>16</v>
      </c>
      <c r="C95" s="14">
        <f>'5312-510 General Contracted '!C3</f>
        <v>0</v>
      </c>
      <c r="D95" s="14">
        <f>'5312-510 General Contracted '!D3</f>
        <v>0</v>
      </c>
      <c r="E95" s="14">
        <f>'5312-510 General Contracted '!E3</f>
        <v>0</v>
      </c>
      <c r="F95" s="14">
        <f>'5312-510 General Contracted '!F3</f>
        <v>0</v>
      </c>
      <c r="G95" s="14">
        <f>'5312-510 General Contracted '!G3</f>
        <v>0</v>
      </c>
      <c r="H95" s="14">
        <f>'5312-510 General Contracted '!H3</f>
        <v>0</v>
      </c>
      <c r="I95" s="14">
        <f>'5312-510 General Contracted '!I3</f>
        <v>0</v>
      </c>
      <c r="J95" s="14">
        <f>'5312-510 General Contracted '!J3</f>
        <v>0</v>
      </c>
      <c r="K95" s="14">
        <f>'5312-510 General Contracted '!K3</f>
        <v>10240</v>
      </c>
      <c r="L95" s="14">
        <f>'5312-510 General Contracted '!L3</f>
        <v>10933.35</v>
      </c>
      <c r="M95" s="14">
        <f>'5312-510 General Contracted '!M3</f>
        <v>0</v>
      </c>
      <c r="N95" s="14">
        <f>'5312-510 General Contracted '!N3</f>
        <v>0</v>
      </c>
      <c r="O95" s="15">
        <f>'5312-510 General Contracted '!O3</f>
        <v>21173.35</v>
      </c>
    </row>
    <row r="96" spans="1:18" x14ac:dyDescent="0.3">
      <c r="A96" s="86"/>
      <c r="B96" s="50" t="s">
        <v>29</v>
      </c>
      <c r="C96" s="16">
        <f>'5312-510 General Contracted '!C4</f>
        <v>0</v>
      </c>
      <c r="D96" s="16">
        <f>'5312-510 General Contracted '!D4</f>
        <v>0</v>
      </c>
      <c r="E96" s="16">
        <f>'5312-510 General Contracted '!E4</f>
        <v>0</v>
      </c>
      <c r="F96" s="16">
        <f>'5312-510 General Contracted '!F4</f>
        <v>0</v>
      </c>
      <c r="G96" s="16">
        <f>'5312-510 General Contracted '!G4</f>
        <v>0</v>
      </c>
      <c r="H96" s="16">
        <f>'5312-510 General Contracted '!H4</f>
        <v>0</v>
      </c>
      <c r="I96" s="16">
        <f>'5312-510 General Contracted '!I4</f>
        <v>0</v>
      </c>
      <c r="J96" s="16">
        <f>'5312-510 General Contracted '!J4</f>
        <v>0</v>
      </c>
      <c r="K96" s="16">
        <f>'5312-510 General Contracted '!K4</f>
        <v>0</v>
      </c>
      <c r="L96" s="16">
        <f>'5312-510 General Contracted '!L4</f>
        <v>0</v>
      </c>
      <c r="M96" s="16">
        <f>'5312-510 General Contracted '!M4</f>
        <v>0</v>
      </c>
      <c r="N96" s="16">
        <f>'5312-510 General Contracted '!N4</f>
        <v>0</v>
      </c>
      <c r="O96" s="17">
        <f>'5312-510 General Contracted '!O4</f>
        <v>0</v>
      </c>
      <c r="Q96" s="33">
        <f>O96-O95</f>
        <v>-21173.35</v>
      </c>
    </row>
    <row r="97" spans="1:18" x14ac:dyDescent="0.3">
      <c r="A97" s="86"/>
      <c r="B97" s="49" t="s">
        <v>31</v>
      </c>
      <c r="C97" s="16">
        <f>'5312-510 General Contracted '!C5</f>
        <v>0</v>
      </c>
      <c r="D97" s="16">
        <f>'5312-510 General Contracted '!D5</f>
        <v>0</v>
      </c>
      <c r="E97" s="16">
        <f>'5312-510 General Contracted '!E5</f>
        <v>0</v>
      </c>
      <c r="F97" s="16">
        <f>'5312-510 General Contracted '!F5</f>
        <v>0</v>
      </c>
      <c r="G97" s="16">
        <f>'5312-510 General Contracted '!G5</f>
        <v>0</v>
      </c>
      <c r="H97" s="16">
        <f>'5312-510 General Contracted '!H5</f>
        <v>0</v>
      </c>
      <c r="I97" s="16">
        <f>'5312-510 General Contracted '!I5</f>
        <v>0</v>
      </c>
      <c r="J97" s="16">
        <f>'5312-510 General Contracted '!J5</f>
        <v>0</v>
      </c>
      <c r="K97" s="16">
        <f>'5312-510 General Contracted '!K5</f>
        <v>0</v>
      </c>
      <c r="L97" s="16">
        <f>'5312-510 General Contracted '!L5</f>
        <v>0</v>
      </c>
      <c r="M97" s="16">
        <f>'5312-510 General Contracted '!M5</f>
        <v>0</v>
      </c>
      <c r="N97" s="16">
        <f>'5312-510 General Contracted '!N5</f>
        <v>0</v>
      </c>
      <c r="O97" s="17">
        <f>'5312-510 General Contracted '!O5</f>
        <v>0</v>
      </c>
    </row>
    <row r="98" spans="1:18" x14ac:dyDescent="0.3">
      <c r="A98" s="86"/>
      <c r="B98" s="49" t="s">
        <v>32</v>
      </c>
      <c r="C98" s="16">
        <f>'5312-510 General Contracted '!C6</f>
        <v>0</v>
      </c>
      <c r="D98" s="16">
        <f>'5312-510 General Contracted '!D6</f>
        <v>0</v>
      </c>
      <c r="E98" s="16">
        <f>'5312-510 General Contracted '!E6</f>
        <v>0</v>
      </c>
      <c r="F98" s="16">
        <f>'5312-510 General Contracted '!F6</f>
        <v>0</v>
      </c>
      <c r="G98" s="16">
        <f>'5312-510 General Contracted '!G6</f>
        <v>0</v>
      </c>
      <c r="H98" s="16">
        <f>'5312-510 General Contracted '!H6</f>
        <v>0</v>
      </c>
      <c r="I98" s="16">
        <f>'5312-510 General Contracted '!I6</f>
        <v>0</v>
      </c>
      <c r="J98" s="16">
        <f>'5312-510 General Contracted '!J6</f>
        <v>0</v>
      </c>
      <c r="K98" s="16">
        <f>'5312-510 General Contracted '!K6</f>
        <v>0</v>
      </c>
      <c r="L98" s="16">
        <f>'5312-510 General Contracted '!L6</f>
        <v>0</v>
      </c>
      <c r="M98" s="16">
        <f>'5312-510 General Contracted '!M6</f>
        <v>0</v>
      </c>
      <c r="N98" s="16">
        <f>'5312-510 General Contracted '!N6</f>
        <v>0</v>
      </c>
      <c r="O98" s="17">
        <f>'5312-510 General Contracted '!O6</f>
        <v>0</v>
      </c>
    </row>
    <row r="99" spans="1:18" x14ac:dyDescent="0.3">
      <c r="A99" s="86"/>
      <c r="B99" s="49" t="s">
        <v>21</v>
      </c>
      <c r="C99" s="16">
        <f>'5312-510 General Contracted '!C7</f>
        <v>0</v>
      </c>
      <c r="D99" s="16">
        <f>'5312-510 General Contracted '!D7</f>
        <v>0</v>
      </c>
      <c r="E99" s="16">
        <f>'5312-510 General Contracted '!E7</f>
        <v>0</v>
      </c>
      <c r="F99" s="16">
        <f>'5312-510 General Contracted '!F7</f>
        <v>0</v>
      </c>
      <c r="G99" s="16">
        <f>'5312-510 General Contracted '!G7</f>
        <v>0</v>
      </c>
      <c r="H99" s="16">
        <f>'5312-510 General Contracted '!H7</f>
        <v>0</v>
      </c>
      <c r="I99" s="16">
        <f>'5312-510 General Contracted '!I7</f>
        <v>0</v>
      </c>
      <c r="J99" s="16">
        <f>'5312-510 General Contracted '!J7</f>
        <v>0</v>
      </c>
      <c r="K99" s="16">
        <f>'5312-510 General Contracted '!K7</f>
        <v>0</v>
      </c>
      <c r="L99" s="16">
        <f>'5312-510 General Contracted '!L7</f>
        <v>0</v>
      </c>
      <c r="M99" s="16">
        <f>'5312-510 General Contracted '!M7</f>
        <v>0</v>
      </c>
      <c r="N99" s="16">
        <f>'5312-510 General Contracted '!N7</f>
        <v>0</v>
      </c>
      <c r="O99" s="17">
        <f>'5312-510 General Contracted '!O7</f>
        <v>0</v>
      </c>
    </row>
    <row r="100" spans="1:18" x14ac:dyDescent="0.3">
      <c r="A100" s="84" t="s">
        <v>57</v>
      </c>
      <c r="B100" s="50" t="s">
        <v>23</v>
      </c>
      <c r="C100" s="16">
        <f>'5312-510 General Contracted '!C8</f>
        <v>0</v>
      </c>
      <c r="D100" s="16">
        <f>'5312-510 General Contracted '!D8</f>
        <v>0</v>
      </c>
      <c r="E100" s="16">
        <f>'5312-510 General Contracted '!E8</f>
        <v>0</v>
      </c>
      <c r="F100" s="16">
        <f>'5312-510 General Contracted '!F8</f>
        <v>0</v>
      </c>
      <c r="G100" s="16">
        <f>'5312-510 General Contracted '!G8</f>
        <v>0</v>
      </c>
      <c r="H100" s="16">
        <f>'5312-510 General Contracted '!H8</f>
        <v>0</v>
      </c>
      <c r="I100" s="16">
        <f>'5312-510 General Contracted '!I8</f>
        <v>0</v>
      </c>
      <c r="J100" s="16">
        <f>'5312-510 General Contracted '!J8</f>
        <v>0</v>
      </c>
      <c r="K100" s="16">
        <f>'5312-510 General Contracted '!K8</f>
        <v>0</v>
      </c>
      <c r="L100" s="16">
        <f>'5312-510 General Contracted '!L8</f>
        <v>0</v>
      </c>
      <c r="M100" s="16">
        <f>'5312-510 General Contracted '!M8</f>
        <v>0</v>
      </c>
      <c r="N100" s="16">
        <f>'5312-510 General Contracted '!N8</f>
        <v>0</v>
      </c>
      <c r="O100" s="17">
        <f>'5312-510 General Contracted '!O8</f>
        <v>0</v>
      </c>
    </row>
    <row r="101" spans="1:18" x14ac:dyDescent="0.3">
      <c r="A101" s="93"/>
      <c r="B101" s="51" t="s">
        <v>25</v>
      </c>
      <c r="C101" s="26">
        <f>'5312-510 General Contracted '!C9</f>
        <v>0</v>
      </c>
      <c r="D101" s="26">
        <f>'5312-510 General Contracted '!D9</f>
        <v>0</v>
      </c>
      <c r="E101" s="26">
        <f>'5312-510 General Contracted '!E9</f>
        <v>0</v>
      </c>
      <c r="F101" s="26">
        <f>'5312-510 General Contracted '!F9</f>
        <v>0</v>
      </c>
      <c r="G101" s="26">
        <f>'5312-510 General Contracted '!G9</f>
        <v>0</v>
      </c>
      <c r="H101" s="26">
        <f>'5312-510 General Contracted '!H9</f>
        <v>0</v>
      </c>
      <c r="I101" s="26">
        <f>'5312-510 General Contracted '!I9</f>
        <v>0</v>
      </c>
      <c r="J101" s="26">
        <f>'5312-510 General Contracted '!J9</f>
        <v>0</v>
      </c>
      <c r="K101" s="26">
        <f>'5312-510 General Contracted '!K9</f>
        <v>0</v>
      </c>
      <c r="L101" s="26">
        <f>'5312-510 General Contracted '!L9</f>
        <v>0</v>
      </c>
      <c r="M101" s="26">
        <f>'5312-510 General Contracted '!M9</f>
        <v>0</v>
      </c>
      <c r="N101" s="26">
        <f>'5312-510 General Contracted '!N9</f>
        <v>0</v>
      </c>
      <c r="O101" s="24">
        <f>'5312-510 General Contracted '!O9</f>
        <v>0</v>
      </c>
    </row>
    <row r="103" spans="1:18" x14ac:dyDescent="0.3">
      <c r="A103" s="85" t="s">
        <v>58</v>
      </c>
      <c r="B103" s="57" t="s">
        <v>16</v>
      </c>
      <c r="C103" s="14">
        <f>'5313-510 Telecommunications'!C3</f>
        <v>216.67</v>
      </c>
      <c r="D103" s="14">
        <f>'5313-510 Telecommunications'!D3</f>
        <v>216.67</v>
      </c>
      <c r="E103" s="14">
        <f>'5313-510 Telecommunications'!E3</f>
        <v>216.67</v>
      </c>
      <c r="F103" s="14">
        <f>'5313-510 Telecommunications'!F3</f>
        <v>216.67</v>
      </c>
      <c r="G103" s="14">
        <f>'5313-510 Telecommunications'!G3</f>
        <v>216.67</v>
      </c>
      <c r="H103" s="14">
        <f>'5313-510 Telecommunications'!H3</f>
        <v>216.67</v>
      </c>
      <c r="I103" s="14">
        <f>'5313-510 Telecommunications'!I3</f>
        <v>216.67</v>
      </c>
      <c r="J103" s="14">
        <f>'5313-510 Telecommunications'!J3</f>
        <v>216.67</v>
      </c>
      <c r="K103" s="14">
        <f>'5313-510 Telecommunications'!K3</f>
        <v>216.67</v>
      </c>
      <c r="L103" s="14">
        <f>'5313-510 Telecommunications'!L3</f>
        <v>216.67</v>
      </c>
      <c r="M103" s="14">
        <f>'5313-510 Telecommunications'!M3</f>
        <v>216.67</v>
      </c>
      <c r="N103" s="14">
        <f>'5313-510 Telecommunications'!N3</f>
        <v>216.67</v>
      </c>
      <c r="O103" s="15">
        <f>'5313-510 Telecommunications'!O3</f>
        <v>2600.0400000000004</v>
      </c>
    </row>
    <row r="104" spans="1:18" x14ac:dyDescent="0.3">
      <c r="A104" s="86"/>
      <c r="B104" s="50" t="s">
        <v>29</v>
      </c>
      <c r="C104" s="16">
        <f>'5313-510 Telecommunications'!C4</f>
        <v>216.67</v>
      </c>
      <c r="D104" s="16">
        <f>'5313-510 Telecommunications'!D4</f>
        <v>216.67</v>
      </c>
      <c r="E104" s="16">
        <f>'5313-510 Telecommunications'!E4</f>
        <v>216.67</v>
      </c>
      <c r="F104" s="16">
        <f>'5313-510 Telecommunications'!F4</f>
        <v>216.67</v>
      </c>
      <c r="G104" s="16">
        <f>'5313-510 Telecommunications'!G4</f>
        <v>216.67</v>
      </c>
      <c r="H104" s="16">
        <f>'5313-510 Telecommunications'!H4</f>
        <v>216.67</v>
      </c>
      <c r="I104" s="16">
        <f>'5313-510 Telecommunications'!I4</f>
        <v>216.67</v>
      </c>
      <c r="J104" s="16">
        <f>'5313-510 Telecommunications'!J4</f>
        <v>216.67</v>
      </c>
      <c r="K104" s="16">
        <f>'5313-510 Telecommunications'!K4</f>
        <v>216.67</v>
      </c>
      <c r="L104" s="16">
        <f>'5313-510 Telecommunications'!L4</f>
        <v>216.67</v>
      </c>
      <c r="M104" s="16">
        <f>'5313-510 Telecommunications'!M4</f>
        <v>216.67</v>
      </c>
      <c r="N104" s="16">
        <f>'5313-510 Telecommunications'!N4</f>
        <v>216.67</v>
      </c>
      <c r="O104" s="17">
        <f>'5313-510 Telecommunications'!O4</f>
        <v>2600.0400000000004</v>
      </c>
      <c r="Q104" s="33">
        <f>O104-O103</f>
        <v>0</v>
      </c>
      <c r="R104" t="s">
        <v>59</v>
      </c>
    </row>
    <row r="105" spans="1:18" x14ac:dyDescent="0.3">
      <c r="A105" s="86"/>
      <c r="B105" s="49" t="s">
        <v>31</v>
      </c>
      <c r="C105" s="16">
        <f>'5313-510 Telecommunications'!C5</f>
        <v>216.67</v>
      </c>
      <c r="D105" s="16">
        <f>'5313-510 Telecommunications'!D5</f>
        <v>216.67</v>
      </c>
      <c r="E105" s="16">
        <f>'5313-510 Telecommunications'!E5</f>
        <v>216.67</v>
      </c>
      <c r="F105" s="16">
        <f>'5313-510 Telecommunications'!F5</f>
        <v>216.67</v>
      </c>
      <c r="G105" s="16">
        <f>'5313-510 Telecommunications'!G5</f>
        <v>216.67</v>
      </c>
      <c r="H105" s="16">
        <f>'5313-510 Telecommunications'!H5</f>
        <v>216.67</v>
      </c>
      <c r="I105" s="16">
        <f>'5313-510 Telecommunications'!I5</f>
        <v>216.67</v>
      </c>
      <c r="J105" s="16">
        <f>'5313-510 Telecommunications'!J5</f>
        <v>216.67</v>
      </c>
      <c r="K105" s="16">
        <f>'5313-510 Telecommunications'!K5</f>
        <v>216.67</v>
      </c>
      <c r="L105" s="16">
        <f>'5313-510 Telecommunications'!L5</f>
        <v>216.67</v>
      </c>
      <c r="M105" s="16">
        <f>'5313-510 Telecommunications'!M5</f>
        <v>216.67</v>
      </c>
      <c r="N105" s="16">
        <f>'5313-510 Telecommunications'!N5</f>
        <v>216.67</v>
      </c>
      <c r="O105" s="17">
        <f>'5313-510 Telecommunications'!O5</f>
        <v>2600.0400000000004</v>
      </c>
    </row>
    <row r="106" spans="1:18" x14ac:dyDescent="0.3">
      <c r="A106" s="86"/>
      <c r="B106" s="49" t="s">
        <v>32</v>
      </c>
      <c r="C106" s="16">
        <f>'5313-510 Telecommunications'!C6</f>
        <v>0</v>
      </c>
      <c r="D106" s="16">
        <f>'5313-510 Telecommunications'!D6</f>
        <v>0</v>
      </c>
      <c r="E106" s="16">
        <f>'5313-510 Telecommunications'!E6</f>
        <v>0</v>
      </c>
      <c r="F106" s="16">
        <f>'5313-510 Telecommunications'!F6</f>
        <v>0</v>
      </c>
      <c r="G106" s="16">
        <f>'5313-510 Telecommunications'!G6</f>
        <v>0</v>
      </c>
      <c r="H106" s="16">
        <f>'5313-510 Telecommunications'!H6</f>
        <v>0</v>
      </c>
      <c r="I106" s="16">
        <f>'5313-510 Telecommunications'!I6</f>
        <v>0</v>
      </c>
      <c r="J106" s="16">
        <f>'5313-510 Telecommunications'!J6</f>
        <v>0</v>
      </c>
      <c r="K106" s="16">
        <f>'5313-510 Telecommunications'!K6</f>
        <v>0</v>
      </c>
      <c r="L106" s="16">
        <f>'5313-510 Telecommunications'!L6</f>
        <v>0</v>
      </c>
      <c r="M106" s="16">
        <f>'5313-510 Telecommunications'!M6</f>
        <v>0</v>
      </c>
      <c r="N106" s="16">
        <f>'5313-510 Telecommunications'!N6</f>
        <v>0</v>
      </c>
      <c r="O106" s="17">
        <f>'5313-510 Telecommunications'!O6</f>
        <v>0</v>
      </c>
    </row>
    <row r="107" spans="1:18" x14ac:dyDescent="0.3">
      <c r="A107" s="86"/>
      <c r="B107" s="49" t="s">
        <v>21</v>
      </c>
      <c r="C107" s="16">
        <f>'5313-510 Telecommunications'!C7</f>
        <v>216.67</v>
      </c>
      <c r="D107" s="16">
        <f>'5313-510 Telecommunications'!D7</f>
        <v>216.67</v>
      </c>
      <c r="E107" s="16">
        <f>'5313-510 Telecommunications'!E7</f>
        <v>216.67</v>
      </c>
      <c r="F107" s="16">
        <f>'5313-510 Telecommunications'!F7</f>
        <v>216.67</v>
      </c>
      <c r="G107" s="16">
        <f>'5313-510 Telecommunications'!G7</f>
        <v>216.67</v>
      </c>
      <c r="H107" s="16">
        <f>'5313-510 Telecommunications'!H7</f>
        <v>216.67</v>
      </c>
      <c r="I107" s="16">
        <f>'5313-510 Telecommunications'!I7</f>
        <v>216.67</v>
      </c>
      <c r="J107" s="16">
        <f>'5313-510 Telecommunications'!J7</f>
        <v>216.67</v>
      </c>
      <c r="K107" s="16">
        <f>'5313-510 Telecommunications'!K7</f>
        <v>216.67</v>
      </c>
      <c r="L107" s="16">
        <f>'5313-510 Telecommunications'!L7</f>
        <v>216.67</v>
      </c>
      <c r="M107" s="16">
        <f>'5313-510 Telecommunications'!M7</f>
        <v>216.67</v>
      </c>
      <c r="N107" s="16">
        <f>'5313-510 Telecommunications'!N7</f>
        <v>216.67</v>
      </c>
      <c r="O107" s="17">
        <f>'5313-510 Telecommunications'!O7</f>
        <v>2600.0400000000004</v>
      </c>
    </row>
    <row r="108" spans="1:18" x14ac:dyDescent="0.3">
      <c r="A108" s="84" t="s">
        <v>60</v>
      </c>
      <c r="B108" s="50" t="s">
        <v>23</v>
      </c>
      <c r="C108" s="16">
        <f>'5313-510 Telecommunications'!C8</f>
        <v>0</v>
      </c>
      <c r="D108" s="16">
        <f>'5313-510 Telecommunications'!D8</f>
        <v>0</v>
      </c>
      <c r="E108" s="16">
        <f>'5313-510 Telecommunications'!E8</f>
        <v>0</v>
      </c>
      <c r="F108" s="16">
        <f>'5313-510 Telecommunications'!F8</f>
        <v>0</v>
      </c>
      <c r="G108" s="16">
        <f>'5313-510 Telecommunications'!G8</f>
        <v>0</v>
      </c>
      <c r="H108" s="16">
        <f>'5313-510 Telecommunications'!H8</f>
        <v>0</v>
      </c>
      <c r="I108" s="16">
        <f>'5313-510 Telecommunications'!I8</f>
        <v>0</v>
      </c>
      <c r="J108" s="16">
        <f>'5313-510 Telecommunications'!J8</f>
        <v>0</v>
      </c>
      <c r="K108" s="16">
        <f>'5313-510 Telecommunications'!K8</f>
        <v>0</v>
      </c>
      <c r="L108" s="16">
        <f>'5313-510 Telecommunications'!L8</f>
        <v>0</v>
      </c>
      <c r="M108" s="16">
        <f>'5313-510 Telecommunications'!M8</f>
        <v>0</v>
      </c>
      <c r="N108" s="16">
        <f>'5313-510 Telecommunications'!N8</f>
        <v>0</v>
      </c>
      <c r="O108" s="17">
        <f>'5313-510 Telecommunications'!O8</f>
        <v>0</v>
      </c>
    </row>
    <row r="109" spans="1:18" x14ac:dyDescent="0.3">
      <c r="A109" s="93"/>
      <c r="B109" s="51" t="s">
        <v>25</v>
      </c>
      <c r="C109" s="26">
        <f>'5313-510 Telecommunications'!C9</f>
        <v>216.67</v>
      </c>
      <c r="D109" s="26">
        <f>'5313-510 Telecommunications'!D9</f>
        <v>433.34</v>
      </c>
      <c r="E109" s="26">
        <f>'5313-510 Telecommunications'!E9</f>
        <v>650.01</v>
      </c>
      <c r="F109" s="26">
        <f>'5313-510 Telecommunications'!F9</f>
        <v>866.68</v>
      </c>
      <c r="G109" s="26">
        <f>'5313-510 Telecommunications'!G9</f>
        <v>1083.3499999999999</v>
      </c>
      <c r="H109" s="26">
        <f>'5313-510 Telecommunications'!H9</f>
        <v>1300.02</v>
      </c>
      <c r="I109" s="26">
        <f>'5313-510 Telecommunications'!I9</f>
        <v>1516.69</v>
      </c>
      <c r="J109" s="26">
        <f>'5313-510 Telecommunications'!J9</f>
        <v>1733.3600000000001</v>
      </c>
      <c r="K109" s="26">
        <f>'5313-510 Telecommunications'!K9</f>
        <v>1950.0300000000002</v>
      </c>
      <c r="L109" s="26">
        <f>'5313-510 Telecommunications'!L9</f>
        <v>2166.7000000000003</v>
      </c>
      <c r="M109" s="26">
        <f>'5313-510 Telecommunications'!M9</f>
        <v>2383.3700000000003</v>
      </c>
      <c r="N109" s="26">
        <f>'5313-510 Telecommunications'!N9</f>
        <v>2600.0400000000004</v>
      </c>
      <c r="O109" s="24">
        <f>'5313-510 Telecommunications'!O9</f>
        <v>0</v>
      </c>
    </row>
    <row r="111" spans="1:18" ht="28.8" x14ac:dyDescent="0.3">
      <c r="A111" s="85" t="s">
        <v>61</v>
      </c>
      <c r="B111" s="57" t="s">
        <v>16</v>
      </c>
      <c r="C111" s="14">
        <f>'5314-510 Postage &amp; Freight'!C3</f>
        <v>0</v>
      </c>
      <c r="D111" s="14">
        <f>'5314-510 Postage &amp; Freight'!D3</f>
        <v>0</v>
      </c>
      <c r="E111" s="14">
        <f>'5314-510 Postage &amp; Freight'!E3</f>
        <v>0</v>
      </c>
      <c r="F111" s="14">
        <f>'5314-510 Postage &amp; Freight'!F3</f>
        <v>0</v>
      </c>
      <c r="G111" s="14">
        <f>'5314-510 Postage &amp; Freight'!G3</f>
        <v>0</v>
      </c>
      <c r="H111" s="14">
        <f>'5314-510 Postage &amp; Freight'!H3</f>
        <v>0</v>
      </c>
      <c r="I111" s="14">
        <f>'5314-510 Postage &amp; Freight'!I3</f>
        <v>0</v>
      </c>
      <c r="J111" s="14">
        <f>'5314-510 Postage &amp; Freight'!J3</f>
        <v>0</v>
      </c>
      <c r="K111" s="14">
        <f>'5314-510 Postage &amp; Freight'!K3</f>
        <v>734.55000000000007</v>
      </c>
      <c r="L111" s="14">
        <f>'5314-510 Postage &amp; Freight'!L3</f>
        <v>0</v>
      </c>
      <c r="M111" s="14">
        <f>'5314-510 Postage &amp; Freight'!M3</f>
        <v>0</v>
      </c>
      <c r="N111" s="14">
        <f>'5314-510 Postage &amp; Freight'!N3</f>
        <v>0</v>
      </c>
      <c r="O111" s="15">
        <f>'5314-510 Postage &amp; Freight'!O3</f>
        <v>734.55000000000007</v>
      </c>
    </row>
    <row r="112" spans="1:18" x14ac:dyDescent="0.3">
      <c r="A112" s="86"/>
      <c r="B112" s="50" t="s">
        <v>29</v>
      </c>
      <c r="C112" s="16">
        <f>'5314-510 Postage &amp; Freight'!C4</f>
        <v>0</v>
      </c>
      <c r="D112" s="16">
        <f>'5314-510 Postage &amp; Freight'!D4</f>
        <v>0</v>
      </c>
      <c r="E112" s="16">
        <f>'5314-510 Postage &amp; Freight'!E4</f>
        <v>0</v>
      </c>
      <c r="F112" s="16">
        <f>'5314-510 Postage &amp; Freight'!F4</f>
        <v>0</v>
      </c>
      <c r="G112" s="16">
        <v>0</v>
      </c>
      <c r="H112" s="16">
        <f>'5314-510 Postage &amp; Freight'!H4</f>
        <v>0</v>
      </c>
      <c r="I112" s="16">
        <f>'5314-510 Postage &amp; Freight'!I4</f>
        <v>0</v>
      </c>
      <c r="J112" s="16">
        <f>'5314-510 Postage &amp; Freight'!J4</f>
        <v>0</v>
      </c>
      <c r="K112" s="16">
        <v>0</v>
      </c>
      <c r="L112" s="16">
        <f>'5314-510 Postage &amp; Freight'!L4</f>
        <v>0</v>
      </c>
      <c r="M112" s="16">
        <f>'5314-510 Postage &amp; Freight'!M4</f>
        <v>0</v>
      </c>
      <c r="N112" s="16">
        <f>'5314-510 Postage &amp; Freight'!N4</f>
        <v>0</v>
      </c>
      <c r="O112" s="17">
        <f>'5314-510 Postage &amp; Freight'!O4</f>
        <v>734</v>
      </c>
      <c r="Q112" s="33">
        <f>O112-O111</f>
        <v>-0.55000000000006821</v>
      </c>
    </row>
    <row r="113" spans="1:18" x14ac:dyDescent="0.3">
      <c r="A113" s="86"/>
      <c r="B113" s="49" t="s">
        <v>31</v>
      </c>
      <c r="C113" s="16">
        <f>'5314-510 Postage &amp; Freight'!C5</f>
        <v>0</v>
      </c>
      <c r="D113" s="16">
        <f>'5314-510 Postage &amp; Freight'!D5</f>
        <v>0</v>
      </c>
      <c r="E113" s="16">
        <f>'5314-510 Postage &amp; Freight'!E5</f>
        <v>0</v>
      </c>
      <c r="F113" s="16">
        <f>'5314-510 Postage &amp; Freight'!F5</f>
        <v>0</v>
      </c>
      <c r="G113" s="16">
        <f>'5314-510 Postage &amp; Freight'!G5</f>
        <v>0</v>
      </c>
      <c r="H113" s="16">
        <f>'5314-510 Postage &amp; Freight'!H5</f>
        <v>0</v>
      </c>
      <c r="I113" s="16">
        <f>'5314-510 Postage &amp; Freight'!I5</f>
        <v>0</v>
      </c>
      <c r="J113" s="16">
        <f>'5314-510 Postage &amp; Freight'!J5</f>
        <v>0</v>
      </c>
      <c r="K113" s="16">
        <f>'5314-510 Postage &amp; Freight'!K5</f>
        <v>0</v>
      </c>
      <c r="L113" s="16">
        <f>'5314-510 Postage &amp; Freight'!L5</f>
        <v>0</v>
      </c>
      <c r="M113" s="16">
        <f>'5314-510 Postage &amp; Freight'!M5</f>
        <v>0</v>
      </c>
      <c r="N113" s="16">
        <f>'5314-510 Postage &amp; Freight'!N5</f>
        <v>0</v>
      </c>
      <c r="O113" s="17">
        <f>'5314-510 Postage &amp; Freight'!O5</f>
        <v>0</v>
      </c>
    </row>
    <row r="114" spans="1:18" x14ac:dyDescent="0.3">
      <c r="A114" s="86"/>
      <c r="B114" s="49" t="s">
        <v>32</v>
      </c>
      <c r="C114" s="16">
        <f>'5314-510 Postage &amp; Freight'!C6</f>
        <v>0</v>
      </c>
      <c r="D114" s="16">
        <f>'5314-510 Postage &amp; Freight'!D6</f>
        <v>0</v>
      </c>
      <c r="E114" s="16">
        <f>'5314-510 Postage &amp; Freight'!E6</f>
        <v>33.94</v>
      </c>
      <c r="F114" s="16">
        <f>'5314-510 Postage &amp; Freight'!F6</f>
        <v>0</v>
      </c>
      <c r="G114" s="16">
        <f>'5314-510 Postage &amp; Freight'!G6</f>
        <v>0</v>
      </c>
      <c r="H114" s="16">
        <f>'5314-510 Postage &amp; Freight'!H6</f>
        <v>241.55</v>
      </c>
      <c r="I114" s="16">
        <f>'5314-510 Postage &amp; Freight'!I6</f>
        <v>194.31</v>
      </c>
      <c r="J114" s="16">
        <f>'5314-510 Postage &amp; Freight'!J6</f>
        <v>249.19</v>
      </c>
      <c r="K114" s="16">
        <f>'5314-510 Postage &amp; Freight'!K6</f>
        <v>78.099999999999994</v>
      </c>
      <c r="L114" s="16">
        <f>'5314-510 Postage &amp; Freight'!L6</f>
        <v>0</v>
      </c>
      <c r="M114" s="16">
        <f>'5314-510 Postage &amp; Freight'!M6</f>
        <v>0</v>
      </c>
      <c r="N114" s="16">
        <f>'5314-510 Postage &amp; Freight'!N6</f>
        <v>0</v>
      </c>
      <c r="O114" s="17">
        <f>'5314-510 Postage &amp; Freight'!O6</f>
        <v>797.09</v>
      </c>
    </row>
    <row r="115" spans="1:18" x14ac:dyDescent="0.3">
      <c r="A115" s="86"/>
      <c r="B115" s="49" t="s">
        <v>21</v>
      </c>
      <c r="C115" s="16">
        <f>'5314-510 Postage &amp; Freight'!C7</f>
        <v>0</v>
      </c>
      <c r="D115" s="16">
        <f>'5314-510 Postage &amp; Freight'!D7</f>
        <v>0</v>
      </c>
      <c r="E115" s="16">
        <f>'5314-510 Postage &amp; Freight'!E7</f>
        <v>-33.94</v>
      </c>
      <c r="F115" s="16">
        <f>'5314-510 Postage &amp; Freight'!F7</f>
        <v>0</v>
      </c>
      <c r="G115" s="16">
        <f>'5314-510 Postage &amp; Freight'!G7</f>
        <v>0</v>
      </c>
      <c r="H115" s="16">
        <f>'5314-510 Postage &amp; Freight'!H7</f>
        <v>-241.55</v>
      </c>
      <c r="I115" s="16">
        <f>'5314-510 Postage &amp; Freight'!I7</f>
        <v>-194.31</v>
      </c>
      <c r="J115" s="16">
        <f>'5314-510 Postage &amp; Freight'!J7</f>
        <v>-249.19</v>
      </c>
      <c r="K115" s="16">
        <f>'5314-510 Postage &amp; Freight'!K7</f>
        <v>-78.099999999999994</v>
      </c>
      <c r="L115" s="16">
        <f>'5314-510 Postage &amp; Freight'!L7</f>
        <v>0</v>
      </c>
      <c r="M115" s="16">
        <f>'5314-510 Postage &amp; Freight'!M7</f>
        <v>0</v>
      </c>
      <c r="N115" s="16">
        <f>'5314-510 Postage &amp; Freight'!N7</f>
        <v>0</v>
      </c>
      <c r="O115" s="17">
        <f>'5314-510 Postage &amp; Freight'!O7</f>
        <v>-797.09</v>
      </c>
    </row>
    <row r="116" spans="1:18" x14ac:dyDescent="0.3">
      <c r="A116" s="84" t="s">
        <v>62</v>
      </c>
      <c r="B116" s="50" t="s">
        <v>23</v>
      </c>
      <c r="C116" s="16">
        <f>'5314-510 Postage &amp; Freight'!C8</f>
        <v>0</v>
      </c>
      <c r="D116" s="16">
        <f>'5314-510 Postage &amp; Freight'!D8</f>
        <v>0</v>
      </c>
      <c r="E116" s="16">
        <f>'5314-510 Postage &amp; Freight'!E8</f>
        <v>33.94</v>
      </c>
      <c r="F116" s="16">
        <f>'5314-510 Postage &amp; Freight'!F8</f>
        <v>33.94</v>
      </c>
      <c r="G116" s="16">
        <f>'5314-510 Postage &amp; Freight'!G8</f>
        <v>33.94</v>
      </c>
      <c r="H116" s="16">
        <f>'5314-510 Postage &amp; Freight'!H8</f>
        <v>275.49</v>
      </c>
      <c r="I116" s="16">
        <f>'5314-510 Postage &amp; Freight'!I8</f>
        <v>469.8</v>
      </c>
      <c r="J116" s="16">
        <f>'5314-510 Postage &amp; Freight'!J8</f>
        <v>718.99</v>
      </c>
      <c r="K116" s="16">
        <f>'5314-510 Postage &amp; Freight'!K8</f>
        <v>797.09</v>
      </c>
      <c r="L116" s="16">
        <f>'5314-510 Postage &amp; Freight'!L8</f>
        <v>797.09</v>
      </c>
      <c r="M116" s="16">
        <f>'5314-510 Postage &amp; Freight'!M8</f>
        <v>797.09</v>
      </c>
      <c r="N116" s="16">
        <f>'5314-510 Postage &amp; Freight'!N8</f>
        <v>797.09</v>
      </c>
      <c r="O116" s="17">
        <f>'5314-510 Postage &amp; Freight'!O8</f>
        <v>797.09</v>
      </c>
    </row>
    <row r="117" spans="1:18" x14ac:dyDescent="0.3">
      <c r="A117" s="93"/>
      <c r="B117" s="51" t="s">
        <v>25</v>
      </c>
      <c r="C117" s="26">
        <f>'5314-510 Postage &amp; Freight'!C9</f>
        <v>0</v>
      </c>
      <c r="D117" s="26">
        <f>'5314-510 Postage &amp; Freight'!D9</f>
        <v>0</v>
      </c>
      <c r="E117" s="26">
        <f>'5314-510 Postage &amp; Freight'!E9</f>
        <v>-33.94</v>
      </c>
      <c r="F117" s="26">
        <f>'5314-510 Postage &amp; Freight'!F9</f>
        <v>-33.94</v>
      </c>
      <c r="G117" s="26">
        <f>'5314-510 Postage &amp; Freight'!G9</f>
        <v>-33.94</v>
      </c>
      <c r="H117" s="26">
        <f>'5314-510 Postage &amp; Freight'!H9</f>
        <v>-275.49</v>
      </c>
      <c r="I117" s="26">
        <f>'5314-510 Postage &amp; Freight'!I9</f>
        <v>-469.8</v>
      </c>
      <c r="J117" s="26">
        <f>'5314-510 Postage &amp; Freight'!J9</f>
        <v>-718.99</v>
      </c>
      <c r="K117" s="26">
        <f>'5314-510 Postage &amp; Freight'!K9</f>
        <v>-797.09</v>
      </c>
      <c r="L117" s="26">
        <f>'5314-510 Postage &amp; Freight'!L9</f>
        <v>-797.09</v>
      </c>
      <c r="M117" s="26">
        <f>'5314-510 Postage &amp; Freight'!M9</f>
        <v>-797.09</v>
      </c>
      <c r="N117" s="26">
        <f>'5314-510 Postage &amp; Freight'!N9</f>
        <v>-797.09</v>
      </c>
      <c r="O117" s="24">
        <f>'5314-510 Postage &amp; Freight'!O9</f>
        <v>0</v>
      </c>
    </row>
    <row r="119" spans="1:18" x14ac:dyDescent="0.3">
      <c r="A119" s="85" t="s">
        <v>63</v>
      </c>
      <c r="B119" s="57" t="s">
        <v>16</v>
      </c>
      <c r="C119" s="14">
        <f>'5315-510 Technology Services'!C3</f>
        <v>6906.24</v>
      </c>
      <c r="D119" s="14">
        <f>'5315-510 Technology Services'!D3</f>
        <v>6134.72</v>
      </c>
      <c r="E119" s="14">
        <f>'5315-510 Technology Services'!E3</f>
        <v>5579.6100000000006</v>
      </c>
      <c r="F119" s="14">
        <f>'5315-510 Technology Services'!F3</f>
        <v>7145.87</v>
      </c>
      <c r="G119" s="14">
        <f>'5315-510 Technology Services'!G3</f>
        <v>6555.0599999999995</v>
      </c>
      <c r="H119" s="14">
        <f>'5315-510 Technology Services'!H3</f>
        <v>6400.36</v>
      </c>
      <c r="I119" s="14">
        <f>'5315-510 Technology Services'!I3</f>
        <v>6958.6900000000005</v>
      </c>
      <c r="J119" s="14">
        <f>'5315-510 Technology Services'!J3</f>
        <v>15241.24</v>
      </c>
      <c r="K119" s="14">
        <f>'5315-510 Technology Services'!K3</f>
        <v>7692.81</v>
      </c>
      <c r="L119" s="14">
        <f>'5315-510 Technology Services'!L3</f>
        <v>7421.04</v>
      </c>
      <c r="M119" s="14">
        <f>'5315-510 Technology Services'!M3</f>
        <v>11233.49</v>
      </c>
      <c r="N119" s="14">
        <f>'5315-510 Technology Services'!N3</f>
        <v>7521.5500000000011</v>
      </c>
      <c r="O119" s="15">
        <f>'5315-510 Technology Services'!O3</f>
        <v>94790.68</v>
      </c>
    </row>
    <row r="120" spans="1:18" x14ac:dyDescent="0.3">
      <c r="A120" s="86"/>
      <c r="B120" s="50" t="s">
        <v>29</v>
      </c>
      <c r="C120" s="16">
        <f>'5315-510 Technology Services'!C4</f>
        <v>8473.64</v>
      </c>
      <c r="D120" s="16">
        <f>'5315-510 Technology Services'!D4</f>
        <v>9183.16</v>
      </c>
      <c r="E120" s="16">
        <f>'5315-510 Technology Services'!E4</f>
        <v>8023.21</v>
      </c>
      <c r="F120" s="16">
        <f>'5315-510 Technology Services'!F4</f>
        <v>12423.21</v>
      </c>
      <c r="G120" s="16">
        <f>'5315-510 Technology Services'!G4</f>
        <v>8023.21</v>
      </c>
      <c r="H120" s="16">
        <f>'5315-510 Technology Services'!H4</f>
        <v>8923.2099999999991</v>
      </c>
      <c r="I120" s="16">
        <f>'5315-510 Technology Services'!I4</f>
        <v>8173.21</v>
      </c>
      <c r="J120" s="16">
        <f>'5315-510 Technology Services'!J4</f>
        <v>18462.829999999998</v>
      </c>
      <c r="K120" s="16">
        <f>'5315-510 Technology Services'!K4</f>
        <v>9453.7999999999993</v>
      </c>
      <c r="L120" s="16">
        <f>'5315-510 Technology Services'!L4</f>
        <v>14748.21</v>
      </c>
      <c r="M120" s="16">
        <f>'5315-510 Technology Services'!M4</f>
        <v>13522.21</v>
      </c>
      <c r="N120" s="16">
        <f>'5315-510 Technology Services'!N4</f>
        <v>8223.2099999999991</v>
      </c>
      <c r="O120" s="17">
        <f>'5315-510 Technology Services'!O4</f>
        <v>127633.11000000002</v>
      </c>
      <c r="Q120" s="33">
        <f>O120-O119</f>
        <v>32842.430000000022</v>
      </c>
      <c r="R120" t="s">
        <v>64</v>
      </c>
    </row>
    <row r="121" spans="1:18" x14ac:dyDescent="0.3">
      <c r="A121" s="86"/>
      <c r="B121" s="49" t="s">
        <v>31</v>
      </c>
      <c r="C121" s="16">
        <f>'5315-510 Technology Services'!C5</f>
        <v>500</v>
      </c>
      <c r="D121" s="16">
        <f>'5315-510 Technology Services'!D5</f>
        <v>500</v>
      </c>
      <c r="E121" s="16">
        <f>'5315-510 Technology Services'!E5</f>
        <v>500</v>
      </c>
      <c r="F121" s="16">
        <f>'5315-510 Technology Services'!F5</f>
        <v>500</v>
      </c>
      <c r="G121" s="16">
        <f>'5315-510 Technology Services'!G5</f>
        <v>500</v>
      </c>
      <c r="H121" s="16">
        <f>'5315-510 Technology Services'!H5</f>
        <v>500</v>
      </c>
      <c r="I121" s="16">
        <f>'5315-510 Technology Services'!I5</f>
        <v>500</v>
      </c>
      <c r="J121" s="16">
        <f>'5315-510 Technology Services'!J5</f>
        <v>500</v>
      </c>
      <c r="K121" s="16">
        <f>'5315-510 Technology Services'!K5</f>
        <v>500</v>
      </c>
      <c r="L121" s="16">
        <f>'5315-510 Technology Services'!L5</f>
        <v>500</v>
      </c>
      <c r="M121" s="16">
        <f>'5315-510 Technology Services'!M5</f>
        <v>500</v>
      </c>
      <c r="N121" s="16">
        <f>'5315-510 Technology Services'!N5</f>
        <v>500</v>
      </c>
      <c r="O121" s="17">
        <f>'5315-510 Technology Services'!O5</f>
        <v>6000</v>
      </c>
    </row>
    <row r="122" spans="1:18" x14ac:dyDescent="0.3">
      <c r="A122" s="86"/>
      <c r="B122" s="49" t="s">
        <v>32</v>
      </c>
      <c r="C122" s="16">
        <f>'5315-510 Technology Services'!C6</f>
        <v>6731.17</v>
      </c>
      <c r="D122" s="16">
        <f>'5315-510 Technology Services'!D6</f>
        <v>7121.81</v>
      </c>
      <c r="E122" s="16">
        <f>'5315-510 Technology Services'!E6</f>
        <v>7581.9399999999987</v>
      </c>
      <c r="F122" s="16">
        <f>'5315-510 Technology Services'!F6</f>
        <v>6799.1499999999987</v>
      </c>
      <c r="G122" s="16">
        <f>'5315-510 Technology Services'!G6</f>
        <v>10575.96</v>
      </c>
      <c r="H122" s="16">
        <f>'5315-510 Technology Services'!H6</f>
        <v>9434.81</v>
      </c>
      <c r="I122" s="16">
        <f>'5315-510 Technology Services'!I6</f>
        <v>7708.8899999999994</v>
      </c>
      <c r="J122" s="16">
        <f>'5315-510 Technology Services'!J6</f>
        <v>17798.099999999999</v>
      </c>
      <c r="K122" s="16">
        <f>'5315-510 Technology Services'!K6</f>
        <v>6392.619999999999</v>
      </c>
      <c r="L122" s="16">
        <f>'5315-510 Technology Services'!L6</f>
        <v>4818.82</v>
      </c>
      <c r="M122" s="16">
        <f>'5315-510 Technology Services'!M6</f>
        <v>6854.37</v>
      </c>
      <c r="N122" s="16">
        <f>'5315-510 Technology Services'!N6</f>
        <v>0</v>
      </c>
      <c r="O122" s="17">
        <f>'5315-510 Technology Services'!O6</f>
        <v>91817.640000000029</v>
      </c>
      <c r="R122" t="s">
        <v>65</v>
      </c>
    </row>
    <row r="123" spans="1:18" x14ac:dyDescent="0.3">
      <c r="A123" s="86"/>
      <c r="B123" s="49" t="s">
        <v>21</v>
      </c>
      <c r="C123" s="16">
        <f>'5315-510 Technology Services'!C7</f>
        <v>-6231.17</v>
      </c>
      <c r="D123" s="16">
        <f>'5315-510 Technology Services'!D7</f>
        <v>-6621.81</v>
      </c>
      <c r="E123" s="16">
        <f>'5315-510 Technology Services'!E7</f>
        <v>-7081.9399999999987</v>
      </c>
      <c r="F123" s="16">
        <f>'5315-510 Technology Services'!F7</f>
        <v>-6299.1499999999987</v>
      </c>
      <c r="G123" s="16">
        <f>'5315-510 Technology Services'!G7</f>
        <v>-10075.959999999999</v>
      </c>
      <c r="H123" s="16">
        <f>'5315-510 Technology Services'!H7</f>
        <v>-8934.81</v>
      </c>
      <c r="I123" s="16">
        <f>'5315-510 Technology Services'!I7</f>
        <v>-7208.8899999999994</v>
      </c>
      <c r="J123" s="16">
        <f>'5315-510 Technology Services'!J7</f>
        <v>-17298.099999999999</v>
      </c>
      <c r="K123" s="16">
        <f>'5315-510 Technology Services'!K7</f>
        <v>-5892.619999999999</v>
      </c>
      <c r="L123" s="16">
        <f>'5315-510 Technology Services'!L7</f>
        <v>-4318.82</v>
      </c>
      <c r="M123" s="16">
        <f>'5315-510 Technology Services'!M7</f>
        <v>-6354.37</v>
      </c>
      <c r="N123" s="16">
        <f>'5315-510 Technology Services'!N7</f>
        <v>500</v>
      </c>
      <c r="O123" s="17">
        <f>'5315-510 Technology Services'!O7</f>
        <v>-85817.640000000029</v>
      </c>
    </row>
    <row r="124" spans="1:18" ht="28.8" x14ac:dyDescent="0.3">
      <c r="A124" s="86" t="s">
        <v>66</v>
      </c>
      <c r="B124" s="50" t="s">
        <v>23</v>
      </c>
      <c r="C124" s="16">
        <f>'5315-510 Technology Services'!C8</f>
        <v>6731.17</v>
      </c>
      <c r="D124" s="16">
        <f>'5315-510 Technology Services'!D8</f>
        <v>13852.98</v>
      </c>
      <c r="E124" s="16">
        <f>'5315-510 Technology Services'!E8</f>
        <v>21434.92</v>
      </c>
      <c r="F124" s="16">
        <f>'5315-510 Technology Services'!F8</f>
        <v>28234.069999999996</v>
      </c>
      <c r="G124" s="16">
        <f>'5315-510 Technology Services'!G8</f>
        <v>38810.03</v>
      </c>
      <c r="H124" s="16">
        <f>'5315-510 Technology Services'!H8</f>
        <v>48244.84</v>
      </c>
      <c r="I124" s="16">
        <f>'5315-510 Technology Services'!I8</f>
        <v>55953.729999999996</v>
      </c>
      <c r="J124" s="16">
        <f>'5315-510 Technology Services'!J8</f>
        <v>73751.829999999987</v>
      </c>
      <c r="K124" s="16">
        <f>'5315-510 Technology Services'!K8</f>
        <v>80144.449999999983</v>
      </c>
      <c r="L124" s="16">
        <f>'5315-510 Technology Services'!L8</f>
        <v>84963.26999999999</v>
      </c>
      <c r="M124" s="16">
        <f>'5315-510 Technology Services'!M8</f>
        <v>91817.639999999985</v>
      </c>
      <c r="N124" s="16">
        <f>'5315-510 Technology Services'!N8</f>
        <v>91817.639999999985</v>
      </c>
      <c r="O124" s="17">
        <f>'5315-510 Technology Services'!O8</f>
        <v>91817.640000000029</v>
      </c>
    </row>
    <row r="125" spans="1:18" x14ac:dyDescent="0.3">
      <c r="A125" s="87"/>
      <c r="B125" s="51" t="s">
        <v>25</v>
      </c>
      <c r="C125" s="26">
        <f>'5315-510 Technology Services'!C9</f>
        <v>-6231.17</v>
      </c>
      <c r="D125" s="26">
        <f>'5315-510 Technology Services'!D9</f>
        <v>-12852.98</v>
      </c>
      <c r="E125" s="26">
        <f>'5315-510 Technology Services'!E9</f>
        <v>-19934.919999999998</v>
      </c>
      <c r="F125" s="26">
        <f>'5315-510 Technology Services'!F9</f>
        <v>-26234.069999999996</v>
      </c>
      <c r="G125" s="26">
        <f>'5315-510 Technology Services'!G9</f>
        <v>-36310.03</v>
      </c>
      <c r="H125" s="26">
        <f>'5315-510 Technology Services'!H9</f>
        <v>-45244.84</v>
      </c>
      <c r="I125" s="26">
        <f>'5315-510 Technology Services'!I9</f>
        <v>-52453.729999999996</v>
      </c>
      <c r="J125" s="26">
        <f>'5315-510 Technology Services'!J9</f>
        <v>-69751.829999999987</v>
      </c>
      <c r="K125" s="26">
        <f>'5315-510 Technology Services'!K9</f>
        <v>-75644.449999999983</v>
      </c>
      <c r="L125" s="26">
        <f>'5315-510 Technology Services'!L9</f>
        <v>-79963.26999999999</v>
      </c>
      <c r="M125" s="26">
        <f>'5315-510 Technology Services'!M9</f>
        <v>-86317.639999999985</v>
      </c>
      <c r="N125" s="26">
        <f>'5315-510 Technology Services'!N9</f>
        <v>-85817.639999999985</v>
      </c>
      <c r="O125" s="24">
        <f>'5315-510 Technology Services'!O9</f>
        <v>0</v>
      </c>
    </row>
    <row r="126" spans="1:18" x14ac:dyDescent="0.3"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</row>
    <row r="127" spans="1:18" x14ac:dyDescent="0.3">
      <c r="A127" s="85" t="s">
        <v>67</v>
      </c>
      <c r="B127" s="57" t="s">
        <v>16</v>
      </c>
      <c r="C127" s="14">
        <f>'5322-510 Gifts'!C3</f>
        <v>0</v>
      </c>
      <c r="D127" s="14">
        <f>'5322-510 Gifts'!D3</f>
        <v>0</v>
      </c>
      <c r="E127" s="14">
        <f>'5322-510 Gifts'!E3</f>
        <v>0</v>
      </c>
      <c r="F127" s="14">
        <f>'5322-510 Gifts'!F3</f>
        <v>0</v>
      </c>
      <c r="G127" s="14">
        <f>'5322-510 Gifts'!G3</f>
        <v>0</v>
      </c>
      <c r="H127" s="14">
        <f>'5322-510 Gifts'!H3</f>
        <v>0</v>
      </c>
      <c r="I127" s="14">
        <f>'5322-510 Gifts'!I3</f>
        <v>0</v>
      </c>
      <c r="J127" s="14">
        <f>'5322-510 Gifts'!J3</f>
        <v>0</v>
      </c>
      <c r="K127" s="14">
        <f>'5322-510 Gifts'!K3</f>
        <v>0</v>
      </c>
      <c r="L127" s="14">
        <f>'5322-510 Gifts'!L3</f>
        <v>0</v>
      </c>
      <c r="M127" s="14">
        <f>'5322-510 Gifts'!M3</f>
        <v>0</v>
      </c>
      <c r="N127" s="14">
        <f>'5322-510 Gifts'!N3</f>
        <v>0</v>
      </c>
      <c r="O127" s="15">
        <f>'5322-510 Gifts'!O3</f>
        <v>0</v>
      </c>
    </row>
    <row r="128" spans="1:18" x14ac:dyDescent="0.3">
      <c r="A128" s="86"/>
      <c r="B128" s="50" t="s">
        <v>29</v>
      </c>
      <c r="C128" s="16">
        <f>'5322-510 Gifts'!C4</f>
        <v>0</v>
      </c>
      <c r="D128" s="16">
        <f>'5322-510 Gifts'!D4</f>
        <v>0</v>
      </c>
      <c r="E128" s="16">
        <f>'5322-510 Gifts'!E4</f>
        <v>0</v>
      </c>
      <c r="F128" s="16">
        <f>'5322-510 Gifts'!F4</f>
        <v>0</v>
      </c>
      <c r="G128" s="16">
        <f>'5322-510 Gifts'!G4</f>
        <v>0</v>
      </c>
      <c r="H128" s="16">
        <f>'5322-510 Gifts'!H4</f>
        <v>0</v>
      </c>
      <c r="I128" s="16">
        <f>'5322-510 Gifts'!I4</f>
        <v>0</v>
      </c>
      <c r="J128" s="16">
        <f>'5322-510 Gifts'!J4</f>
        <v>0</v>
      </c>
      <c r="K128" s="16">
        <f>'5322-510 Gifts'!K4</f>
        <v>0</v>
      </c>
      <c r="L128" s="16">
        <f>'5322-510 Gifts'!L4</f>
        <v>0</v>
      </c>
      <c r="M128" s="16">
        <f>'5322-510 Gifts'!M4</f>
        <v>0</v>
      </c>
      <c r="N128" s="16">
        <f>'5322-510 Gifts'!N4</f>
        <v>0</v>
      </c>
      <c r="O128" s="17">
        <f>'5322-510 Gifts'!O4</f>
        <v>0</v>
      </c>
      <c r="Q128" s="33">
        <f>O128-O127</f>
        <v>0</v>
      </c>
    </row>
    <row r="129" spans="1:17" x14ac:dyDescent="0.3">
      <c r="A129" s="86"/>
      <c r="B129" s="49" t="s">
        <v>31</v>
      </c>
      <c r="C129" s="16">
        <f>'5322-510 Gifts'!C5</f>
        <v>0</v>
      </c>
      <c r="D129" s="16">
        <f>'5322-510 Gifts'!D5</f>
        <v>0</v>
      </c>
      <c r="E129" s="16">
        <f>'5322-510 Gifts'!E5</f>
        <v>0</v>
      </c>
      <c r="F129" s="16">
        <f>'5322-510 Gifts'!F5</f>
        <v>0</v>
      </c>
      <c r="G129" s="16">
        <f>'5322-510 Gifts'!G5</f>
        <v>0</v>
      </c>
      <c r="H129" s="16">
        <f>'5322-510 Gifts'!H5</f>
        <v>0</v>
      </c>
      <c r="I129" s="16">
        <f>'5322-510 Gifts'!I5</f>
        <v>0</v>
      </c>
      <c r="J129" s="16">
        <f>'5322-510 Gifts'!J5</f>
        <v>0</v>
      </c>
      <c r="K129" s="16">
        <f>'5322-510 Gifts'!K5</f>
        <v>0</v>
      </c>
      <c r="L129" s="16">
        <f>'5322-510 Gifts'!L5</f>
        <v>0</v>
      </c>
      <c r="M129" s="16">
        <f>'5322-510 Gifts'!M5</f>
        <v>0</v>
      </c>
      <c r="N129" s="16">
        <f>'5322-510 Gifts'!N5</f>
        <v>0</v>
      </c>
      <c r="O129" s="17">
        <f>'5322-510 Gifts'!O5</f>
        <v>0</v>
      </c>
    </row>
    <row r="130" spans="1:17" x14ac:dyDescent="0.3">
      <c r="A130" s="86"/>
      <c r="B130" s="49" t="s">
        <v>32</v>
      </c>
      <c r="C130" s="16">
        <f>'5322-510 Gifts'!C6</f>
        <v>0</v>
      </c>
      <c r="D130" s="16">
        <f>'5322-510 Gifts'!D6</f>
        <v>0</v>
      </c>
      <c r="E130" s="16">
        <f>'5322-510 Gifts'!E6</f>
        <v>340.31</v>
      </c>
      <c r="F130" s="16">
        <f>'5322-510 Gifts'!F6</f>
        <v>865.97</v>
      </c>
      <c r="G130" s="16">
        <f>'5322-510 Gifts'!G6</f>
        <v>161.86000000000001</v>
      </c>
      <c r="H130" s="16">
        <f>'5322-510 Gifts'!H6</f>
        <v>0</v>
      </c>
      <c r="I130" s="16">
        <f>'5322-510 Gifts'!I6</f>
        <v>51.29</v>
      </c>
      <c r="J130" s="16">
        <f>'5322-510 Gifts'!J6</f>
        <v>0</v>
      </c>
      <c r="K130" s="16">
        <f>'5322-510 Gifts'!K6</f>
        <v>0</v>
      </c>
      <c r="L130" s="16">
        <f>'5322-510 Gifts'!L6</f>
        <v>0</v>
      </c>
      <c r="M130" s="16">
        <f>'5322-510 Gifts'!M6</f>
        <v>0</v>
      </c>
      <c r="N130" s="16">
        <f>'5322-510 Gifts'!N6</f>
        <v>0</v>
      </c>
      <c r="O130" s="17">
        <f>'5322-510 Gifts'!O6</f>
        <v>1419.4299999999998</v>
      </c>
    </row>
    <row r="131" spans="1:17" x14ac:dyDescent="0.3">
      <c r="A131" s="86"/>
      <c r="B131" s="49" t="s">
        <v>21</v>
      </c>
      <c r="C131" s="16">
        <f>'5322-510 Gifts'!C7</f>
        <v>0</v>
      </c>
      <c r="D131" s="16">
        <f>'5322-510 Gifts'!D7</f>
        <v>0</v>
      </c>
      <c r="E131" s="16">
        <f>'5322-510 Gifts'!E7</f>
        <v>-340.31</v>
      </c>
      <c r="F131" s="16">
        <f>'5322-510 Gifts'!F7</f>
        <v>-865.97</v>
      </c>
      <c r="G131" s="16">
        <f>'5322-510 Gifts'!G7</f>
        <v>-161.86000000000001</v>
      </c>
      <c r="H131" s="16">
        <f>'5322-510 Gifts'!H7</f>
        <v>0</v>
      </c>
      <c r="I131" s="16">
        <f>'5322-510 Gifts'!I7</f>
        <v>-51.29</v>
      </c>
      <c r="J131" s="16">
        <f>'5322-510 Gifts'!J7</f>
        <v>0</v>
      </c>
      <c r="K131" s="16">
        <f>'5322-510 Gifts'!K7</f>
        <v>0</v>
      </c>
      <c r="L131" s="16">
        <f>'5322-510 Gifts'!L7</f>
        <v>0</v>
      </c>
      <c r="M131" s="16">
        <f>'5322-510 Gifts'!M7</f>
        <v>0</v>
      </c>
      <c r="N131" s="16">
        <f>'5322-510 Gifts'!N7</f>
        <v>0</v>
      </c>
      <c r="O131" s="17">
        <f>'5322-510 Gifts'!O7</f>
        <v>-1419.4299999999998</v>
      </c>
    </row>
    <row r="132" spans="1:17" x14ac:dyDescent="0.3">
      <c r="A132" s="84" t="s">
        <v>68</v>
      </c>
      <c r="B132" s="50" t="s">
        <v>23</v>
      </c>
      <c r="C132" s="16">
        <f>'5322-510 Gifts'!C8</f>
        <v>0</v>
      </c>
      <c r="D132" s="16">
        <f>'5322-510 Gifts'!D8</f>
        <v>0</v>
      </c>
      <c r="E132" s="16">
        <f>'5322-510 Gifts'!E8</f>
        <v>340.31</v>
      </c>
      <c r="F132" s="16">
        <f>'5322-510 Gifts'!F8</f>
        <v>1206.28</v>
      </c>
      <c r="G132" s="16">
        <f>'5322-510 Gifts'!G8</f>
        <v>1368.1399999999999</v>
      </c>
      <c r="H132" s="16">
        <f>'5322-510 Gifts'!H8</f>
        <v>1368.1399999999999</v>
      </c>
      <c r="I132" s="16">
        <f>'5322-510 Gifts'!I8</f>
        <v>1419.4299999999998</v>
      </c>
      <c r="J132" s="16">
        <f>'5322-510 Gifts'!J8</f>
        <v>1419.4299999999998</v>
      </c>
      <c r="K132" s="16">
        <f>'5322-510 Gifts'!K8</f>
        <v>1419.4299999999998</v>
      </c>
      <c r="L132" s="16">
        <f>'5322-510 Gifts'!L8</f>
        <v>1419.4299999999998</v>
      </c>
      <c r="M132" s="16">
        <f>'5322-510 Gifts'!M8</f>
        <v>1419.4299999999998</v>
      </c>
      <c r="N132" s="16">
        <f>'5322-510 Gifts'!N8</f>
        <v>1419.4299999999998</v>
      </c>
      <c r="O132" s="17">
        <f>'5322-510 Gifts'!O8</f>
        <v>1419.4299999999998</v>
      </c>
    </row>
    <row r="133" spans="1:17" x14ac:dyDescent="0.3">
      <c r="A133" s="93"/>
      <c r="B133" s="51" t="s">
        <v>25</v>
      </c>
      <c r="C133" s="26">
        <f>'5322-510 Gifts'!C9</f>
        <v>0</v>
      </c>
      <c r="D133" s="26">
        <f>'5322-510 Gifts'!D9</f>
        <v>0</v>
      </c>
      <c r="E133" s="26">
        <f>'5322-510 Gifts'!E9</f>
        <v>-340.31</v>
      </c>
      <c r="F133" s="26">
        <f>'5322-510 Gifts'!F9</f>
        <v>-1206.28</v>
      </c>
      <c r="G133" s="26">
        <f>'5322-510 Gifts'!G9</f>
        <v>-1368.1399999999999</v>
      </c>
      <c r="H133" s="26">
        <f>'5322-510 Gifts'!H9</f>
        <v>-1368.1399999999999</v>
      </c>
      <c r="I133" s="26">
        <f>'5322-510 Gifts'!I9</f>
        <v>-1419.4299999999998</v>
      </c>
      <c r="J133" s="26">
        <f>'5322-510 Gifts'!J9</f>
        <v>-1419.4299999999998</v>
      </c>
      <c r="K133" s="26">
        <f>'5322-510 Gifts'!K9</f>
        <v>-1419.4299999999998</v>
      </c>
      <c r="L133" s="26">
        <f>'5322-510 Gifts'!L9</f>
        <v>-1419.4299999999998</v>
      </c>
      <c r="M133" s="26">
        <f>'5322-510 Gifts'!M9</f>
        <v>-1419.4299999999998</v>
      </c>
      <c r="N133" s="26">
        <f>'5322-510 Gifts'!N9</f>
        <v>-1419.4299999999998</v>
      </c>
      <c r="O133" s="24">
        <f>'5322-510 Gifts'!O9</f>
        <v>0</v>
      </c>
    </row>
    <row r="134" spans="1:17" x14ac:dyDescent="0.3"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</row>
    <row r="135" spans="1:17" x14ac:dyDescent="0.3">
      <c r="A135" s="85" t="s">
        <v>69</v>
      </c>
      <c r="B135" s="57" t="s">
        <v>16</v>
      </c>
      <c r="C135" s="14">
        <f>'5323-510 Employee enrichment'!C3</f>
        <v>1207.48</v>
      </c>
      <c r="D135" s="14">
        <f>'5323-510 Employee enrichment'!D3</f>
        <v>264.64</v>
      </c>
      <c r="E135" s="14">
        <f>'5323-510 Employee enrichment'!E3</f>
        <v>187.5</v>
      </c>
      <c r="F135" s="14">
        <f>'5323-510 Employee enrichment'!F3</f>
        <v>621.59</v>
      </c>
      <c r="G135" s="14">
        <f>'5323-510 Employee enrichment'!G3</f>
        <v>81.39</v>
      </c>
      <c r="H135" s="14">
        <f>'5323-510 Employee enrichment'!H3</f>
        <v>138.1</v>
      </c>
      <c r="I135" s="14">
        <f>'5323-510 Employee enrichment'!I3</f>
        <v>147.74</v>
      </c>
      <c r="J135" s="14">
        <f>'5323-510 Employee enrichment'!J3</f>
        <v>277.14</v>
      </c>
      <c r="K135" s="14">
        <f>'5323-510 Employee enrichment'!K3</f>
        <v>568.61</v>
      </c>
      <c r="L135" s="14">
        <f>'5323-510 Employee enrichment'!L3</f>
        <v>438.14000000000004</v>
      </c>
      <c r="M135" s="14">
        <f>'5323-510 Employee enrichment'!M3</f>
        <v>142.62</v>
      </c>
      <c r="N135" s="14">
        <f>'5323-510 Employee enrichment'!N3</f>
        <v>0</v>
      </c>
      <c r="O135" s="15">
        <f>'5323-510 Employee enrichment'!O3</f>
        <v>4074.9500000000003</v>
      </c>
    </row>
    <row r="136" spans="1:17" x14ac:dyDescent="0.3">
      <c r="A136" s="86"/>
      <c r="B136" s="50" t="s">
        <v>29</v>
      </c>
      <c r="C136" s="16">
        <f>'5323-510 Employee enrichment'!C4</f>
        <v>170</v>
      </c>
      <c r="D136" s="16">
        <f>'5323-510 Employee enrichment'!D4</f>
        <v>170</v>
      </c>
      <c r="E136" s="16">
        <f>'5323-510 Employee enrichment'!E4</f>
        <v>870</v>
      </c>
      <c r="F136" s="16">
        <f>'5323-510 Employee enrichment'!F4</f>
        <v>170</v>
      </c>
      <c r="G136" s="16">
        <f>'5323-510 Employee enrichment'!G4</f>
        <v>170</v>
      </c>
      <c r="H136" s="16">
        <f>'5323-510 Employee enrichment'!H4</f>
        <v>420</v>
      </c>
      <c r="I136" s="16">
        <f>'5323-510 Employee enrichment'!I4</f>
        <v>170</v>
      </c>
      <c r="J136" s="16">
        <f>'5323-510 Employee enrichment'!J4</f>
        <v>570</v>
      </c>
      <c r="K136" s="16">
        <f>'5323-510 Employee enrichment'!K4</f>
        <v>170</v>
      </c>
      <c r="L136" s="16">
        <f>'5323-510 Employee enrichment'!L4</f>
        <v>170</v>
      </c>
      <c r="M136" s="16">
        <f>'5323-510 Employee enrichment'!M4</f>
        <v>170</v>
      </c>
      <c r="N136" s="16">
        <f>'5323-510 Employee enrichment'!N4</f>
        <v>740</v>
      </c>
      <c r="O136" s="17">
        <f>'5323-510 Employee enrichment'!O4</f>
        <v>3960</v>
      </c>
      <c r="Q136" s="33">
        <f>O136-O135</f>
        <v>-114.95000000000027</v>
      </c>
    </row>
    <row r="137" spans="1:17" x14ac:dyDescent="0.3">
      <c r="A137" s="86"/>
      <c r="B137" s="49" t="s">
        <v>31</v>
      </c>
      <c r="C137" s="16">
        <f>'5323-510 Employee enrichment'!C5</f>
        <v>260</v>
      </c>
      <c r="D137" s="16">
        <f>'5323-510 Employee enrichment'!D5</f>
        <v>260</v>
      </c>
      <c r="E137" s="16">
        <f>'5323-510 Employee enrichment'!E5</f>
        <v>260</v>
      </c>
      <c r="F137" s="16">
        <f>'5323-510 Employee enrichment'!F5</f>
        <v>260</v>
      </c>
      <c r="G137" s="16">
        <f>'5323-510 Employee enrichment'!G5</f>
        <v>260</v>
      </c>
      <c r="H137" s="16">
        <f>'5323-510 Employee enrichment'!H5</f>
        <v>260</v>
      </c>
      <c r="I137" s="16">
        <f>'5323-510 Employee enrichment'!I5</f>
        <v>260</v>
      </c>
      <c r="J137" s="16">
        <f>'5323-510 Employee enrichment'!J5</f>
        <v>260</v>
      </c>
      <c r="K137" s="16">
        <f>'5323-510 Employee enrichment'!K5</f>
        <v>260</v>
      </c>
      <c r="L137" s="16">
        <f>'5323-510 Employee enrichment'!L5</f>
        <v>260</v>
      </c>
      <c r="M137" s="16">
        <f>'5323-510 Employee enrichment'!M5</f>
        <v>260</v>
      </c>
      <c r="N137" s="16">
        <f>'5323-510 Employee enrichment'!N5</f>
        <v>260</v>
      </c>
      <c r="O137" s="17">
        <f>'5323-510 Employee enrichment'!O5</f>
        <v>3120</v>
      </c>
    </row>
    <row r="138" spans="1:17" x14ac:dyDescent="0.3">
      <c r="A138" s="86"/>
      <c r="B138" s="49" t="s">
        <v>32</v>
      </c>
      <c r="C138" s="16">
        <f>'5323-510 Employee enrichment'!C6</f>
        <v>113.19</v>
      </c>
      <c r="D138" s="16">
        <f>'5323-510 Employee enrichment'!D6</f>
        <v>104.2</v>
      </c>
      <c r="E138" s="16">
        <f>'5323-510 Employee enrichment'!E6</f>
        <v>631.22</v>
      </c>
      <c r="F138" s="16">
        <f>'5323-510 Employee enrichment'!F6</f>
        <v>397.59999999999997</v>
      </c>
      <c r="G138" s="16">
        <f>'5323-510 Employee enrichment'!G6</f>
        <v>44.32</v>
      </c>
      <c r="H138" s="16">
        <f>'5323-510 Employee enrichment'!H6</f>
        <v>351.67</v>
      </c>
      <c r="I138" s="16">
        <f>'5323-510 Employee enrichment'!I6</f>
        <v>248.54999999999998</v>
      </c>
      <c r="J138" s="16">
        <f>'5323-510 Employee enrichment'!J6</f>
        <v>103.86</v>
      </c>
      <c r="K138" s="16">
        <f>'5323-510 Employee enrichment'!K6</f>
        <v>361.36</v>
      </c>
      <c r="L138" s="16">
        <f>'5323-510 Employee enrichment'!L6</f>
        <v>307.81</v>
      </c>
      <c r="M138" s="16">
        <f>'5323-510 Employee enrichment'!M6</f>
        <v>122.41</v>
      </c>
      <c r="N138" s="16">
        <f>'5323-510 Employee enrichment'!N6</f>
        <v>0</v>
      </c>
      <c r="O138" s="17">
        <f>'5323-510 Employee enrichment'!O6</f>
        <v>2786.19</v>
      </c>
    </row>
    <row r="139" spans="1:17" x14ac:dyDescent="0.3">
      <c r="A139" s="86"/>
      <c r="B139" s="49" t="s">
        <v>21</v>
      </c>
      <c r="C139" s="16">
        <f>'5323-510 Employee enrichment'!C7</f>
        <v>146.81</v>
      </c>
      <c r="D139" s="16">
        <f>'5323-510 Employee enrichment'!D7</f>
        <v>155.80000000000001</v>
      </c>
      <c r="E139" s="16">
        <f>'5323-510 Employee enrichment'!E7</f>
        <v>-371.22</v>
      </c>
      <c r="F139" s="16">
        <f>'5323-510 Employee enrichment'!F7</f>
        <v>-137.59999999999997</v>
      </c>
      <c r="G139" s="16">
        <f>'5323-510 Employee enrichment'!G7</f>
        <v>215.68</v>
      </c>
      <c r="H139" s="16">
        <f>'5323-510 Employee enrichment'!H7</f>
        <v>-91.670000000000016</v>
      </c>
      <c r="I139" s="16">
        <f>'5323-510 Employee enrichment'!I7</f>
        <v>11.450000000000017</v>
      </c>
      <c r="J139" s="16">
        <f>'5323-510 Employee enrichment'!J7</f>
        <v>156.13999999999999</v>
      </c>
      <c r="K139" s="16">
        <f>'5323-510 Employee enrichment'!K7</f>
        <v>-101.36000000000001</v>
      </c>
      <c r="L139" s="16">
        <f>'5323-510 Employee enrichment'!L7</f>
        <v>-47.81</v>
      </c>
      <c r="M139" s="16">
        <f>'5323-510 Employee enrichment'!M7</f>
        <v>137.59</v>
      </c>
      <c r="N139" s="16">
        <f>'5323-510 Employee enrichment'!N7</f>
        <v>260</v>
      </c>
      <c r="O139" s="17">
        <f>'5323-510 Employee enrichment'!O7</f>
        <v>333.80999999999995</v>
      </c>
    </row>
    <row r="140" spans="1:17" ht="28.8" x14ac:dyDescent="0.3">
      <c r="A140" s="86" t="s">
        <v>70</v>
      </c>
      <c r="B140" s="50" t="s">
        <v>23</v>
      </c>
      <c r="C140" s="16">
        <f>'5323-510 Employee enrichment'!C8</f>
        <v>113.19</v>
      </c>
      <c r="D140" s="16">
        <f>'5323-510 Employee enrichment'!D8</f>
        <v>217.39</v>
      </c>
      <c r="E140" s="16">
        <f>'5323-510 Employee enrichment'!E8</f>
        <v>848.61</v>
      </c>
      <c r="F140" s="16">
        <f>'5323-510 Employee enrichment'!F8</f>
        <v>1246.21</v>
      </c>
      <c r="G140" s="16">
        <f>'5323-510 Employee enrichment'!G8</f>
        <v>1290.53</v>
      </c>
      <c r="H140" s="16">
        <f>'5323-510 Employee enrichment'!H8</f>
        <v>1642.2</v>
      </c>
      <c r="I140" s="16">
        <f>'5323-510 Employee enrichment'!I8</f>
        <v>1890.75</v>
      </c>
      <c r="J140" s="16">
        <f>'5323-510 Employee enrichment'!J8</f>
        <v>1994.61</v>
      </c>
      <c r="K140" s="16">
        <f>'5323-510 Employee enrichment'!K8</f>
        <v>2355.9699999999998</v>
      </c>
      <c r="L140" s="16">
        <f>'5323-510 Employee enrichment'!L8</f>
        <v>2663.7799999999997</v>
      </c>
      <c r="M140" s="16">
        <f>'5323-510 Employee enrichment'!M8</f>
        <v>2786.1899999999996</v>
      </c>
      <c r="N140" s="16">
        <f>'5323-510 Employee enrichment'!N8</f>
        <v>2786.1899999999996</v>
      </c>
      <c r="O140" s="17">
        <f>'5323-510 Employee enrichment'!O8</f>
        <v>2786.19</v>
      </c>
    </row>
    <row r="141" spans="1:17" x14ac:dyDescent="0.3">
      <c r="A141" s="87"/>
      <c r="B141" s="51" t="s">
        <v>25</v>
      </c>
      <c r="C141" s="26">
        <f>'5323-510 Employee enrichment'!C9</f>
        <v>146.81</v>
      </c>
      <c r="D141" s="26">
        <f>'5323-510 Employee enrichment'!D9</f>
        <v>302.61</v>
      </c>
      <c r="E141" s="26">
        <f>'5323-510 Employee enrichment'!E9</f>
        <v>-68.610000000000014</v>
      </c>
      <c r="F141" s="26">
        <f>'5323-510 Employee enrichment'!F9</f>
        <v>-206.21000000000004</v>
      </c>
      <c r="G141" s="26">
        <f>'5323-510 Employee enrichment'!G9</f>
        <v>9.4700000000000273</v>
      </c>
      <c r="H141" s="26">
        <f>'5323-510 Employee enrichment'!H9</f>
        <v>-82.200000000000045</v>
      </c>
      <c r="I141" s="26">
        <f>'5323-510 Employee enrichment'!I9</f>
        <v>-70.75</v>
      </c>
      <c r="J141" s="26">
        <f>'5323-510 Employee enrichment'!J9</f>
        <v>85.3900000000001</v>
      </c>
      <c r="K141" s="26">
        <f>'5323-510 Employee enrichment'!K9</f>
        <v>-15.9699999999998</v>
      </c>
      <c r="L141" s="26">
        <f>'5323-510 Employee enrichment'!L9</f>
        <v>-63.779999999999745</v>
      </c>
      <c r="M141" s="26">
        <f>'5323-510 Employee enrichment'!M9</f>
        <v>73.8100000000004</v>
      </c>
      <c r="N141" s="26">
        <f>'5323-510 Employee enrichment'!N9</f>
        <v>333.8100000000004</v>
      </c>
      <c r="O141" s="24">
        <f>'5323-510 Employee enrichment'!O9</f>
        <v>0</v>
      </c>
    </row>
    <row r="142" spans="1:17" x14ac:dyDescent="0.3"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</row>
    <row r="143" spans="1:17" x14ac:dyDescent="0.3">
      <c r="A143" s="85" t="s">
        <v>71</v>
      </c>
      <c r="B143" s="57" t="s">
        <v>16</v>
      </c>
      <c r="C143" s="14">
        <f>'5324-510 Miscellaneous'!C3</f>
        <v>442</v>
      </c>
      <c r="D143" s="14">
        <f>'5324-510 Miscellaneous'!D3</f>
        <v>539.83000000000004</v>
      </c>
      <c r="E143" s="14">
        <f>'5324-510 Miscellaneous'!E3</f>
        <v>77.430000000000007</v>
      </c>
      <c r="F143" s="14">
        <f>'5324-510 Miscellaneous'!F3</f>
        <v>853.32999999999993</v>
      </c>
      <c r="G143" s="14">
        <f>'5324-510 Miscellaneous'!G3</f>
        <v>0</v>
      </c>
      <c r="H143" s="14">
        <f>'5324-510 Miscellaneous'!H3</f>
        <v>0</v>
      </c>
      <c r="I143" s="14">
        <f>'5324-510 Miscellaneous'!I3</f>
        <v>0</v>
      </c>
      <c r="J143" s="14">
        <f>'5324-510 Miscellaneous'!J3</f>
        <v>0</v>
      </c>
      <c r="K143" s="14">
        <f>'5324-510 Miscellaneous'!K3</f>
        <v>110.77</v>
      </c>
      <c r="L143" s="14">
        <f>'5324-510 Miscellaneous'!L3</f>
        <v>0</v>
      </c>
      <c r="M143" s="14">
        <f>'5324-510 Miscellaneous'!M3</f>
        <v>0</v>
      </c>
      <c r="N143" s="14">
        <f>'5324-510 Miscellaneous'!N3</f>
        <v>0</v>
      </c>
      <c r="O143" s="15">
        <f>'5324-510 Miscellaneous'!O3</f>
        <v>2023.3600000000001</v>
      </c>
    </row>
    <row r="144" spans="1:17" x14ac:dyDescent="0.3">
      <c r="A144" s="86"/>
      <c r="B144" s="50" t="s">
        <v>29</v>
      </c>
      <c r="C144" s="16">
        <f>'5324-510 Miscellaneous'!C4</f>
        <v>0</v>
      </c>
      <c r="D144" s="16">
        <f>'5324-510 Miscellaneous'!D4</f>
        <v>0</v>
      </c>
      <c r="E144" s="16">
        <f>'5324-510 Miscellaneous'!E4</f>
        <v>0</v>
      </c>
      <c r="F144" s="16">
        <f>'5324-510 Miscellaneous'!F4</f>
        <v>0</v>
      </c>
      <c r="G144" s="16">
        <f>'5324-510 Miscellaneous'!G4</f>
        <v>0</v>
      </c>
      <c r="H144" s="16">
        <f>'5324-510 Miscellaneous'!H4</f>
        <v>0</v>
      </c>
      <c r="I144" s="16">
        <f>'5324-510 Miscellaneous'!I4</f>
        <v>0</v>
      </c>
      <c r="J144" s="16">
        <f>'5324-510 Miscellaneous'!J4</f>
        <v>0</v>
      </c>
      <c r="K144" s="16">
        <f>'5324-510 Miscellaneous'!K4</f>
        <v>618.89</v>
      </c>
      <c r="L144" s="16">
        <f>'5324-510 Miscellaneous'!L4</f>
        <v>0</v>
      </c>
      <c r="M144" s="16">
        <f>'5324-510 Miscellaneous'!M4</f>
        <v>0</v>
      </c>
      <c r="N144" s="16">
        <f>'5324-510 Miscellaneous'!N4</f>
        <v>0</v>
      </c>
      <c r="O144" s="17">
        <f>'5324-510 Miscellaneous'!O4</f>
        <v>618.89</v>
      </c>
      <c r="Q144" s="33">
        <f>O144-O143</f>
        <v>-1404.4700000000003</v>
      </c>
    </row>
    <row r="145" spans="1:18" x14ac:dyDescent="0.3">
      <c r="A145" s="86"/>
      <c r="B145" s="49" t="s">
        <v>31</v>
      </c>
      <c r="C145" s="16">
        <f>'5324-510 Miscellaneous'!C5</f>
        <v>0</v>
      </c>
      <c r="D145" s="16">
        <f>'5324-510 Miscellaneous'!D5</f>
        <v>0</v>
      </c>
      <c r="E145" s="16">
        <f>'5324-510 Miscellaneous'!E5</f>
        <v>0</v>
      </c>
      <c r="F145" s="16">
        <f>'5324-510 Miscellaneous'!F5</f>
        <v>0</v>
      </c>
      <c r="G145" s="16">
        <f>'5324-510 Miscellaneous'!G5</f>
        <v>0</v>
      </c>
      <c r="H145" s="16">
        <f>'5324-510 Miscellaneous'!H5</f>
        <v>0</v>
      </c>
      <c r="I145" s="16">
        <f>'5324-510 Miscellaneous'!I5</f>
        <v>0</v>
      </c>
      <c r="J145" s="16">
        <f>'5324-510 Miscellaneous'!J5</f>
        <v>0</v>
      </c>
      <c r="K145" s="16">
        <f>'5324-510 Miscellaneous'!K5</f>
        <v>500</v>
      </c>
      <c r="L145" s="16">
        <f>'5324-510 Miscellaneous'!L5</f>
        <v>0</v>
      </c>
      <c r="M145" s="16">
        <f>'5324-510 Miscellaneous'!M5</f>
        <v>0</v>
      </c>
      <c r="N145" s="16">
        <f>'5324-510 Miscellaneous'!N5</f>
        <v>0</v>
      </c>
      <c r="O145" s="17">
        <f>'5324-510 Miscellaneous'!O5</f>
        <v>500</v>
      </c>
    </row>
    <row r="146" spans="1:18" x14ac:dyDescent="0.3">
      <c r="A146" s="86"/>
      <c r="B146" s="49" t="s">
        <v>32</v>
      </c>
      <c r="C146" s="16">
        <f>'5324-510 Miscellaneous'!C6</f>
        <v>0</v>
      </c>
      <c r="D146" s="16">
        <f>'5324-510 Miscellaneous'!D6</f>
        <v>0</v>
      </c>
      <c r="E146" s="16">
        <f>'5324-510 Miscellaneous'!E6</f>
        <v>0</v>
      </c>
      <c r="F146" s="16">
        <f>'5324-510 Miscellaneous'!F6</f>
        <v>0</v>
      </c>
      <c r="G146" s="16">
        <f>'5324-510 Miscellaneous'!G6</f>
        <v>0</v>
      </c>
      <c r="H146" s="16">
        <f>'5324-510 Miscellaneous'!H6</f>
        <v>214.68</v>
      </c>
      <c r="I146" s="16">
        <f>'5324-510 Miscellaneous'!I6</f>
        <v>0</v>
      </c>
      <c r="J146" s="16">
        <f>'5324-510 Miscellaneous'!J6</f>
        <v>0</v>
      </c>
      <c r="K146" s="16">
        <f>'5324-510 Miscellaneous'!K6</f>
        <v>118.89</v>
      </c>
      <c r="L146" s="16">
        <f>'5324-510 Miscellaneous'!L6</f>
        <v>0</v>
      </c>
      <c r="M146" s="16">
        <f>'5324-510 Miscellaneous'!M6</f>
        <v>0</v>
      </c>
      <c r="N146" s="16">
        <f>'5324-510 Miscellaneous'!N6</f>
        <v>0</v>
      </c>
      <c r="O146" s="17">
        <f>'5324-510 Miscellaneous'!O6</f>
        <v>1931.4900000000002</v>
      </c>
    </row>
    <row r="147" spans="1:18" x14ac:dyDescent="0.3">
      <c r="A147" s="86"/>
      <c r="B147" s="49" t="s">
        <v>21</v>
      </c>
      <c r="C147" s="16">
        <f>'5324-510 Miscellaneous'!C7</f>
        <v>0</v>
      </c>
      <c r="D147" s="16">
        <f>'5324-510 Miscellaneous'!D7</f>
        <v>0</v>
      </c>
      <c r="E147" s="16">
        <f>'5324-510 Miscellaneous'!E7</f>
        <v>0</v>
      </c>
      <c r="F147" s="16">
        <f>'5324-510 Miscellaneous'!F7</f>
        <v>0</v>
      </c>
      <c r="G147" s="16">
        <f>'5324-510 Miscellaneous'!G7</f>
        <v>0</v>
      </c>
      <c r="H147" s="16">
        <f>'5324-510 Miscellaneous'!H7</f>
        <v>-214.68</v>
      </c>
      <c r="I147" s="16">
        <f>'5324-510 Miscellaneous'!I7</f>
        <v>0</v>
      </c>
      <c r="J147" s="16">
        <f>'5324-510 Miscellaneous'!J7</f>
        <v>0</v>
      </c>
      <c r="K147" s="16">
        <f>'5324-510 Miscellaneous'!K7</f>
        <v>381.11</v>
      </c>
      <c r="L147" s="16">
        <f>'5324-510 Miscellaneous'!L7</f>
        <v>0</v>
      </c>
      <c r="M147" s="16">
        <f>'5324-510 Miscellaneous'!M7</f>
        <v>0</v>
      </c>
      <c r="N147" s="16">
        <f>'5324-510 Miscellaneous'!N7</f>
        <v>0</v>
      </c>
      <c r="O147" s="17">
        <f>'5324-510 Miscellaneous'!O7</f>
        <v>-1431.4900000000002</v>
      </c>
    </row>
    <row r="148" spans="1:18" ht="28.8" x14ac:dyDescent="0.3">
      <c r="A148" s="86" t="s">
        <v>72</v>
      </c>
      <c r="B148" s="50" t="s">
        <v>23</v>
      </c>
      <c r="C148" s="16">
        <f>'5324-510 Miscellaneous'!C8</f>
        <v>0</v>
      </c>
      <c r="D148" s="16">
        <f>'5324-510 Miscellaneous'!D8</f>
        <v>0</v>
      </c>
      <c r="E148" s="16">
        <f>'5324-510 Miscellaneous'!E8</f>
        <v>0</v>
      </c>
      <c r="F148" s="16">
        <f>'5324-510 Miscellaneous'!F8</f>
        <v>0</v>
      </c>
      <c r="G148" s="16">
        <f>'5324-510 Miscellaneous'!G8</f>
        <v>0</v>
      </c>
      <c r="H148" s="16">
        <f>'5324-510 Miscellaneous'!H8</f>
        <v>214.68</v>
      </c>
      <c r="I148" s="16">
        <f>'5324-510 Miscellaneous'!I8</f>
        <v>214.68</v>
      </c>
      <c r="J148" s="16">
        <f>'5324-510 Miscellaneous'!J8</f>
        <v>214.68</v>
      </c>
      <c r="K148" s="16">
        <f>'5324-510 Miscellaneous'!K8</f>
        <v>333.57</v>
      </c>
      <c r="L148" s="16">
        <f>'5324-510 Miscellaneous'!L8</f>
        <v>333.57</v>
      </c>
      <c r="M148" s="16">
        <f>'5324-510 Miscellaneous'!M8</f>
        <v>333.57</v>
      </c>
      <c r="N148" s="16">
        <f>'5324-510 Miscellaneous'!N8</f>
        <v>333.57</v>
      </c>
      <c r="O148" s="17">
        <f>'5324-510 Miscellaneous'!O8</f>
        <v>1931.4900000000002</v>
      </c>
    </row>
    <row r="149" spans="1:18" x14ac:dyDescent="0.3">
      <c r="A149" s="87"/>
      <c r="B149" s="51" t="s">
        <v>25</v>
      </c>
      <c r="C149" s="26">
        <f>'5324-510 Miscellaneous'!C9</f>
        <v>0</v>
      </c>
      <c r="D149" s="26">
        <f>'5324-510 Miscellaneous'!D9</f>
        <v>0</v>
      </c>
      <c r="E149" s="26">
        <f>'5324-510 Miscellaneous'!E9</f>
        <v>0</v>
      </c>
      <c r="F149" s="26">
        <f>'5324-510 Miscellaneous'!F9</f>
        <v>0</v>
      </c>
      <c r="G149" s="26">
        <f>'5324-510 Miscellaneous'!G9</f>
        <v>0</v>
      </c>
      <c r="H149" s="26">
        <f>'5324-510 Miscellaneous'!H9</f>
        <v>-214.68</v>
      </c>
      <c r="I149" s="26">
        <f>'5324-510 Miscellaneous'!I9</f>
        <v>-214.68</v>
      </c>
      <c r="J149" s="26">
        <f>'5324-510 Miscellaneous'!J9</f>
        <v>-214.68</v>
      </c>
      <c r="K149" s="26">
        <f>'5324-510 Miscellaneous'!K9</f>
        <v>166.43</v>
      </c>
      <c r="L149" s="26">
        <f>'5324-510 Miscellaneous'!L9</f>
        <v>166.43</v>
      </c>
      <c r="M149" s="26">
        <f>'5324-510 Miscellaneous'!M9</f>
        <v>166.43</v>
      </c>
      <c r="N149" s="26">
        <f>'5324-510 Miscellaneous'!N9</f>
        <v>166.43</v>
      </c>
      <c r="O149" s="24">
        <f>'5324-510 Miscellaneous'!O9</f>
        <v>0</v>
      </c>
    </row>
    <row r="150" spans="1:18" x14ac:dyDescent="0.3"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</row>
    <row r="151" spans="1:18" x14ac:dyDescent="0.3">
      <c r="A151" s="85" t="s">
        <v>73</v>
      </c>
      <c r="B151" s="57" t="s">
        <v>16</v>
      </c>
      <c r="C151" s="14">
        <f>'5325-510 Subscriptions &amp; Dues'!C3</f>
        <v>0</v>
      </c>
      <c r="D151" s="14">
        <f>'5325-510 Subscriptions &amp; Dues'!D3</f>
        <v>0</v>
      </c>
      <c r="E151" s="14">
        <f>'5325-510 Subscriptions &amp; Dues'!E3</f>
        <v>84.71</v>
      </c>
      <c r="F151" s="14">
        <f>'5325-510 Subscriptions &amp; Dues'!F3</f>
        <v>0</v>
      </c>
      <c r="G151" s="14">
        <f>'5325-510 Subscriptions &amp; Dues'!G3</f>
        <v>0</v>
      </c>
      <c r="H151" s="14">
        <f>'5325-510 Subscriptions &amp; Dues'!H3</f>
        <v>0</v>
      </c>
      <c r="I151" s="14">
        <f>'5325-510 Subscriptions &amp; Dues'!I3</f>
        <v>0</v>
      </c>
      <c r="J151" s="14">
        <f>'5325-510 Subscriptions &amp; Dues'!J3</f>
        <v>0</v>
      </c>
      <c r="K151" s="14">
        <f>'5325-510 Subscriptions &amp; Dues'!K3</f>
        <v>225</v>
      </c>
      <c r="L151" s="14">
        <f>'5325-510 Subscriptions &amp; Dues'!L3</f>
        <v>0</v>
      </c>
      <c r="M151" s="14">
        <f>'5325-510 Subscriptions &amp; Dues'!M3</f>
        <v>573.71</v>
      </c>
      <c r="N151" s="14">
        <f>'5325-510 Subscriptions &amp; Dues'!N3</f>
        <v>0</v>
      </c>
      <c r="O151" s="15">
        <f>'5325-510 Subscriptions &amp; Dues'!O3</f>
        <v>883.42000000000007</v>
      </c>
    </row>
    <row r="152" spans="1:18" x14ac:dyDescent="0.3">
      <c r="A152" s="86"/>
      <c r="B152" s="50" t="s">
        <v>29</v>
      </c>
      <c r="C152" s="16">
        <f>'5325-510 Subscriptions &amp; Dues'!C4</f>
        <v>0</v>
      </c>
      <c r="D152" s="16">
        <f>'5325-510 Subscriptions &amp; Dues'!D4</f>
        <v>0</v>
      </c>
      <c r="E152" s="16">
        <f>'5325-510 Subscriptions &amp; Dues'!E4</f>
        <v>0</v>
      </c>
      <c r="F152" s="16">
        <f>'5325-510 Subscriptions &amp; Dues'!F4</f>
        <v>0</v>
      </c>
      <c r="G152" s="16">
        <f>'5325-510 Subscriptions &amp; Dues'!G4</f>
        <v>0</v>
      </c>
      <c r="H152" s="16">
        <f>'5325-510 Subscriptions &amp; Dues'!H4</f>
        <v>0</v>
      </c>
      <c r="I152" s="16">
        <f>'5325-510 Subscriptions &amp; Dues'!I4</f>
        <v>0</v>
      </c>
      <c r="J152" s="16">
        <f>'5325-510 Subscriptions &amp; Dues'!J4</f>
        <v>0</v>
      </c>
      <c r="K152" s="16">
        <f>'5325-510 Subscriptions &amp; Dues'!K4</f>
        <v>0</v>
      </c>
      <c r="L152" s="16">
        <f>'5325-510 Subscriptions &amp; Dues'!L4</f>
        <v>0</v>
      </c>
      <c r="M152" s="16">
        <f>'5325-510 Subscriptions &amp; Dues'!M4</f>
        <v>0</v>
      </c>
      <c r="N152" s="16">
        <f>'5325-510 Subscriptions &amp; Dues'!N4</f>
        <v>0</v>
      </c>
      <c r="O152" s="17">
        <f>'5325-510 Subscriptions &amp; Dues'!O4</f>
        <v>0</v>
      </c>
      <c r="Q152" s="33">
        <f>O152-O151</f>
        <v>-883.42000000000007</v>
      </c>
    </row>
    <row r="153" spans="1:18" x14ac:dyDescent="0.3">
      <c r="A153" s="86"/>
      <c r="B153" s="49" t="s">
        <v>31</v>
      </c>
      <c r="C153" s="16">
        <f>'5325-510 Subscriptions &amp; Dues'!C5</f>
        <v>0</v>
      </c>
      <c r="D153" s="16">
        <f>'5325-510 Subscriptions &amp; Dues'!D5</f>
        <v>0</v>
      </c>
      <c r="E153" s="16">
        <f>'5325-510 Subscriptions &amp; Dues'!E5</f>
        <v>0</v>
      </c>
      <c r="F153" s="16">
        <f>'5325-510 Subscriptions &amp; Dues'!F5</f>
        <v>0</v>
      </c>
      <c r="G153" s="16">
        <f>'5325-510 Subscriptions &amp; Dues'!G5</f>
        <v>0</v>
      </c>
      <c r="H153" s="16">
        <f>'5325-510 Subscriptions &amp; Dues'!H5</f>
        <v>0</v>
      </c>
      <c r="I153" s="16">
        <f>'5325-510 Subscriptions &amp; Dues'!I5</f>
        <v>0</v>
      </c>
      <c r="J153" s="16">
        <f>'5325-510 Subscriptions &amp; Dues'!J5</f>
        <v>0</v>
      </c>
      <c r="K153" s="16">
        <f>'5325-510 Subscriptions &amp; Dues'!K5</f>
        <v>0</v>
      </c>
      <c r="L153" s="16">
        <f>'5325-510 Subscriptions &amp; Dues'!L5</f>
        <v>0</v>
      </c>
      <c r="M153" s="16">
        <f>'5325-510 Subscriptions &amp; Dues'!M5</f>
        <v>0</v>
      </c>
      <c r="N153" s="16">
        <f>'5325-510 Subscriptions &amp; Dues'!N5</f>
        <v>0</v>
      </c>
      <c r="O153" s="17">
        <f>'5325-510 Subscriptions &amp; Dues'!O5</f>
        <v>0</v>
      </c>
    </row>
    <row r="154" spans="1:18" x14ac:dyDescent="0.3">
      <c r="A154" s="86"/>
      <c r="B154" s="49" t="s">
        <v>32</v>
      </c>
      <c r="C154" s="16">
        <f>'5325-510 Subscriptions &amp; Dues'!C6</f>
        <v>0</v>
      </c>
      <c r="D154" s="16">
        <f>'5325-510 Subscriptions &amp; Dues'!D6</f>
        <v>0</v>
      </c>
      <c r="E154" s="16">
        <f>'5325-510 Subscriptions &amp; Dues'!E6</f>
        <v>0</v>
      </c>
      <c r="F154" s="16">
        <f>'5325-510 Subscriptions &amp; Dues'!F6</f>
        <v>0</v>
      </c>
      <c r="G154" s="16">
        <f>'5325-510 Subscriptions &amp; Dues'!G6</f>
        <v>54.07</v>
      </c>
      <c r="H154" s="16">
        <f>'5325-510 Subscriptions &amp; Dues'!H6</f>
        <v>0</v>
      </c>
      <c r="I154" s="16">
        <f>'5325-510 Subscriptions &amp; Dues'!I6</f>
        <v>0</v>
      </c>
      <c r="J154" s="16">
        <f>'5325-510 Subscriptions &amp; Dues'!J6</f>
        <v>0</v>
      </c>
      <c r="K154" s="16">
        <f>'5325-510 Subscriptions &amp; Dues'!K6</f>
        <v>407</v>
      </c>
      <c r="L154" s="16">
        <f>'5325-510 Subscriptions &amp; Dues'!L6</f>
        <v>0</v>
      </c>
      <c r="M154" s="16">
        <f>'5325-510 Subscriptions &amp; Dues'!M6</f>
        <v>0</v>
      </c>
      <c r="N154" s="16">
        <f>'5325-510 Subscriptions &amp; Dues'!N6</f>
        <v>0</v>
      </c>
      <c r="O154" s="17">
        <f>'5325-510 Subscriptions &amp; Dues'!O6</f>
        <v>461.07</v>
      </c>
    </row>
    <row r="155" spans="1:18" x14ac:dyDescent="0.3">
      <c r="A155" s="86"/>
      <c r="B155" s="49" t="s">
        <v>21</v>
      </c>
      <c r="C155" s="16">
        <f>'5325-510 Subscriptions &amp; Dues'!C7</f>
        <v>0</v>
      </c>
      <c r="D155" s="16">
        <f>'5325-510 Subscriptions &amp; Dues'!D7</f>
        <v>0</v>
      </c>
      <c r="E155" s="16">
        <f>'5325-510 Subscriptions &amp; Dues'!E7</f>
        <v>0</v>
      </c>
      <c r="F155" s="16">
        <f>'5325-510 Subscriptions &amp; Dues'!F7</f>
        <v>0</v>
      </c>
      <c r="G155" s="16">
        <f>'5325-510 Subscriptions &amp; Dues'!G7</f>
        <v>-54.07</v>
      </c>
      <c r="H155" s="16">
        <f>'5325-510 Subscriptions &amp; Dues'!H7</f>
        <v>0</v>
      </c>
      <c r="I155" s="16">
        <f>'5325-510 Subscriptions &amp; Dues'!I7</f>
        <v>0</v>
      </c>
      <c r="J155" s="16">
        <f>'5325-510 Subscriptions &amp; Dues'!J7</f>
        <v>0</v>
      </c>
      <c r="K155" s="16">
        <f>'5325-510 Subscriptions &amp; Dues'!K7</f>
        <v>-407</v>
      </c>
      <c r="L155" s="16">
        <f>'5325-510 Subscriptions &amp; Dues'!L7</f>
        <v>0</v>
      </c>
      <c r="M155" s="16">
        <f>'5325-510 Subscriptions &amp; Dues'!M7</f>
        <v>0</v>
      </c>
      <c r="N155" s="16">
        <f>'5325-510 Subscriptions &amp; Dues'!N7</f>
        <v>0</v>
      </c>
      <c r="O155" s="17">
        <f>'5325-510 Subscriptions &amp; Dues'!O7</f>
        <v>-461.07</v>
      </c>
    </row>
    <row r="156" spans="1:18" x14ac:dyDescent="0.3">
      <c r="A156" s="84" t="s">
        <v>74</v>
      </c>
      <c r="B156" s="50" t="s">
        <v>23</v>
      </c>
      <c r="C156" s="16">
        <f>'5325-510 Subscriptions &amp; Dues'!C8</f>
        <v>0</v>
      </c>
      <c r="D156" s="16">
        <f>'5325-510 Subscriptions &amp; Dues'!D8</f>
        <v>0</v>
      </c>
      <c r="E156" s="16">
        <f>'5325-510 Subscriptions &amp; Dues'!E8</f>
        <v>0</v>
      </c>
      <c r="F156" s="16">
        <f>'5325-510 Subscriptions &amp; Dues'!F8</f>
        <v>0</v>
      </c>
      <c r="G156" s="16">
        <f>'5325-510 Subscriptions &amp; Dues'!G8</f>
        <v>54.07</v>
      </c>
      <c r="H156" s="16">
        <f>'5325-510 Subscriptions &amp; Dues'!H8</f>
        <v>54.07</v>
      </c>
      <c r="I156" s="16">
        <f>'5325-510 Subscriptions &amp; Dues'!I8</f>
        <v>54.07</v>
      </c>
      <c r="J156" s="16">
        <f>'5325-510 Subscriptions &amp; Dues'!J8</f>
        <v>54.07</v>
      </c>
      <c r="K156" s="16">
        <f>'5325-510 Subscriptions &amp; Dues'!K8</f>
        <v>461.07</v>
      </c>
      <c r="L156" s="16">
        <f>'5325-510 Subscriptions &amp; Dues'!L8</f>
        <v>461.07</v>
      </c>
      <c r="M156" s="16">
        <f>'5325-510 Subscriptions &amp; Dues'!M8</f>
        <v>461.07</v>
      </c>
      <c r="N156" s="16">
        <f>'5325-510 Subscriptions &amp; Dues'!N8</f>
        <v>461.07</v>
      </c>
      <c r="O156" s="17">
        <f>'5325-510 Subscriptions &amp; Dues'!O8</f>
        <v>461.07</v>
      </c>
    </row>
    <row r="157" spans="1:18" x14ac:dyDescent="0.3">
      <c r="A157" s="93"/>
      <c r="B157" s="51" t="s">
        <v>25</v>
      </c>
      <c r="C157" s="26">
        <f>'5325-510 Subscriptions &amp; Dues'!C9</f>
        <v>0</v>
      </c>
      <c r="D157" s="26">
        <f>'5325-510 Subscriptions &amp; Dues'!D9</f>
        <v>0</v>
      </c>
      <c r="E157" s="26">
        <f>'5325-510 Subscriptions &amp; Dues'!E9</f>
        <v>0</v>
      </c>
      <c r="F157" s="26">
        <f>'5325-510 Subscriptions &amp; Dues'!F9</f>
        <v>0</v>
      </c>
      <c r="G157" s="26">
        <f>'5325-510 Subscriptions &amp; Dues'!G9</f>
        <v>-54.07</v>
      </c>
      <c r="H157" s="26">
        <f>'5325-510 Subscriptions &amp; Dues'!H9</f>
        <v>-54.07</v>
      </c>
      <c r="I157" s="26">
        <f>'5325-510 Subscriptions &amp; Dues'!I9</f>
        <v>-54.07</v>
      </c>
      <c r="J157" s="26">
        <f>'5325-510 Subscriptions &amp; Dues'!J9</f>
        <v>-54.07</v>
      </c>
      <c r="K157" s="26">
        <f>'5325-510 Subscriptions &amp; Dues'!K9</f>
        <v>-461.07</v>
      </c>
      <c r="L157" s="26">
        <f>'5325-510 Subscriptions &amp; Dues'!L9</f>
        <v>-461.07</v>
      </c>
      <c r="M157" s="26">
        <f>'5325-510 Subscriptions &amp; Dues'!M9</f>
        <v>-461.07</v>
      </c>
      <c r="N157" s="26">
        <f>'5325-510 Subscriptions &amp; Dues'!N9</f>
        <v>-461.07</v>
      </c>
      <c r="O157" s="24">
        <f>'5325-510 Subscriptions &amp; Dues'!O9</f>
        <v>0</v>
      </c>
    </row>
    <row r="158" spans="1:18" x14ac:dyDescent="0.3"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</row>
    <row r="159" spans="1:18" x14ac:dyDescent="0.3">
      <c r="A159" s="85" t="s">
        <v>75</v>
      </c>
      <c r="B159" s="57" t="s">
        <v>16</v>
      </c>
      <c r="C159" s="14">
        <f>'5326-510 Travel'!C3</f>
        <v>0</v>
      </c>
      <c r="D159" s="14">
        <f>'5326-510 Travel'!D3</f>
        <v>0</v>
      </c>
      <c r="E159" s="14">
        <f>'5326-510 Travel'!E3</f>
        <v>0</v>
      </c>
      <c r="F159" s="14">
        <f>'5326-510 Travel'!F3</f>
        <v>23371.3</v>
      </c>
      <c r="G159" s="14">
        <f>'5326-510 Travel'!G3</f>
        <v>-405.78999999999996</v>
      </c>
      <c r="H159" s="14">
        <f>'5326-510 Travel'!H3</f>
        <v>0</v>
      </c>
      <c r="I159" s="14">
        <f>'5326-510 Travel'!I3</f>
        <v>5447.23</v>
      </c>
      <c r="J159" s="14">
        <f>'5326-510 Travel'!J3</f>
        <v>0</v>
      </c>
      <c r="K159" s="14">
        <f>'5326-510 Travel'!K3</f>
        <v>7345.85</v>
      </c>
      <c r="L159" s="14">
        <f>'5326-510 Travel'!L3</f>
        <v>1608.74</v>
      </c>
      <c r="M159" s="14">
        <f>'5326-510 Travel'!M3</f>
        <v>1394.43</v>
      </c>
      <c r="N159" s="14">
        <f>'5326-510 Travel'!N3</f>
        <v>0</v>
      </c>
      <c r="O159" s="15">
        <f>'5326-510 Travel'!O3</f>
        <v>38761.760000000009</v>
      </c>
    </row>
    <row r="160" spans="1:18" x14ac:dyDescent="0.3">
      <c r="A160" s="86"/>
      <c r="B160" s="50" t="s">
        <v>29</v>
      </c>
      <c r="C160" s="16">
        <f>'5326-510 Travel'!C4</f>
        <v>0</v>
      </c>
      <c r="D160" s="16">
        <f>'5326-510 Travel'!D4</f>
        <v>5170</v>
      </c>
      <c r="E160" s="16">
        <f>'5326-510 Travel'!E4</f>
        <v>300</v>
      </c>
      <c r="F160" s="16">
        <f>'5326-510 Travel'!F4</f>
        <v>0</v>
      </c>
      <c r="G160" s="16">
        <f>'5326-510 Travel'!G4</f>
        <v>17800</v>
      </c>
      <c r="H160" s="16">
        <f>'5326-510 Travel'!H4</f>
        <v>4500</v>
      </c>
      <c r="I160" s="16">
        <f>'5326-510 Travel'!I4</f>
        <v>0</v>
      </c>
      <c r="J160" s="16">
        <f>'5326-510 Travel'!J4</f>
        <v>0</v>
      </c>
      <c r="K160" s="16">
        <f>'5326-510 Travel'!K4</f>
        <v>8000</v>
      </c>
      <c r="L160" s="16">
        <f>'5326-510 Travel'!L4</f>
        <v>0</v>
      </c>
      <c r="M160" s="16">
        <f>'5326-510 Travel'!M4</f>
        <v>7800</v>
      </c>
      <c r="N160" s="16">
        <f>'5326-510 Travel'!N4</f>
        <v>0</v>
      </c>
      <c r="O160" s="17">
        <f>'5326-510 Travel'!O4</f>
        <v>43570</v>
      </c>
      <c r="Q160" s="33">
        <f>O160-O159</f>
        <v>4808.2399999999907</v>
      </c>
      <c r="R160" t="s">
        <v>76</v>
      </c>
    </row>
    <row r="161" spans="1:17" x14ac:dyDescent="0.3">
      <c r="A161" s="86"/>
      <c r="B161" s="49" t="s">
        <v>31</v>
      </c>
      <c r="C161" s="16">
        <f>'5326-510 Travel'!C5</f>
        <v>0</v>
      </c>
      <c r="D161" s="16">
        <f>'5326-510 Travel'!D5</f>
        <v>6000</v>
      </c>
      <c r="E161" s="16">
        <f>'5326-510 Travel'!E5</f>
        <v>0</v>
      </c>
      <c r="F161" s="16">
        <f>'5326-510 Travel'!F5</f>
        <v>0</v>
      </c>
      <c r="G161" s="16">
        <f>'5326-510 Travel'!G5</f>
        <v>6000</v>
      </c>
      <c r="H161" s="16">
        <f>'5326-510 Travel'!H5</f>
        <v>0</v>
      </c>
      <c r="I161" s="16">
        <f>'5326-510 Travel'!I5</f>
        <v>0</v>
      </c>
      <c r="J161" s="16">
        <f>'5326-510 Travel'!J5</f>
        <v>0</v>
      </c>
      <c r="K161" s="16">
        <f>'5326-510 Travel'!K5</f>
        <v>6000</v>
      </c>
      <c r="L161" s="16">
        <f>'5326-510 Travel'!L5</f>
        <v>0</v>
      </c>
      <c r="M161" s="16">
        <f>'5326-510 Travel'!M5</f>
        <v>6000</v>
      </c>
      <c r="N161" s="16">
        <f>'5326-510 Travel'!N5</f>
        <v>0</v>
      </c>
      <c r="O161" s="17">
        <f>'5326-510 Travel'!O5</f>
        <v>24000</v>
      </c>
    </row>
    <row r="162" spans="1:17" x14ac:dyDescent="0.3">
      <c r="A162" s="86"/>
      <c r="B162" s="49" t="s">
        <v>32</v>
      </c>
      <c r="C162" s="16">
        <f>'5326-510 Travel'!C6</f>
        <v>0</v>
      </c>
      <c r="D162" s="16">
        <f>'5326-510 Travel'!D6</f>
        <v>0</v>
      </c>
      <c r="E162" s="16">
        <f>'5326-510 Travel'!E6</f>
        <v>12709.199999999999</v>
      </c>
      <c r="F162" s="16">
        <f>'5326-510 Travel'!F6</f>
        <v>2030.4099999999999</v>
      </c>
      <c r="G162" s="16">
        <f>'5326-510 Travel'!G6</f>
        <v>12593.92</v>
      </c>
      <c r="H162" s="16">
        <f>'5326-510 Travel'!H6</f>
        <v>1175.17</v>
      </c>
      <c r="I162" s="16">
        <f>'5326-510 Travel'!I6</f>
        <v>0</v>
      </c>
      <c r="J162" s="16">
        <f>'5326-510 Travel'!J6</f>
        <v>478.2</v>
      </c>
      <c r="K162" s="16">
        <f>'5326-510 Travel'!K6</f>
        <v>2625.13</v>
      </c>
      <c r="L162" s="16">
        <f>'5326-510 Travel'!L6</f>
        <v>0</v>
      </c>
      <c r="M162" s="16">
        <f>'5326-510 Travel'!M6</f>
        <v>0</v>
      </c>
      <c r="N162" s="16">
        <f>'5326-510 Travel'!N6</f>
        <v>0</v>
      </c>
      <c r="O162" s="17">
        <f>'5326-510 Travel'!O6</f>
        <v>31612.030000000002</v>
      </c>
    </row>
    <row r="163" spans="1:17" x14ac:dyDescent="0.3">
      <c r="A163" s="86"/>
      <c r="B163" s="49" t="s">
        <v>21</v>
      </c>
      <c r="C163" s="16">
        <f>'5326-510 Travel'!C7</f>
        <v>0</v>
      </c>
      <c r="D163" s="16">
        <f>'5326-510 Travel'!D7</f>
        <v>6000</v>
      </c>
      <c r="E163" s="16">
        <f>'5326-510 Travel'!E7</f>
        <v>-12709.199999999999</v>
      </c>
      <c r="F163" s="16">
        <f>'5326-510 Travel'!F7</f>
        <v>-2030.4099999999999</v>
      </c>
      <c r="G163" s="16">
        <f>'5326-510 Travel'!G7</f>
        <v>-6593.92</v>
      </c>
      <c r="H163" s="16">
        <f>'5326-510 Travel'!H7</f>
        <v>-1175.17</v>
      </c>
      <c r="I163" s="16">
        <f>'5326-510 Travel'!I7</f>
        <v>0</v>
      </c>
      <c r="J163" s="16">
        <f>'5326-510 Travel'!J7</f>
        <v>-478.2</v>
      </c>
      <c r="K163" s="16">
        <f>'5326-510 Travel'!K7</f>
        <v>3374.87</v>
      </c>
      <c r="L163" s="16">
        <f>'5326-510 Travel'!L7</f>
        <v>0</v>
      </c>
      <c r="M163" s="16">
        <f>'5326-510 Travel'!M7</f>
        <v>6000</v>
      </c>
      <c r="N163" s="16">
        <f>'5326-510 Travel'!N7</f>
        <v>0</v>
      </c>
      <c r="O163" s="17">
        <f>'5326-510 Travel'!O7</f>
        <v>-7612.0300000000025</v>
      </c>
    </row>
    <row r="164" spans="1:17" ht="28.8" x14ac:dyDescent="0.3">
      <c r="A164" s="86" t="s">
        <v>77</v>
      </c>
      <c r="B164" s="50" t="s">
        <v>23</v>
      </c>
      <c r="C164" s="16">
        <f>'5326-510 Travel'!C8</f>
        <v>0</v>
      </c>
      <c r="D164" s="16">
        <f>'5326-510 Travel'!D8</f>
        <v>0</v>
      </c>
      <c r="E164" s="16">
        <f>'5326-510 Travel'!E8</f>
        <v>12709.199999999999</v>
      </c>
      <c r="F164" s="16">
        <f>'5326-510 Travel'!F8</f>
        <v>14739.609999999999</v>
      </c>
      <c r="G164" s="16">
        <f>'5326-510 Travel'!G8</f>
        <v>27333.53</v>
      </c>
      <c r="H164" s="16">
        <f>'5326-510 Travel'!H8</f>
        <v>28508.699999999997</v>
      </c>
      <c r="I164" s="16">
        <f>'5326-510 Travel'!I8</f>
        <v>28508.699999999997</v>
      </c>
      <c r="J164" s="16">
        <f>'5326-510 Travel'!J8</f>
        <v>28986.899999999998</v>
      </c>
      <c r="K164" s="16">
        <f>'5326-510 Travel'!K8</f>
        <v>31612.03</v>
      </c>
      <c r="L164" s="16">
        <f>'5326-510 Travel'!L8</f>
        <v>31612.03</v>
      </c>
      <c r="M164" s="16">
        <f>'5326-510 Travel'!M8</f>
        <v>31612.03</v>
      </c>
      <c r="N164" s="16">
        <f>'5326-510 Travel'!N8</f>
        <v>31612.03</v>
      </c>
      <c r="O164" s="17">
        <f>'5326-510 Travel'!O8</f>
        <v>31612.030000000002</v>
      </c>
    </row>
    <row r="165" spans="1:17" x14ac:dyDescent="0.3">
      <c r="A165" s="87"/>
      <c r="B165" s="51" t="s">
        <v>25</v>
      </c>
      <c r="C165" s="26">
        <f>'5326-510 Travel'!C9</f>
        <v>0</v>
      </c>
      <c r="D165" s="26">
        <f>'5326-510 Travel'!D9</f>
        <v>6000</v>
      </c>
      <c r="E165" s="26">
        <f>'5326-510 Travel'!E9</f>
        <v>-6709.1999999999989</v>
      </c>
      <c r="F165" s="26">
        <f>'5326-510 Travel'!F9</f>
        <v>-8739.6099999999988</v>
      </c>
      <c r="G165" s="26">
        <f>'5326-510 Travel'!G9</f>
        <v>-15333.529999999999</v>
      </c>
      <c r="H165" s="26">
        <f>'5326-510 Travel'!H9</f>
        <v>-16508.699999999997</v>
      </c>
      <c r="I165" s="26">
        <f>'5326-510 Travel'!I9</f>
        <v>-16508.699999999997</v>
      </c>
      <c r="J165" s="26">
        <f>'5326-510 Travel'!J9</f>
        <v>-16986.899999999998</v>
      </c>
      <c r="K165" s="26">
        <f>'5326-510 Travel'!K9</f>
        <v>-13612.029999999999</v>
      </c>
      <c r="L165" s="26">
        <f>'5326-510 Travel'!L9</f>
        <v>-13612.029999999999</v>
      </c>
      <c r="M165" s="26">
        <f>'5326-510 Travel'!M9</f>
        <v>-7612.0299999999988</v>
      </c>
      <c r="N165" s="26">
        <f>'5326-510 Travel'!N9</f>
        <v>-7612.0299999999988</v>
      </c>
      <c r="O165" s="24">
        <f>'5326-510 Travel'!O9</f>
        <v>0</v>
      </c>
    </row>
    <row r="166" spans="1:17" x14ac:dyDescent="0.3"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</row>
    <row r="167" spans="1:17" x14ac:dyDescent="0.3">
      <c r="A167" s="85" t="s">
        <v>78</v>
      </c>
      <c r="B167" s="57" t="s">
        <v>16</v>
      </c>
      <c r="C167" s="14">
        <f>'5327-510 Meals, Hosting'!C3</f>
        <v>0</v>
      </c>
      <c r="D167" s="14">
        <f>'5327-510 Meals, Hosting'!D3</f>
        <v>335.24</v>
      </c>
      <c r="E167" s="14">
        <f>'5327-510 Meals, Hosting'!E3</f>
        <v>0</v>
      </c>
      <c r="F167" s="14">
        <f>'5327-510 Meals, Hosting'!F3</f>
        <v>138.76999999999998</v>
      </c>
      <c r="G167" s="14">
        <f>'5327-510 Meals, Hosting'!G3</f>
        <v>371.93</v>
      </c>
      <c r="H167" s="14">
        <f>'5327-510 Meals, Hosting'!H3</f>
        <v>0</v>
      </c>
      <c r="I167" s="14">
        <f>'5327-510 Meals, Hosting'!I3</f>
        <v>0</v>
      </c>
      <c r="J167" s="14">
        <f>'5327-510 Meals, Hosting'!J3</f>
        <v>0</v>
      </c>
      <c r="K167" s="14">
        <f>'5327-510 Meals, Hosting'!K3</f>
        <v>0</v>
      </c>
      <c r="L167" s="14">
        <f>'5327-510 Meals, Hosting'!L3</f>
        <v>0</v>
      </c>
      <c r="M167" s="14">
        <f>'5327-510 Meals, Hosting'!M3</f>
        <v>0</v>
      </c>
      <c r="N167" s="14">
        <f>'5327-510 Meals, Hosting'!N3</f>
        <v>0</v>
      </c>
      <c r="O167" s="15">
        <f>'5327-510 Meals, Hosting'!O3</f>
        <v>845.94</v>
      </c>
    </row>
    <row r="168" spans="1:17" x14ac:dyDescent="0.3">
      <c r="A168" s="86"/>
      <c r="B168" s="50" t="s">
        <v>29</v>
      </c>
      <c r="C168" s="16">
        <f>'5327-510 Meals, Hosting'!C4</f>
        <v>400</v>
      </c>
      <c r="D168" s="16">
        <f>'5327-510 Meals, Hosting'!D4</f>
        <v>400</v>
      </c>
      <c r="E168" s="16">
        <f>'5327-510 Meals, Hosting'!E4</f>
        <v>400</v>
      </c>
      <c r="F168" s="16">
        <f>'5327-510 Meals, Hosting'!F4</f>
        <v>400</v>
      </c>
      <c r="G168" s="16">
        <f>'5327-510 Meals, Hosting'!G4</f>
        <v>400</v>
      </c>
      <c r="H168" s="16">
        <f>'5327-510 Meals, Hosting'!H4</f>
        <v>400</v>
      </c>
      <c r="I168" s="16">
        <f>'5327-510 Meals, Hosting'!I4</f>
        <v>400</v>
      </c>
      <c r="J168" s="16">
        <f>'5327-510 Meals, Hosting'!J4</f>
        <v>400</v>
      </c>
      <c r="K168" s="16">
        <f>'5327-510 Meals, Hosting'!K4</f>
        <v>400</v>
      </c>
      <c r="L168" s="16">
        <f>'5327-510 Meals, Hosting'!L4</f>
        <v>400</v>
      </c>
      <c r="M168" s="16">
        <f>'5327-510 Meals, Hosting'!M4</f>
        <v>400</v>
      </c>
      <c r="N168" s="16">
        <f>'5327-510 Meals, Hosting'!N4</f>
        <v>400</v>
      </c>
      <c r="O168" s="17">
        <f>'5327-510 Meals, Hosting'!O4</f>
        <v>4800</v>
      </c>
      <c r="Q168" s="33">
        <f>O168-O167</f>
        <v>3954.06</v>
      </c>
    </row>
    <row r="169" spans="1:17" x14ac:dyDescent="0.3">
      <c r="A169" s="86"/>
      <c r="B169" s="49" t="s">
        <v>31</v>
      </c>
      <c r="C169" s="16">
        <f>'5327-510 Meals, Hosting'!C5</f>
        <v>500</v>
      </c>
      <c r="D169" s="16">
        <f>'5327-510 Meals, Hosting'!D5</f>
        <v>500</v>
      </c>
      <c r="E169" s="16">
        <f>'5327-510 Meals, Hosting'!E5</f>
        <v>500</v>
      </c>
      <c r="F169" s="16">
        <f>'5327-510 Meals, Hosting'!F5</f>
        <v>500</v>
      </c>
      <c r="G169" s="16">
        <f>'5327-510 Meals, Hosting'!G5</f>
        <v>500</v>
      </c>
      <c r="H169" s="16">
        <f>'5327-510 Meals, Hosting'!H5</f>
        <v>500</v>
      </c>
      <c r="I169" s="16">
        <f>'5327-510 Meals, Hosting'!I5</f>
        <v>500</v>
      </c>
      <c r="J169" s="16">
        <f>'5327-510 Meals, Hosting'!J5</f>
        <v>500</v>
      </c>
      <c r="K169" s="16">
        <f>'5327-510 Meals, Hosting'!K5</f>
        <v>500</v>
      </c>
      <c r="L169" s="16">
        <f>'5327-510 Meals, Hosting'!L5</f>
        <v>500</v>
      </c>
      <c r="M169" s="16">
        <f>'5327-510 Meals, Hosting'!M5</f>
        <v>500</v>
      </c>
      <c r="N169" s="16">
        <f>'5327-510 Meals, Hosting'!N5</f>
        <v>500</v>
      </c>
      <c r="O169" s="17">
        <f>'5327-510 Meals, Hosting'!O5</f>
        <v>6000</v>
      </c>
    </row>
    <row r="170" spans="1:17" x14ac:dyDescent="0.3">
      <c r="A170" s="86"/>
      <c r="B170" s="49" t="s">
        <v>32</v>
      </c>
      <c r="C170" s="16">
        <f>'5327-510 Meals, Hosting'!C6</f>
        <v>0</v>
      </c>
      <c r="D170" s="16">
        <f>'5327-510 Meals, Hosting'!D6</f>
        <v>1553.88</v>
      </c>
      <c r="E170" s="16">
        <f>'5327-510 Meals, Hosting'!E6</f>
        <v>0</v>
      </c>
      <c r="F170" s="16">
        <f>'5327-510 Meals, Hosting'!F6</f>
        <v>0</v>
      </c>
      <c r="G170" s="16">
        <f>'5327-510 Meals, Hosting'!G6</f>
        <v>71.64</v>
      </c>
      <c r="H170" s="16">
        <f>'5327-510 Meals, Hosting'!H6</f>
        <v>98.97</v>
      </c>
      <c r="I170" s="16">
        <f>'5327-510 Meals, Hosting'!I6</f>
        <v>0</v>
      </c>
      <c r="J170" s="16">
        <f>'5327-510 Meals, Hosting'!J6</f>
        <v>78.569999999999993</v>
      </c>
      <c r="K170" s="16">
        <f>'5327-510 Meals, Hosting'!K6</f>
        <v>0</v>
      </c>
      <c r="L170" s="16">
        <f>'5327-510 Meals, Hosting'!L6</f>
        <v>0</v>
      </c>
      <c r="M170" s="16">
        <f>'5327-510 Meals, Hosting'!M6</f>
        <v>0</v>
      </c>
      <c r="N170" s="16">
        <f>'5327-510 Meals, Hosting'!N6</f>
        <v>0</v>
      </c>
      <c r="O170" s="17">
        <f>'5327-510 Meals, Hosting'!O6</f>
        <v>1803.0600000000002</v>
      </c>
    </row>
    <row r="171" spans="1:17" x14ac:dyDescent="0.3">
      <c r="A171" s="86"/>
      <c r="B171" s="49" t="s">
        <v>21</v>
      </c>
      <c r="C171" s="16">
        <f>'5327-510 Meals, Hosting'!C7</f>
        <v>500</v>
      </c>
      <c r="D171" s="16">
        <f>'5327-510 Meals, Hosting'!D7</f>
        <v>-1053.8800000000001</v>
      </c>
      <c r="E171" s="16">
        <f>'5327-510 Meals, Hosting'!E7</f>
        <v>500</v>
      </c>
      <c r="F171" s="16">
        <f>'5327-510 Meals, Hosting'!F7</f>
        <v>500</v>
      </c>
      <c r="G171" s="16">
        <f>'5327-510 Meals, Hosting'!G7</f>
        <v>428.36</v>
      </c>
      <c r="H171" s="16">
        <f>'5327-510 Meals, Hosting'!H7</f>
        <v>401.03</v>
      </c>
      <c r="I171" s="16">
        <f>'5327-510 Meals, Hosting'!I7</f>
        <v>500</v>
      </c>
      <c r="J171" s="16">
        <f>'5327-510 Meals, Hosting'!J7</f>
        <v>421.43</v>
      </c>
      <c r="K171" s="16">
        <f>'5327-510 Meals, Hosting'!K7</f>
        <v>500</v>
      </c>
      <c r="L171" s="16">
        <f>'5327-510 Meals, Hosting'!L7</f>
        <v>500</v>
      </c>
      <c r="M171" s="16">
        <f>'5327-510 Meals, Hosting'!M7</f>
        <v>500</v>
      </c>
      <c r="N171" s="16">
        <f>'5327-510 Meals, Hosting'!N7</f>
        <v>500</v>
      </c>
      <c r="O171" s="17">
        <f>'5327-510 Meals, Hosting'!O7</f>
        <v>4196.9399999999996</v>
      </c>
    </row>
    <row r="172" spans="1:17" x14ac:dyDescent="0.3">
      <c r="A172" s="84" t="s">
        <v>79</v>
      </c>
      <c r="B172" s="50" t="s">
        <v>23</v>
      </c>
      <c r="C172" s="16">
        <f>'5327-510 Meals, Hosting'!C8</f>
        <v>0</v>
      </c>
      <c r="D172" s="16">
        <f>'5327-510 Meals, Hosting'!D8</f>
        <v>1553.88</v>
      </c>
      <c r="E172" s="16">
        <f>'5327-510 Meals, Hosting'!E8</f>
        <v>1553.88</v>
      </c>
      <c r="F172" s="16">
        <f>'5327-510 Meals, Hosting'!F8</f>
        <v>1553.88</v>
      </c>
      <c r="G172" s="16">
        <f>'5327-510 Meals, Hosting'!G8</f>
        <v>1625.5200000000002</v>
      </c>
      <c r="H172" s="16">
        <f>'5327-510 Meals, Hosting'!H8</f>
        <v>1724.4900000000002</v>
      </c>
      <c r="I172" s="16">
        <f>'5327-510 Meals, Hosting'!I8</f>
        <v>1724.4900000000002</v>
      </c>
      <c r="J172" s="16">
        <f>'5327-510 Meals, Hosting'!J8</f>
        <v>1803.0600000000002</v>
      </c>
      <c r="K172" s="16">
        <f>'5327-510 Meals, Hosting'!K8</f>
        <v>1803.0600000000002</v>
      </c>
      <c r="L172" s="16">
        <f>'5327-510 Meals, Hosting'!L8</f>
        <v>1803.0600000000002</v>
      </c>
      <c r="M172" s="16">
        <f>'5327-510 Meals, Hosting'!M8</f>
        <v>1803.0600000000002</v>
      </c>
      <c r="N172" s="16">
        <f>'5327-510 Meals, Hosting'!N8</f>
        <v>1803.0600000000002</v>
      </c>
      <c r="O172" s="17">
        <f>'5327-510 Meals, Hosting'!O8</f>
        <v>1803.0600000000002</v>
      </c>
    </row>
    <row r="173" spans="1:17" x14ac:dyDescent="0.3">
      <c r="A173" s="93"/>
      <c r="B173" s="51" t="s">
        <v>25</v>
      </c>
      <c r="C173" s="26">
        <f>'5327-510 Meals, Hosting'!C9</f>
        <v>500</v>
      </c>
      <c r="D173" s="26">
        <f>'5327-510 Meals, Hosting'!D9</f>
        <v>-553.88000000000011</v>
      </c>
      <c r="E173" s="26">
        <f>'5327-510 Meals, Hosting'!E9</f>
        <v>-53.880000000000109</v>
      </c>
      <c r="F173" s="26">
        <f>'5327-510 Meals, Hosting'!F9</f>
        <v>446.11999999999989</v>
      </c>
      <c r="G173" s="26">
        <f>'5327-510 Meals, Hosting'!G9</f>
        <v>874.47999999999979</v>
      </c>
      <c r="H173" s="26">
        <f>'5327-510 Meals, Hosting'!H9</f>
        <v>1275.5099999999998</v>
      </c>
      <c r="I173" s="26">
        <f>'5327-510 Meals, Hosting'!I9</f>
        <v>1775.5099999999998</v>
      </c>
      <c r="J173" s="26">
        <f>'5327-510 Meals, Hosting'!J9</f>
        <v>2196.9399999999996</v>
      </c>
      <c r="K173" s="26">
        <f>'5327-510 Meals, Hosting'!K9</f>
        <v>2696.9399999999996</v>
      </c>
      <c r="L173" s="26">
        <f>'5327-510 Meals, Hosting'!L9</f>
        <v>3196.9399999999996</v>
      </c>
      <c r="M173" s="26">
        <f>'5327-510 Meals, Hosting'!M9</f>
        <v>3696.9399999999996</v>
      </c>
      <c r="N173" s="26">
        <f>'5327-510 Meals, Hosting'!N9</f>
        <v>4196.9399999999996</v>
      </c>
      <c r="O173" s="24">
        <f>'5327-510 Meals, Hosting'!O9</f>
        <v>0</v>
      </c>
    </row>
    <row r="174" spans="1:17" x14ac:dyDescent="0.3"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</row>
    <row r="175" spans="1:17" x14ac:dyDescent="0.3">
      <c r="A175" s="85" t="s">
        <v>80</v>
      </c>
      <c r="B175" s="57" t="s">
        <v>16</v>
      </c>
      <c r="C175" s="14">
        <f>'5328-510 Vehicle Expense'!C3</f>
        <v>27.84</v>
      </c>
      <c r="D175" s="14">
        <f>'5328-510 Vehicle Expense'!D3</f>
        <v>0</v>
      </c>
      <c r="E175" s="14">
        <f>'5328-510 Vehicle Expense'!E3</f>
        <v>0</v>
      </c>
      <c r="F175" s="14">
        <f>'5328-510 Vehicle Expense'!F3</f>
        <v>20</v>
      </c>
      <c r="G175" s="14">
        <f>'5328-510 Vehicle Expense'!G3</f>
        <v>0</v>
      </c>
      <c r="H175" s="14">
        <f>'5328-510 Vehicle Expense'!H3</f>
        <v>251.31</v>
      </c>
      <c r="I175" s="14">
        <f>'5328-510 Vehicle Expense'!I3</f>
        <v>0</v>
      </c>
      <c r="J175" s="14">
        <f>'5328-510 Vehicle Expense'!J3</f>
        <v>0</v>
      </c>
      <c r="K175" s="14">
        <f>'5328-510 Vehicle Expense'!K3</f>
        <v>0</v>
      </c>
      <c r="L175" s="14">
        <f>'5328-510 Vehicle Expense'!L3</f>
        <v>0</v>
      </c>
      <c r="M175" s="14">
        <f>'5328-510 Vehicle Expense'!M3</f>
        <v>4.5</v>
      </c>
      <c r="N175" s="14">
        <f>'5328-510 Vehicle Expense'!N3</f>
        <v>0</v>
      </c>
      <c r="O175" s="15">
        <f>'5328-510 Vehicle Expense'!O3</f>
        <v>303.64999999999998</v>
      </c>
    </row>
    <row r="176" spans="1:17" x14ac:dyDescent="0.3">
      <c r="A176" s="86"/>
      <c r="B176" s="50" t="s">
        <v>29</v>
      </c>
      <c r="C176" s="16">
        <f>'5328-510 Vehicle Expense'!C4</f>
        <v>150</v>
      </c>
      <c r="D176" s="16">
        <f>'5328-510 Vehicle Expense'!D4</f>
        <v>150</v>
      </c>
      <c r="E176" s="16">
        <f>'5328-510 Vehicle Expense'!E4</f>
        <v>150</v>
      </c>
      <c r="F176" s="16">
        <f>'5328-510 Vehicle Expense'!F4</f>
        <v>150</v>
      </c>
      <c r="G176" s="16">
        <f>'5328-510 Vehicle Expense'!G4</f>
        <v>150</v>
      </c>
      <c r="H176" s="16">
        <f>'5328-510 Vehicle Expense'!H4</f>
        <v>150</v>
      </c>
      <c r="I176" s="16">
        <f>'5328-510 Vehicle Expense'!I4</f>
        <v>155</v>
      </c>
      <c r="J176" s="16">
        <f>'5328-510 Vehicle Expense'!J4</f>
        <v>173</v>
      </c>
      <c r="K176" s="16">
        <f>'5328-510 Vehicle Expense'!K4</f>
        <v>164</v>
      </c>
      <c r="L176" s="16">
        <f>'5328-510 Vehicle Expense'!L4</f>
        <v>150</v>
      </c>
      <c r="M176" s="16">
        <f>'5328-510 Vehicle Expense'!M4</f>
        <v>150</v>
      </c>
      <c r="N176" s="16">
        <f>'5328-510 Vehicle Expense'!N4</f>
        <v>150</v>
      </c>
      <c r="O176" s="17">
        <f>'5328-510 Vehicle Expense'!O4</f>
        <v>1842</v>
      </c>
      <c r="Q176" s="33">
        <f>O176-O175</f>
        <v>1538.35</v>
      </c>
    </row>
    <row r="177" spans="1:17" x14ac:dyDescent="0.3">
      <c r="A177" s="86"/>
      <c r="B177" s="49" t="s">
        <v>31</v>
      </c>
      <c r="C177" s="16">
        <f>'5328-510 Vehicle Expense'!C5</f>
        <v>150</v>
      </c>
      <c r="D177" s="16">
        <f>'5328-510 Vehicle Expense'!D5</f>
        <v>150</v>
      </c>
      <c r="E177" s="16">
        <f>'5328-510 Vehicle Expense'!E5</f>
        <v>150</v>
      </c>
      <c r="F177" s="16">
        <f>'5328-510 Vehicle Expense'!F5</f>
        <v>150</v>
      </c>
      <c r="G177" s="16">
        <f>'5328-510 Vehicle Expense'!G5</f>
        <v>150</v>
      </c>
      <c r="H177" s="16">
        <f>'5328-510 Vehicle Expense'!H5</f>
        <v>150</v>
      </c>
      <c r="I177" s="16">
        <f>'5328-510 Vehicle Expense'!I5</f>
        <v>155</v>
      </c>
      <c r="J177" s="16">
        <f>'5328-510 Vehicle Expense'!J5</f>
        <v>173</v>
      </c>
      <c r="K177" s="16">
        <f>'5328-510 Vehicle Expense'!K5</f>
        <v>164</v>
      </c>
      <c r="L177" s="16">
        <f>'5328-510 Vehicle Expense'!L5</f>
        <v>150</v>
      </c>
      <c r="M177" s="16">
        <f>'5328-510 Vehicle Expense'!M5</f>
        <v>150</v>
      </c>
      <c r="N177" s="16">
        <f>'5328-510 Vehicle Expense'!N5</f>
        <v>150</v>
      </c>
      <c r="O177" s="17">
        <f>'5328-510 Vehicle Expense'!O5</f>
        <v>1842</v>
      </c>
    </row>
    <row r="178" spans="1:17" x14ac:dyDescent="0.3">
      <c r="A178" s="86"/>
      <c r="B178" s="49" t="s">
        <v>32</v>
      </c>
      <c r="C178" s="16">
        <f>'5328-510 Vehicle Expense'!C6</f>
        <v>0</v>
      </c>
      <c r="D178" s="16">
        <f>'5328-510 Vehicle Expense'!D6</f>
        <v>3</v>
      </c>
      <c r="E178" s="16">
        <f>'5328-510 Vehicle Expense'!E6</f>
        <v>0</v>
      </c>
      <c r="F178" s="16">
        <f>'5328-510 Vehicle Expense'!F6</f>
        <v>145.35000000000002</v>
      </c>
      <c r="G178" s="16">
        <f>'5328-510 Vehicle Expense'!G6</f>
        <v>0</v>
      </c>
      <c r="H178" s="16">
        <f>'5328-510 Vehicle Expense'!H6</f>
        <v>0</v>
      </c>
      <c r="I178" s="16">
        <f>'5328-510 Vehicle Expense'!I6</f>
        <v>0</v>
      </c>
      <c r="J178" s="16">
        <f>'5328-510 Vehicle Expense'!J6</f>
        <v>95.2</v>
      </c>
      <c r="K178" s="16">
        <f>'5328-510 Vehicle Expense'!K6</f>
        <v>0</v>
      </c>
      <c r="L178" s="16">
        <f>'5328-510 Vehicle Expense'!L6</f>
        <v>0</v>
      </c>
      <c r="M178" s="16">
        <f>'5328-510 Vehicle Expense'!M6</f>
        <v>0</v>
      </c>
      <c r="N178" s="16">
        <f>'5328-510 Vehicle Expense'!N6</f>
        <v>0</v>
      </c>
      <c r="O178" s="17">
        <f>'5328-510 Vehicle Expense'!O6</f>
        <v>243.55</v>
      </c>
    </row>
    <row r="179" spans="1:17" x14ac:dyDescent="0.3">
      <c r="A179" s="86"/>
      <c r="B179" s="49" t="s">
        <v>21</v>
      </c>
      <c r="C179" s="16">
        <f>'5328-510 Vehicle Expense'!C7</f>
        <v>150</v>
      </c>
      <c r="D179" s="16">
        <f>'5328-510 Vehicle Expense'!D7</f>
        <v>147</v>
      </c>
      <c r="E179" s="16">
        <f>'5328-510 Vehicle Expense'!E7</f>
        <v>150</v>
      </c>
      <c r="F179" s="16">
        <f>'5328-510 Vehicle Expense'!F7</f>
        <v>4.6499999999999773</v>
      </c>
      <c r="G179" s="16">
        <f>'5328-510 Vehicle Expense'!G7</f>
        <v>150</v>
      </c>
      <c r="H179" s="16">
        <f>'5328-510 Vehicle Expense'!H7</f>
        <v>150</v>
      </c>
      <c r="I179" s="16">
        <f>'5328-510 Vehicle Expense'!I7</f>
        <v>155</v>
      </c>
      <c r="J179" s="16">
        <f>'5328-510 Vehicle Expense'!J7</f>
        <v>77.8</v>
      </c>
      <c r="K179" s="16">
        <f>'5328-510 Vehicle Expense'!K7</f>
        <v>164</v>
      </c>
      <c r="L179" s="16">
        <f>'5328-510 Vehicle Expense'!L7</f>
        <v>150</v>
      </c>
      <c r="M179" s="16">
        <f>'5328-510 Vehicle Expense'!M7</f>
        <v>150</v>
      </c>
      <c r="N179" s="16">
        <f>'5328-510 Vehicle Expense'!N7</f>
        <v>150</v>
      </c>
      <c r="O179" s="17">
        <f>'5328-510 Vehicle Expense'!O7</f>
        <v>1598.45</v>
      </c>
    </row>
    <row r="180" spans="1:17" x14ac:dyDescent="0.3">
      <c r="A180" s="84" t="s">
        <v>81</v>
      </c>
      <c r="B180" s="50" t="s">
        <v>23</v>
      </c>
      <c r="C180" s="16">
        <f>'5328-510 Vehicle Expense'!C8</f>
        <v>0</v>
      </c>
      <c r="D180" s="16">
        <f>'5328-510 Vehicle Expense'!D8</f>
        <v>3</v>
      </c>
      <c r="E180" s="16">
        <f>'5328-510 Vehicle Expense'!E8</f>
        <v>3</v>
      </c>
      <c r="F180" s="16">
        <f>'5328-510 Vehicle Expense'!F8</f>
        <v>148.35000000000002</v>
      </c>
      <c r="G180" s="16">
        <f>'5328-510 Vehicle Expense'!G8</f>
        <v>148.35000000000002</v>
      </c>
      <c r="H180" s="16">
        <f>'5328-510 Vehicle Expense'!H8</f>
        <v>148.35000000000002</v>
      </c>
      <c r="I180" s="16">
        <f>'5328-510 Vehicle Expense'!I8</f>
        <v>148.35000000000002</v>
      </c>
      <c r="J180" s="16">
        <f>'5328-510 Vehicle Expense'!J8</f>
        <v>243.55</v>
      </c>
      <c r="K180" s="16">
        <f>'5328-510 Vehicle Expense'!K8</f>
        <v>243.55</v>
      </c>
      <c r="L180" s="16">
        <f>'5328-510 Vehicle Expense'!L8</f>
        <v>243.55</v>
      </c>
      <c r="M180" s="16">
        <f>'5328-510 Vehicle Expense'!M8</f>
        <v>243.55</v>
      </c>
      <c r="N180" s="16">
        <f>'5328-510 Vehicle Expense'!N8</f>
        <v>243.55</v>
      </c>
      <c r="O180" s="17">
        <f>'5328-510 Vehicle Expense'!O8</f>
        <v>243.55</v>
      </c>
    </row>
    <row r="181" spans="1:17" x14ac:dyDescent="0.3">
      <c r="A181" s="93"/>
      <c r="B181" s="51" t="s">
        <v>25</v>
      </c>
      <c r="C181" s="26">
        <f>'5328-510 Vehicle Expense'!C9</f>
        <v>150</v>
      </c>
      <c r="D181" s="26">
        <f>'5328-510 Vehicle Expense'!D9</f>
        <v>297</v>
      </c>
      <c r="E181" s="26">
        <f>'5328-510 Vehicle Expense'!E9</f>
        <v>447</v>
      </c>
      <c r="F181" s="26">
        <f>'5328-510 Vehicle Expense'!F9</f>
        <v>451.65</v>
      </c>
      <c r="G181" s="26">
        <f>'5328-510 Vehicle Expense'!G9</f>
        <v>601.65</v>
      </c>
      <c r="H181" s="26">
        <f>'5328-510 Vehicle Expense'!H9</f>
        <v>751.65</v>
      </c>
      <c r="I181" s="26">
        <f>'5328-510 Vehicle Expense'!I9</f>
        <v>906.65</v>
      </c>
      <c r="J181" s="26">
        <f>'5328-510 Vehicle Expense'!J9</f>
        <v>984.45</v>
      </c>
      <c r="K181" s="26">
        <f>'5328-510 Vehicle Expense'!K9</f>
        <v>1148.45</v>
      </c>
      <c r="L181" s="26">
        <f>'5328-510 Vehicle Expense'!L9</f>
        <v>1298.45</v>
      </c>
      <c r="M181" s="26">
        <f>'5328-510 Vehicle Expense'!M9</f>
        <v>1448.45</v>
      </c>
      <c r="N181" s="26">
        <f>'5328-510 Vehicle Expense'!N9</f>
        <v>1598.45</v>
      </c>
      <c r="O181" s="24">
        <f>'5328-510 Vehicle Expense'!O9</f>
        <v>0</v>
      </c>
    </row>
    <row r="182" spans="1:17" x14ac:dyDescent="0.3"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</row>
    <row r="183" spans="1:17" x14ac:dyDescent="0.3">
      <c r="A183" s="85" t="s">
        <v>82</v>
      </c>
      <c r="B183" s="57" t="s">
        <v>16</v>
      </c>
      <c r="C183" s="14">
        <f>'5333-510 Consulting'!C3</f>
        <v>0</v>
      </c>
      <c r="D183" s="14">
        <f>'5333-510 Consulting'!D3</f>
        <v>0</v>
      </c>
      <c r="E183" s="14">
        <f>'5333-510 Consulting'!E3</f>
        <v>0</v>
      </c>
      <c r="F183" s="14">
        <f>'5333-510 Consulting'!F3</f>
        <v>0</v>
      </c>
      <c r="G183" s="14">
        <f>'5333-510 Consulting'!G3</f>
        <v>0</v>
      </c>
      <c r="H183" s="14">
        <f>'5333-510 Consulting'!H3</f>
        <v>0</v>
      </c>
      <c r="I183" s="14">
        <f>'5333-510 Consulting'!I3</f>
        <v>0</v>
      </c>
      <c r="J183" s="14">
        <f>'5333-510 Consulting'!J3</f>
        <v>0</v>
      </c>
      <c r="K183" s="14">
        <f>'5333-510 Consulting'!K3</f>
        <v>0</v>
      </c>
      <c r="L183" s="14">
        <f>'5333-510 Consulting'!L3</f>
        <v>0</v>
      </c>
      <c r="M183" s="14">
        <f>'5333-510 Consulting'!M3</f>
        <v>0</v>
      </c>
      <c r="N183" s="14">
        <f>'5333-510 Consulting'!N3</f>
        <v>0</v>
      </c>
      <c r="O183" s="15">
        <f>'5333-510 Consulting'!O3</f>
        <v>0</v>
      </c>
    </row>
    <row r="184" spans="1:17" x14ac:dyDescent="0.3">
      <c r="A184" s="86"/>
      <c r="B184" s="50" t="s">
        <v>29</v>
      </c>
      <c r="C184" s="16">
        <f>'5333-510 Consulting'!C4</f>
        <v>0</v>
      </c>
      <c r="D184" s="16">
        <f>'5333-510 Consulting'!D4</f>
        <v>0</v>
      </c>
      <c r="E184" s="16">
        <f>'5333-510 Consulting'!E4</f>
        <v>0</v>
      </c>
      <c r="F184" s="16">
        <f>'5333-510 Consulting'!F4</f>
        <v>0</v>
      </c>
      <c r="G184" s="16">
        <f>'5333-510 Consulting'!G4</f>
        <v>0</v>
      </c>
      <c r="H184" s="16">
        <f>'5333-510 Consulting'!H4</f>
        <v>0</v>
      </c>
      <c r="I184" s="16">
        <f>'5333-510 Consulting'!I4</f>
        <v>0</v>
      </c>
      <c r="J184" s="16">
        <f>'5333-510 Consulting'!J4</f>
        <v>0</v>
      </c>
      <c r="K184" s="16">
        <f>'5333-510 Consulting'!K4</f>
        <v>0</v>
      </c>
      <c r="L184" s="16">
        <f>'5333-510 Consulting'!L4</f>
        <v>0</v>
      </c>
      <c r="M184" s="16">
        <f>'5333-510 Consulting'!M4</f>
        <v>0</v>
      </c>
      <c r="N184" s="16">
        <f>'5333-510 Consulting'!N4</f>
        <v>0</v>
      </c>
      <c r="O184" s="17">
        <f>'5333-510 Consulting'!O4</f>
        <v>0</v>
      </c>
      <c r="Q184" s="33">
        <f>O184-O183</f>
        <v>0</v>
      </c>
    </row>
    <row r="185" spans="1:17" x14ac:dyDescent="0.3">
      <c r="A185" s="86"/>
      <c r="B185" s="49" t="s">
        <v>31</v>
      </c>
      <c r="C185" s="16">
        <f>'5333-510 Consulting'!C5</f>
        <v>0</v>
      </c>
      <c r="D185" s="16">
        <f>'5333-510 Consulting'!D5</f>
        <v>0</v>
      </c>
      <c r="E185" s="16">
        <f>'5333-510 Consulting'!E5</f>
        <v>0</v>
      </c>
      <c r="F185" s="16">
        <f>'5333-510 Consulting'!F5</f>
        <v>0</v>
      </c>
      <c r="G185" s="16">
        <f>'5333-510 Consulting'!G5</f>
        <v>0</v>
      </c>
      <c r="H185" s="16">
        <f>'5333-510 Consulting'!H5</f>
        <v>0</v>
      </c>
      <c r="I185" s="16">
        <f>'5333-510 Consulting'!I5</f>
        <v>0</v>
      </c>
      <c r="J185" s="16">
        <f>'5333-510 Consulting'!J5</f>
        <v>0</v>
      </c>
      <c r="K185" s="16">
        <f>'5333-510 Consulting'!K5</f>
        <v>0</v>
      </c>
      <c r="L185" s="16">
        <f>'5333-510 Consulting'!L5</f>
        <v>0</v>
      </c>
      <c r="M185" s="16">
        <f>'5333-510 Consulting'!M5</f>
        <v>0</v>
      </c>
      <c r="N185" s="16">
        <f>'5333-510 Consulting'!N5</f>
        <v>0</v>
      </c>
      <c r="O185" s="17">
        <f>'5333-510 Consulting'!O5</f>
        <v>0</v>
      </c>
    </row>
    <row r="186" spans="1:17" x14ac:dyDescent="0.3">
      <c r="A186" s="86"/>
      <c r="B186" s="49" t="s">
        <v>32</v>
      </c>
      <c r="C186" s="16">
        <f>'5333-510 Consulting'!C6</f>
        <v>0</v>
      </c>
      <c r="D186" s="16">
        <f>'5333-510 Consulting'!D6</f>
        <v>0</v>
      </c>
      <c r="E186" s="16">
        <f>'5333-510 Consulting'!E6</f>
        <v>0</v>
      </c>
      <c r="F186" s="16">
        <f>'5333-510 Consulting'!F6</f>
        <v>0</v>
      </c>
      <c r="G186" s="16">
        <f>'5333-510 Consulting'!G6</f>
        <v>0</v>
      </c>
      <c r="H186" s="16">
        <f>'5333-510 Consulting'!H6</f>
        <v>0</v>
      </c>
      <c r="I186" s="16">
        <f>'5333-510 Consulting'!I6</f>
        <v>0</v>
      </c>
      <c r="J186" s="16">
        <f>'5333-510 Consulting'!J6</f>
        <v>0</v>
      </c>
      <c r="K186" s="16">
        <f>'5333-510 Consulting'!K6</f>
        <v>0</v>
      </c>
      <c r="L186" s="16">
        <f>'5333-510 Consulting'!L6</f>
        <v>0</v>
      </c>
      <c r="M186" s="16">
        <f>'5333-510 Consulting'!M6</f>
        <v>0</v>
      </c>
      <c r="N186" s="16">
        <f>'5333-510 Consulting'!N6</f>
        <v>0</v>
      </c>
      <c r="O186" s="17">
        <f>'5333-510 Consulting'!O6</f>
        <v>0</v>
      </c>
    </row>
    <row r="187" spans="1:17" x14ac:dyDescent="0.3">
      <c r="A187" s="86"/>
      <c r="B187" s="49" t="s">
        <v>21</v>
      </c>
      <c r="C187" s="16">
        <f>'5333-510 Consulting'!C7</f>
        <v>0</v>
      </c>
      <c r="D187" s="16">
        <f>'5333-510 Consulting'!D7</f>
        <v>0</v>
      </c>
      <c r="E187" s="16">
        <f>'5333-510 Consulting'!E7</f>
        <v>0</v>
      </c>
      <c r="F187" s="16">
        <f>'5333-510 Consulting'!F7</f>
        <v>0</v>
      </c>
      <c r="G187" s="16">
        <f>'5333-510 Consulting'!G7</f>
        <v>0</v>
      </c>
      <c r="H187" s="16">
        <f>'5333-510 Consulting'!H7</f>
        <v>0</v>
      </c>
      <c r="I187" s="16">
        <f>'5333-510 Consulting'!I7</f>
        <v>0</v>
      </c>
      <c r="J187" s="16">
        <f>'5333-510 Consulting'!J7</f>
        <v>0</v>
      </c>
      <c r="K187" s="16">
        <f>'5333-510 Consulting'!K7</f>
        <v>0</v>
      </c>
      <c r="L187" s="16">
        <f>'5333-510 Consulting'!L7</f>
        <v>0</v>
      </c>
      <c r="M187" s="16">
        <f>'5333-510 Consulting'!M7</f>
        <v>0</v>
      </c>
      <c r="N187" s="16">
        <f>'5333-510 Consulting'!N7</f>
        <v>0</v>
      </c>
      <c r="O187" s="17">
        <f>'5333-510 Consulting'!O7</f>
        <v>0</v>
      </c>
    </row>
    <row r="188" spans="1:17" x14ac:dyDescent="0.3">
      <c r="A188" s="84"/>
      <c r="B188" s="50" t="s">
        <v>23</v>
      </c>
      <c r="C188" s="16">
        <f>'5333-510 Consulting'!C8</f>
        <v>0</v>
      </c>
      <c r="D188" s="16">
        <f>'5333-510 Consulting'!D8</f>
        <v>0</v>
      </c>
      <c r="E188" s="16">
        <f>'5333-510 Consulting'!E8</f>
        <v>0</v>
      </c>
      <c r="F188" s="16">
        <f>'5333-510 Consulting'!F8</f>
        <v>0</v>
      </c>
      <c r="G188" s="16">
        <f>'5333-510 Consulting'!G8</f>
        <v>0</v>
      </c>
      <c r="H188" s="16">
        <f>'5333-510 Consulting'!H8</f>
        <v>0</v>
      </c>
      <c r="I188" s="16">
        <f>'5333-510 Consulting'!I8</f>
        <v>0</v>
      </c>
      <c r="J188" s="16">
        <f>'5333-510 Consulting'!J8</f>
        <v>0</v>
      </c>
      <c r="K188" s="16">
        <f>'5333-510 Consulting'!K8</f>
        <v>0</v>
      </c>
      <c r="L188" s="16">
        <f>'5333-510 Consulting'!L8</f>
        <v>0</v>
      </c>
      <c r="M188" s="16">
        <f>'5333-510 Consulting'!M8</f>
        <v>0</v>
      </c>
      <c r="N188" s="16">
        <f>'5333-510 Consulting'!N8</f>
        <v>0</v>
      </c>
      <c r="O188" s="17">
        <f>'5333-510 Consulting'!O8</f>
        <v>0</v>
      </c>
    </row>
    <row r="189" spans="1:17" x14ac:dyDescent="0.3">
      <c r="A189" s="93"/>
      <c r="B189" s="51" t="s">
        <v>25</v>
      </c>
      <c r="C189" s="26">
        <f>'5333-510 Consulting'!C9</f>
        <v>0</v>
      </c>
      <c r="D189" s="26">
        <f>'5333-510 Consulting'!D9</f>
        <v>0</v>
      </c>
      <c r="E189" s="26">
        <f>'5333-510 Consulting'!E9</f>
        <v>0</v>
      </c>
      <c r="F189" s="26">
        <f>'5333-510 Consulting'!F9</f>
        <v>0</v>
      </c>
      <c r="G189" s="26">
        <f>'5333-510 Consulting'!G9</f>
        <v>0</v>
      </c>
      <c r="H189" s="26">
        <f>'5333-510 Consulting'!H9</f>
        <v>0</v>
      </c>
      <c r="I189" s="26">
        <f>'5333-510 Consulting'!I9</f>
        <v>0</v>
      </c>
      <c r="J189" s="26">
        <f>'5333-510 Consulting'!J9</f>
        <v>0</v>
      </c>
      <c r="K189" s="26">
        <f>'5333-510 Consulting'!K9</f>
        <v>0</v>
      </c>
      <c r="L189" s="26">
        <f>'5333-510 Consulting'!L9</f>
        <v>0</v>
      </c>
      <c r="M189" s="26">
        <f>'5333-510 Consulting'!M9</f>
        <v>0</v>
      </c>
      <c r="N189" s="26">
        <f>'5333-510 Consulting'!N9</f>
        <v>0</v>
      </c>
      <c r="O189" s="24">
        <f>'5333-510 Consulting'!O9</f>
        <v>0</v>
      </c>
    </row>
    <row r="190" spans="1:17" x14ac:dyDescent="0.3"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</row>
    <row r="191" spans="1:17" x14ac:dyDescent="0.3">
      <c r="A191" s="85" t="s">
        <v>83</v>
      </c>
      <c r="B191" s="57" t="s">
        <v>16</v>
      </c>
      <c r="C191" s="14">
        <f>'5336-510 Excise Tax'!C3</f>
        <v>0</v>
      </c>
      <c r="D191" s="14">
        <f>'5336-510 Excise Tax'!D3</f>
        <v>0</v>
      </c>
      <c r="E191" s="14">
        <f>'5336-510 Excise Tax'!E3</f>
        <v>0</v>
      </c>
      <c r="F191" s="14">
        <f>'5336-510 Excise Tax'!F3</f>
        <v>0</v>
      </c>
      <c r="G191" s="14">
        <f>'5336-510 Excise Tax'!G3</f>
        <v>0</v>
      </c>
      <c r="H191" s="14">
        <f>'5336-510 Excise Tax'!H3</f>
        <v>0</v>
      </c>
      <c r="I191" s="14">
        <f>'5336-510 Excise Tax'!I3</f>
        <v>0</v>
      </c>
      <c r="J191" s="14">
        <f>'5336-510 Excise Tax'!J3</f>
        <v>0</v>
      </c>
      <c r="K191" s="14">
        <f>'5336-510 Excise Tax'!K3</f>
        <v>0</v>
      </c>
      <c r="L191" s="14">
        <f>'5336-510 Excise Tax'!L3</f>
        <v>0</v>
      </c>
      <c r="M191" s="14">
        <f>'5336-510 Excise Tax'!M3</f>
        <v>0</v>
      </c>
      <c r="N191" s="14">
        <f>'5336-510 Excise Tax'!N3</f>
        <v>0</v>
      </c>
      <c r="O191" s="15">
        <f>'5336-510 Excise Tax'!O3</f>
        <v>0</v>
      </c>
    </row>
    <row r="192" spans="1:17" x14ac:dyDescent="0.3">
      <c r="A192" s="86"/>
      <c r="B192" s="50" t="s">
        <v>29</v>
      </c>
      <c r="C192" s="16">
        <f>'5336-510 Excise Tax'!C4</f>
        <v>0</v>
      </c>
      <c r="D192" s="16">
        <f>'5336-510 Excise Tax'!D4</f>
        <v>0</v>
      </c>
      <c r="E192" s="16">
        <f>'5336-510 Excise Tax'!E4</f>
        <v>0</v>
      </c>
      <c r="F192" s="16">
        <f>'5336-510 Excise Tax'!F4</f>
        <v>0</v>
      </c>
      <c r="G192" s="16">
        <f>'5336-510 Excise Tax'!G4</f>
        <v>0</v>
      </c>
      <c r="H192" s="16">
        <f>'5336-510 Excise Tax'!H4</f>
        <v>0</v>
      </c>
      <c r="I192" s="16">
        <f>'5336-510 Excise Tax'!I4</f>
        <v>0</v>
      </c>
      <c r="J192" s="16">
        <f>'5336-510 Excise Tax'!J4</f>
        <v>0</v>
      </c>
      <c r="K192" s="16">
        <f>'5336-510 Excise Tax'!K4</f>
        <v>0</v>
      </c>
      <c r="L192" s="16">
        <f>'5336-510 Excise Tax'!L4</f>
        <v>0</v>
      </c>
      <c r="M192" s="16">
        <f>'5336-510 Excise Tax'!M4</f>
        <v>0</v>
      </c>
      <c r="N192" s="16">
        <f>'5336-510 Excise Tax'!N4</f>
        <v>0</v>
      </c>
      <c r="O192" s="17">
        <f>'5336-510 Excise Tax'!O4</f>
        <v>0</v>
      </c>
      <c r="Q192" s="33">
        <f>O192-O191</f>
        <v>0</v>
      </c>
    </row>
    <row r="193" spans="1:18" x14ac:dyDescent="0.3">
      <c r="A193" s="86"/>
      <c r="B193" s="49" t="s">
        <v>31</v>
      </c>
      <c r="C193" s="16">
        <f>'5336-510 Excise Tax'!C5</f>
        <v>0</v>
      </c>
      <c r="D193" s="16">
        <f>'5336-510 Excise Tax'!D5</f>
        <v>0</v>
      </c>
      <c r="E193" s="16">
        <f>'5336-510 Excise Tax'!E5</f>
        <v>0</v>
      </c>
      <c r="F193" s="16">
        <f>'5336-510 Excise Tax'!F5</f>
        <v>0</v>
      </c>
      <c r="G193" s="16">
        <f>'5336-510 Excise Tax'!G5</f>
        <v>0</v>
      </c>
      <c r="H193" s="16">
        <f>'5336-510 Excise Tax'!H5</f>
        <v>0</v>
      </c>
      <c r="I193" s="16">
        <f>'5336-510 Excise Tax'!I5</f>
        <v>0</v>
      </c>
      <c r="J193" s="16">
        <f>'5336-510 Excise Tax'!J5</f>
        <v>0</v>
      </c>
      <c r="K193" s="16">
        <f>'5336-510 Excise Tax'!K5</f>
        <v>0</v>
      </c>
      <c r="L193" s="16">
        <f>'5336-510 Excise Tax'!L5</f>
        <v>0</v>
      </c>
      <c r="M193" s="16">
        <f>'5336-510 Excise Tax'!M5</f>
        <v>0</v>
      </c>
      <c r="N193" s="16">
        <f>'5336-510 Excise Tax'!N5</f>
        <v>0</v>
      </c>
      <c r="O193" s="17">
        <f>'5336-510 Excise Tax'!O5</f>
        <v>0</v>
      </c>
    </row>
    <row r="194" spans="1:18" x14ac:dyDescent="0.3">
      <c r="A194" s="86"/>
      <c r="B194" s="49" t="s">
        <v>32</v>
      </c>
      <c r="C194" s="16">
        <f>'5336-510 Excise Tax'!C6</f>
        <v>0</v>
      </c>
      <c r="D194" s="16">
        <f>'5336-510 Excise Tax'!D6</f>
        <v>0</v>
      </c>
      <c r="E194" s="16">
        <f>'5336-510 Excise Tax'!E6</f>
        <v>0</v>
      </c>
      <c r="F194" s="16">
        <f>'5336-510 Excise Tax'!F6</f>
        <v>0</v>
      </c>
      <c r="G194" s="16">
        <f>'5336-510 Excise Tax'!G6</f>
        <v>0</v>
      </c>
      <c r="H194" s="16">
        <f>'5336-510 Excise Tax'!H6</f>
        <v>0</v>
      </c>
      <c r="I194" s="16">
        <f>'5336-510 Excise Tax'!I6</f>
        <v>0</v>
      </c>
      <c r="J194" s="16">
        <f>'5336-510 Excise Tax'!J6</f>
        <v>0</v>
      </c>
      <c r="K194" s="16">
        <f>'5336-510 Excise Tax'!K6</f>
        <v>0</v>
      </c>
      <c r="L194" s="16">
        <f>'5336-510 Excise Tax'!L6</f>
        <v>0</v>
      </c>
      <c r="M194" s="16">
        <f>'5336-510 Excise Tax'!M6</f>
        <v>0</v>
      </c>
      <c r="N194" s="16">
        <f>'5336-510 Excise Tax'!N6</f>
        <v>0</v>
      </c>
      <c r="O194" s="17">
        <f>'5336-510 Excise Tax'!O6</f>
        <v>0</v>
      </c>
    </row>
    <row r="195" spans="1:18" x14ac:dyDescent="0.3">
      <c r="A195" s="86"/>
      <c r="B195" s="49" t="s">
        <v>21</v>
      </c>
      <c r="C195" s="16">
        <f>'5336-510 Excise Tax'!C7</f>
        <v>0</v>
      </c>
      <c r="D195" s="16">
        <f>'5336-510 Excise Tax'!D7</f>
        <v>0</v>
      </c>
      <c r="E195" s="16">
        <f>'5336-510 Excise Tax'!E7</f>
        <v>0</v>
      </c>
      <c r="F195" s="16">
        <f>'5336-510 Excise Tax'!F7</f>
        <v>0</v>
      </c>
      <c r="G195" s="16">
        <f>'5336-510 Excise Tax'!G7</f>
        <v>0</v>
      </c>
      <c r="H195" s="16">
        <f>'5336-510 Excise Tax'!H7</f>
        <v>0</v>
      </c>
      <c r="I195" s="16">
        <f>'5336-510 Excise Tax'!I7</f>
        <v>0</v>
      </c>
      <c r="J195" s="16">
        <f>'5336-510 Excise Tax'!J7</f>
        <v>0</v>
      </c>
      <c r="K195" s="16">
        <f>'5336-510 Excise Tax'!K7</f>
        <v>0</v>
      </c>
      <c r="L195" s="16">
        <f>'5336-510 Excise Tax'!L7</f>
        <v>0</v>
      </c>
      <c r="M195" s="16">
        <f>'5336-510 Excise Tax'!M7</f>
        <v>0</v>
      </c>
      <c r="N195" s="16">
        <f>'5336-510 Excise Tax'!N7</f>
        <v>0</v>
      </c>
      <c r="O195" s="17">
        <f>'5336-510 Excise Tax'!O7</f>
        <v>0</v>
      </c>
    </row>
    <row r="196" spans="1:18" x14ac:dyDescent="0.3">
      <c r="A196" s="94"/>
      <c r="B196" s="50" t="s">
        <v>23</v>
      </c>
      <c r="C196" s="16">
        <f>'5336-510 Excise Tax'!C8</f>
        <v>0</v>
      </c>
      <c r="D196" s="16">
        <f>'5336-510 Excise Tax'!D8</f>
        <v>0</v>
      </c>
      <c r="E196" s="16">
        <f>'5336-510 Excise Tax'!E8</f>
        <v>0</v>
      </c>
      <c r="F196" s="16">
        <f>'5336-510 Excise Tax'!F8</f>
        <v>0</v>
      </c>
      <c r="G196" s="16">
        <f>'5336-510 Excise Tax'!G8</f>
        <v>0</v>
      </c>
      <c r="H196" s="16">
        <f>'5336-510 Excise Tax'!H8</f>
        <v>0</v>
      </c>
      <c r="I196" s="16">
        <f>'5336-510 Excise Tax'!I8</f>
        <v>0</v>
      </c>
      <c r="J196" s="16">
        <f>'5336-510 Excise Tax'!J8</f>
        <v>0</v>
      </c>
      <c r="K196" s="16">
        <f>'5336-510 Excise Tax'!K8</f>
        <v>0</v>
      </c>
      <c r="L196" s="16">
        <f>'5336-510 Excise Tax'!L8</f>
        <v>0</v>
      </c>
      <c r="M196" s="16">
        <f>'5336-510 Excise Tax'!M8</f>
        <v>0</v>
      </c>
      <c r="N196" s="16">
        <f>'5336-510 Excise Tax'!N8</f>
        <v>0</v>
      </c>
      <c r="O196" s="17">
        <f>'5336-510 Excise Tax'!O8</f>
        <v>0</v>
      </c>
    </row>
    <row r="197" spans="1:18" x14ac:dyDescent="0.3">
      <c r="A197" s="95"/>
      <c r="B197" s="51" t="s">
        <v>25</v>
      </c>
      <c r="C197" s="26">
        <f>'5336-510 Excise Tax'!C9</f>
        <v>0</v>
      </c>
      <c r="D197" s="26">
        <f>'5336-510 Excise Tax'!D9</f>
        <v>0</v>
      </c>
      <c r="E197" s="26">
        <f>'5336-510 Excise Tax'!E9</f>
        <v>0</v>
      </c>
      <c r="F197" s="26">
        <f>'5336-510 Excise Tax'!F9</f>
        <v>0</v>
      </c>
      <c r="G197" s="26">
        <f>'5336-510 Excise Tax'!G9</f>
        <v>0</v>
      </c>
      <c r="H197" s="26">
        <f>'5336-510 Excise Tax'!H9</f>
        <v>0</v>
      </c>
      <c r="I197" s="26">
        <f>'5336-510 Excise Tax'!I9</f>
        <v>0</v>
      </c>
      <c r="J197" s="26">
        <f>'5336-510 Excise Tax'!J9</f>
        <v>0</v>
      </c>
      <c r="K197" s="26">
        <f>'5336-510 Excise Tax'!K9</f>
        <v>0</v>
      </c>
      <c r="L197" s="26">
        <f>'5336-510 Excise Tax'!L9</f>
        <v>0</v>
      </c>
      <c r="M197" s="26">
        <f>'5336-510 Excise Tax'!M9</f>
        <v>0</v>
      </c>
      <c r="N197" s="26">
        <f>'5336-510 Excise Tax'!N9</f>
        <v>0</v>
      </c>
      <c r="O197" s="24">
        <f>'5336-510 Excise Tax'!O9</f>
        <v>0</v>
      </c>
    </row>
    <row r="198" spans="1:18" x14ac:dyDescent="0.3"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</row>
    <row r="199" spans="1:18" x14ac:dyDescent="0.3">
      <c r="A199" s="86" t="s">
        <v>84</v>
      </c>
      <c r="B199" s="49" t="s">
        <v>16</v>
      </c>
      <c r="C199" s="14">
        <f>'5315-630 Technology (MIS)'!C3</f>
        <v>2933.06</v>
      </c>
      <c r="D199" s="14">
        <f>'5315-630 Technology (MIS)'!D3</f>
        <v>4322.33</v>
      </c>
      <c r="E199" s="14">
        <f>'5315-630 Technology (MIS)'!E3</f>
        <v>43334.07</v>
      </c>
      <c r="F199" s="14">
        <f>'5315-630 Technology (MIS)'!F3</f>
        <v>7210.8600000000006</v>
      </c>
      <c r="G199" s="14">
        <f>'5315-630 Technology (MIS)'!G3</f>
        <v>4411.6499999999996</v>
      </c>
      <c r="H199" s="14">
        <f>'5315-630 Technology (MIS)'!H3</f>
        <v>4692.3099999999995</v>
      </c>
      <c r="I199" s="14">
        <f>'5315-630 Technology (MIS)'!I3</f>
        <v>5262.45</v>
      </c>
      <c r="J199" s="14">
        <f>'5315-630 Technology (MIS)'!J3</f>
        <v>4715.6899999999996</v>
      </c>
      <c r="K199" s="14">
        <f>'5315-630 Technology (MIS)'!K3</f>
        <v>7064.16</v>
      </c>
      <c r="L199" s="14">
        <f>'5315-630 Technology (MIS)'!L3</f>
        <v>6939.98</v>
      </c>
      <c r="M199" s="14">
        <f>'5315-630 Technology (MIS)'!M3</f>
        <v>4745.24</v>
      </c>
      <c r="N199" s="14">
        <f>'5315-630 Technology (MIS)'!N3</f>
        <v>4721.7199999999993</v>
      </c>
      <c r="O199" s="15">
        <f>'5315-630 Technology (MIS)'!O3</f>
        <v>100353.52000000002</v>
      </c>
    </row>
    <row r="200" spans="1:18" x14ac:dyDescent="0.3">
      <c r="A200" s="86"/>
      <c r="B200" s="50" t="s">
        <v>27</v>
      </c>
      <c r="C200" s="16">
        <f>'5315-630 Technology (MIS)'!C4</f>
        <v>2984.8</v>
      </c>
      <c r="D200" s="16">
        <f>'5315-630 Technology (MIS)'!D4</f>
        <v>38680</v>
      </c>
      <c r="E200" s="16">
        <f>'5315-630 Technology (MIS)'!E4</f>
        <v>60292.81</v>
      </c>
      <c r="F200" s="16">
        <f>'5315-630 Technology (MIS)'!F4</f>
        <v>2544.3100000000004</v>
      </c>
      <c r="G200" s="16">
        <f>'5315-630 Technology (MIS)'!G4</f>
        <v>1612.94</v>
      </c>
      <c r="H200" s="16">
        <f>'5315-630 Technology (MIS)'!H4</f>
        <v>1605.6100000000001</v>
      </c>
      <c r="I200" s="16">
        <f>'5315-630 Technology (MIS)'!I4</f>
        <v>11339.4</v>
      </c>
      <c r="J200" s="16">
        <f>'5315-630 Technology (MIS)'!J4</f>
        <v>4205.6100000000006</v>
      </c>
      <c r="K200" s="16">
        <f>'5315-630 Technology (MIS)'!K4</f>
        <v>2511.29</v>
      </c>
      <c r="L200" s="16">
        <f>'5315-630 Technology (MIS)'!L4</f>
        <v>2056.4299999999998</v>
      </c>
      <c r="M200" s="16">
        <f>'5315-630 Technology (MIS)'!M4</f>
        <v>1605.6100000000001</v>
      </c>
      <c r="N200" s="16">
        <f>'5315-630 Technology (MIS)'!N4</f>
        <v>1605.6100000000001</v>
      </c>
      <c r="O200" s="17">
        <f>'5315-630 Technology (MIS)'!O4</f>
        <v>131044.42000000001</v>
      </c>
      <c r="Q200">
        <f>O200-O199</f>
        <v>30690.899999999994</v>
      </c>
      <c r="R200" t="s">
        <v>85</v>
      </c>
    </row>
    <row r="201" spans="1:18" s="97" customFormat="1" x14ac:dyDescent="0.3">
      <c r="A201" s="96"/>
      <c r="B201" s="49" t="s">
        <v>18</v>
      </c>
      <c r="C201" s="16">
        <f>'5315-630 Technology (MIS)'!C5</f>
        <v>0</v>
      </c>
      <c r="D201" s="16">
        <f>'5315-630 Technology (MIS)'!D5</f>
        <v>0</v>
      </c>
      <c r="E201" s="16">
        <f>'5315-630 Technology (MIS)'!E5</f>
        <v>0</v>
      </c>
      <c r="F201" s="16">
        <f>'5315-630 Technology (MIS)'!F5</f>
        <v>0</v>
      </c>
      <c r="G201" s="16">
        <f>'5315-630 Technology (MIS)'!G5</f>
        <v>0</v>
      </c>
      <c r="H201" s="16">
        <f>'5315-630 Technology (MIS)'!H5</f>
        <v>0</v>
      </c>
      <c r="I201" s="16">
        <f>'5315-630 Technology (MIS)'!I5</f>
        <v>0</v>
      </c>
      <c r="J201" s="16">
        <f>'5315-630 Technology (MIS)'!J5</f>
        <v>0</v>
      </c>
      <c r="K201" s="16">
        <f>'5315-630 Technology (MIS)'!K5</f>
        <v>0</v>
      </c>
      <c r="L201" s="16">
        <f>'5315-630 Technology (MIS)'!L5</f>
        <v>0</v>
      </c>
      <c r="M201" s="16">
        <f>'5315-630 Technology (MIS)'!M5</f>
        <v>0</v>
      </c>
      <c r="N201" s="16">
        <f>'5315-630 Technology (MIS)'!N5</f>
        <v>0</v>
      </c>
      <c r="O201" s="17">
        <f>'5315-630 Technology (MIS)'!O5</f>
        <v>0</v>
      </c>
      <c r="Q201" s="98"/>
    </row>
    <row r="202" spans="1:18" x14ac:dyDescent="0.3">
      <c r="A202" s="86"/>
      <c r="B202" s="49" t="s">
        <v>19</v>
      </c>
      <c r="C202" s="16">
        <f>'5315-630 Technology (MIS)'!C6</f>
        <v>3692.29</v>
      </c>
      <c r="D202" s="16">
        <f>'5315-630 Technology (MIS)'!D6</f>
        <v>38805.870000000003</v>
      </c>
      <c r="E202" s="16">
        <f>'5315-630 Technology (MIS)'!E6</f>
        <v>61092.63</v>
      </c>
      <c r="F202" s="16">
        <f>'5315-630 Technology (MIS)'!F6</f>
        <v>21354.829999999998</v>
      </c>
      <c r="G202" s="16">
        <f>'5315-630 Technology (MIS)'!G6</f>
        <v>2325.79</v>
      </c>
      <c r="H202" s="16">
        <f>'5315-630 Technology (MIS)'!H6</f>
        <v>1536.3600000000001</v>
      </c>
      <c r="I202" s="16">
        <f>'5315-630 Technology (MIS)'!I6</f>
        <v>1381.8400000000001</v>
      </c>
      <c r="J202" s="16">
        <f>'5315-630 Technology (MIS)'!J6</f>
        <v>1381.69</v>
      </c>
      <c r="K202" s="16">
        <f>'5315-630 Technology (MIS)'!K6</f>
        <v>0</v>
      </c>
      <c r="L202" s="16">
        <f>'5315-630 Technology (MIS)'!L6</f>
        <v>0</v>
      </c>
      <c r="M202" s="16">
        <f>'5315-630 Technology (MIS)'!M6</f>
        <v>0</v>
      </c>
      <c r="N202" s="16">
        <f>'5315-630 Technology (MIS)'!N6</f>
        <v>0</v>
      </c>
      <c r="O202" s="17">
        <f>'5315-630 Technology (MIS)'!O6</f>
        <v>131571.29999999999</v>
      </c>
    </row>
    <row r="203" spans="1:18" ht="15" customHeight="1" x14ac:dyDescent="0.3">
      <c r="A203" s="231" t="s">
        <v>86</v>
      </c>
      <c r="B203" s="49" t="s">
        <v>21</v>
      </c>
      <c r="C203" s="16">
        <f>'5315-630 Technology (MIS)'!C7</f>
        <v>-3692.29</v>
      </c>
      <c r="D203" s="16">
        <f>'5315-630 Technology (MIS)'!D7</f>
        <v>-38805.870000000003</v>
      </c>
      <c r="E203" s="16">
        <f>'5315-630 Technology (MIS)'!E7</f>
        <v>-61092.63</v>
      </c>
      <c r="F203" s="16">
        <f>'5315-630 Technology (MIS)'!F7</f>
        <v>-21354.829999999998</v>
      </c>
      <c r="G203" s="16">
        <f>'5315-630 Technology (MIS)'!G7</f>
        <v>-2325.79</v>
      </c>
      <c r="H203" s="16">
        <f>'5315-630 Technology (MIS)'!H7</f>
        <v>-1536.3600000000001</v>
      </c>
      <c r="I203" s="16">
        <f>'5315-630 Technology (MIS)'!I7</f>
        <v>-1381.8400000000001</v>
      </c>
      <c r="J203" s="16">
        <f>'5315-630 Technology (MIS)'!J7</f>
        <v>-1381.69</v>
      </c>
      <c r="K203" s="16">
        <f>'5315-630 Technology (MIS)'!K7</f>
        <v>0</v>
      </c>
      <c r="L203" s="16">
        <f>'5315-630 Technology (MIS)'!L7</f>
        <v>0</v>
      </c>
      <c r="M203" s="16">
        <f>'5315-630 Technology (MIS)'!M7</f>
        <v>0</v>
      </c>
      <c r="N203" s="16">
        <f>'5315-630 Technology (MIS)'!N7</f>
        <v>0</v>
      </c>
      <c r="O203" s="17">
        <f>'5315-630 Technology (MIS)'!O7</f>
        <v>-131571.29999999999</v>
      </c>
    </row>
    <row r="204" spans="1:18" x14ac:dyDescent="0.3">
      <c r="A204" s="231"/>
      <c r="B204" s="50" t="s">
        <v>23</v>
      </c>
      <c r="C204" s="16">
        <f>'5315-630 Technology (MIS)'!C8</f>
        <v>3692.29</v>
      </c>
      <c r="D204" s="16">
        <f>'5315-630 Technology (MIS)'!D8</f>
        <v>42498.16</v>
      </c>
      <c r="E204" s="16">
        <f>'5315-630 Technology (MIS)'!E8</f>
        <v>103590.79000000001</v>
      </c>
      <c r="F204" s="16">
        <f>'5315-630 Technology (MIS)'!F8</f>
        <v>124945.62000000001</v>
      </c>
      <c r="G204" s="16">
        <f>'5315-630 Technology (MIS)'!G8</f>
        <v>127271.41</v>
      </c>
      <c r="H204" s="16">
        <f>'5315-630 Technology (MIS)'!H8</f>
        <v>128807.77</v>
      </c>
      <c r="I204" s="16">
        <f>'5315-630 Technology (MIS)'!I8</f>
        <v>130189.61</v>
      </c>
      <c r="J204" s="16">
        <f>'5315-630 Technology (MIS)'!J8</f>
        <v>131571.29999999999</v>
      </c>
      <c r="K204" s="16">
        <f>'5315-630 Technology (MIS)'!K8</f>
        <v>131571.29999999999</v>
      </c>
      <c r="L204" s="16">
        <f>'5315-630 Technology (MIS)'!L8</f>
        <v>131571.29999999999</v>
      </c>
      <c r="M204" s="16">
        <f>'5315-630 Technology (MIS)'!M8</f>
        <v>131571.29999999999</v>
      </c>
      <c r="N204" s="16">
        <f>'5315-630 Technology (MIS)'!N8</f>
        <v>131571.29999999999</v>
      </c>
      <c r="O204" s="17">
        <f>'5315-630 Technology (MIS)'!O8</f>
        <v>131571.29999999999</v>
      </c>
    </row>
    <row r="205" spans="1:18" x14ac:dyDescent="0.3">
      <c r="A205" s="231"/>
      <c r="B205" s="51" t="s">
        <v>25</v>
      </c>
      <c r="C205" s="46">
        <f>'5315-630 Technology (MIS)'!C9</f>
        <v>-3692.29</v>
      </c>
      <c r="D205" s="46">
        <f>'5315-630 Technology (MIS)'!D9</f>
        <v>-42498.16</v>
      </c>
      <c r="E205" s="46">
        <f>'5315-630 Technology (MIS)'!E9</f>
        <v>-103590.79000000001</v>
      </c>
      <c r="F205" s="46">
        <f>'5315-630 Technology (MIS)'!F9</f>
        <v>-124945.62000000001</v>
      </c>
      <c r="G205" s="46">
        <f>'5315-630 Technology (MIS)'!G9</f>
        <v>-127271.41</v>
      </c>
      <c r="H205" s="46">
        <f>'5315-630 Technology (MIS)'!H9</f>
        <v>-128807.77</v>
      </c>
      <c r="I205" s="46">
        <f>'5315-630 Technology (MIS)'!I9</f>
        <v>-130189.61</v>
      </c>
      <c r="J205" s="46">
        <f>'5315-630 Technology (MIS)'!J9</f>
        <v>-131571.29999999999</v>
      </c>
      <c r="K205" s="46">
        <f>'5315-630 Technology (MIS)'!K9</f>
        <v>-131571.29999999999</v>
      </c>
      <c r="L205" s="46">
        <f>'5315-630 Technology (MIS)'!L9</f>
        <v>-131571.29999999999</v>
      </c>
      <c r="M205" s="46">
        <f>'5315-630 Technology (MIS)'!M9</f>
        <v>-131571.29999999999</v>
      </c>
      <c r="N205" s="46">
        <f>'5315-630 Technology (MIS)'!N9</f>
        <v>-131571.29999999999</v>
      </c>
      <c r="O205" s="47">
        <f>'5315-630 Technology (MIS)'!O9</f>
        <v>0</v>
      </c>
    </row>
    <row r="206" spans="1:18" x14ac:dyDescent="0.3">
      <c r="A206" s="231"/>
    </row>
    <row r="207" spans="1:18" x14ac:dyDescent="0.3">
      <c r="A207" s="231"/>
    </row>
    <row r="208" spans="1:18" x14ac:dyDescent="0.3">
      <c r="A208" s="231"/>
    </row>
  </sheetData>
  <mergeCells count="2">
    <mergeCell ref="A1:B1"/>
    <mergeCell ref="A203:A208"/>
  </mergeCells>
  <conditionalFormatting sqref="C5:N5">
    <cfRule type="cellIs" dxfId="55" priority="33" operator="lessThan">
      <formula>C2*0.85</formula>
    </cfRule>
    <cfRule type="cellIs" dxfId="54" priority="34" operator="greaterThan">
      <formula>C4*1.15</formula>
    </cfRule>
  </conditionalFormatting>
  <conditionalFormatting sqref="C13:N13">
    <cfRule type="cellIs" dxfId="53" priority="31" operator="lessThan">
      <formula>C12*0.85</formula>
    </cfRule>
    <cfRule type="cellIs" dxfId="52" priority="32" operator="greaterThan">
      <formula>C12*1.15</formula>
    </cfRule>
  </conditionalFormatting>
  <conditionalFormatting sqref="C21:N21">
    <cfRule type="cellIs" dxfId="51" priority="29" operator="greaterThan">
      <formula>C20*1.15</formula>
    </cfRule>
    <cfRule type="cellIs" dxfId="50" priority="30" operator="lessThan">
      <formula>C20*0.85</formula>
    </cfRule>
  </conditionalFormatting>
  <conditionalFormatting sqref="C30:N30">
    <cfRule type="cellIs" dxfId="49" priority="23" operator="greaterThan">
      <formula>C29*1.15</formula>
    </cfRule>
    <cfRule type="cellIs" dxfId="48" priority="25" operator="lessThan">
      <formula>C29*0.85</formula>
    </cfRule>
  </conditionalFormatting>
  <conditionalFormatting sqref="C39:N39">
    <cfRule type="cellIs" dxfId="47" priority="22" operator="lessThan">
      <formula>C38*0.85</formula>
    </cfRule>
    <cfRule type="cellIs" dxfId="46" priority="26" operator="greaterThan">
      <formula>C38*1.15</formula>
    </cfRule>
  </conditionalFormatting>
  <conditionalFormatting sqref="C48:N48">
    <cfRule type="cellIs" dxfId="45" priority="19" operator="lessThan">
      <formula>C47*0.85</formula>
    </cfRule>
    <cfRule type="cellIs" dxfId="44" priority="20" operator="greaterThan">
      <formula>C47*1.15</formula>
    </cfRule>
  </conditionalFormatting>
  <conditionalFormatting sqref="C56:N56 C73:N73">
    <cfRule type="cellIs" dxfId="43" priority="17" operator="greaterThan">
      <formula>C55*1.15</formula>
    </cfRule>
    <cfRule type="cellIs" dxfId="42" priority="18" operator="lessThan">
      <formula>C55*0.85</formula>
    </cfRule>
  </conditionalFormatting>
  <conditionalFormatting sqref="C64:N64">
    <cfRule type="cellIs" dxfId="41" priority="15" operator="greaterThan">
      <formula>C63*1.15</formula>
    </cfRule>
    <cfRule type="cellIs" dxfId="40" priority="16" operator="lessThan">
      <formula>C63*0.85</formula>
    </cfRule>
  </conditionalFormatting>
  <conditionalFormatting sqref="C81:N81">
    <cfRule type="cellIs" dxfId="39" priority="11" operator="greaterThan">
      <formula>C80*1.15</formula>
    </cfRule>
    <cfRule type="cellIs" dxfId="38" priority="12" operator="lessThan">
      <formula>C80*0.85</formula>
    </cfRule>
  </conditionalFormatting>
  <conditionalFormatting sqref="C106:N106">
    <cfRule type="cellIs" dxfId="37" priority="5" operator="greaterThan">
      <formula>C105*1.15</formula>
    </cfRule>
    <cfRule type="cellIs" dxfId="36" priority="6" operator="lessThan">
      <formula>C105*0.85</formula>
    </cfRule>
  </conditionalFormatting>
  <conditionalFormatting sqref="C122:N122">
    <cfRule type="cellIs" dxfId="35" priority="9" operator="greaterThan">
      <formula>C121*1.15</formula>
    </cfRule>
    <cfRule type="cellIs" dxfId="34" priority="10" operator="lessThan">
      <formula>C121*0.85</formula>
    </cfRule>
  </conditionalFormatting>
  <conditionalFormatting sqref="C138:N138">
    <cfRule type="cellIs" dxfId="33" priority="7" operator="greaterThan">
      <formula>C137*1.15</formula>
    </cfRule>
    <cfRule type="cellIs" dxfId="32" priority="8" operator="lessThan">
      <formula>C137*0.85</formula>
    </cfRule>
  </conditionalFormatting>
  <conditionalFormatting sqref="C162:N162">
    <cfRule type="cellIs" dxfId="31" priority="3" operator="greaterThan">
      <formula>C161*1.15</formula>
    </cfRule>
    <cfRule type="cellIs" dxfId="30" priority="4" operator="lessThan">
      <formula>C161*0.85</formula>
    </cfRule>
  </conditionalFormatting>
  <conditionalFormatting sqref="C170:N170">
    <cfRule type="cellIs" dxfId="29" priority="1" operator="greaterThan">
      <formula>C169*1.15</formula>
    </cfRule>
    <cfRule type="cellIs" dxfId="28" priority="2" operator="lessThan">
      <formula>C169*0.85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30F3-5524-4EFE-B195-DFEE34CC5437}">
  <sheetPr codeName="Sheet2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EEB9-E41B-4507-A48B-FAE3CC4007F6}">
  <sheetPr codeName="Sheet3"/>
  <dimension ref="A1:T218"/>
  <sheetViews>
    <sheetView zoomScale="48" zoomScaleNormal="10" workbookViewId="0">
      <pane xSplit="1" ySplit="2" topLeftCell="B23" activePane="bottomRight" state="frozen"/>
      <selection pane="topRight" activeCell="M13" sqref="M13"/>
      <selection pane="bottomLeft" activeCell="M13" sqref="M13"/>
      <selection pane="bottomRight" activeCell="A51" sqref="A51:A52"/>
    </sheetView>
  </sheetViews>
  <sheetFormatPr defaultColWidth="9.109375" defaultRowHeight="14.4" x14ac:dyDescent="0.3"/>
  <cols>
    <col min="1" max="1" width="25.44140625" style="54" customWidth="1"/>
    <col min="2" max="2" width="21.5546875" style="52" bestFit="1" customWidth="1"/>
    <col min="3" max="3" width="12.44140625" style="52" customWidth="1"/>
    <col min="4" max="5" width="11.88671875" style="52" customWidth="1"/>
    <col min="6" max="6" width="12" style="52" customWidth="1"/>
    <col min="7" max="8" width="11.88671875" style="52" customWidth="1"/>
    <col min="9" max="9" width="12" style="52" customWidth="1"/>
    <col min="10" max="11" width="11.88671875" style="52" customWidth="1"/>
    <col min="12" max="12" width="14.6640625" style="52" bestFit="1" customWidth="1"/>
    <col min="13" max="14" width="11.88671875" style="52" customWidth="1"/>
    <col min="15" max="15" width="14.88671875" style="52" customWidth="1"/>
    <col min="16" max="16" width="10.88671875" style="52" bestFit="1" customWidth="1"/>
    <col min="17" max="17" width="40.44140625" style="52" bestFit="1" customWidth="1"/>
    <col min="18" max="16384" width="9.109375" style="52"/>
  </cols>
  <sheetData>
    <row r="1" spans="1:20" ht="41.25" customHeight="1" x14ac:dyDescent="0.6">
      <c r="A1" s="232" t="s">
        <v>87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20" x14ac:dyDescent="0.3">
      <c r="A2" s="68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56" t="s">
        <v>7</v>
      </c>
      <c r="J2" s="56" t="s">
        <v>8</v>
      </c>
      <c r="K2" s="56" t="s">
        <v>9</v>
      </c>
      <c r="L2" s="56" t="s">
        <v>10</v>
      </c>
      <c r="M2" s="56" t="s">
        <v>11</v>
      </c>
      <c r="N2" s="56" t="s">
        <v>12</v>
      </c>
      <c r="O2" s="69" t="s">
        <v>13</v>
      </c>
    </row>
    <row r="3" spans="1:20" s="102" customFormat="1" ht="14.4" customHeight="1" x14ac:dyDescent="0.25">
      <c r="A3" s="239" t="s">
        <v>15</v>
      </c>
      <c r="B3" s="181" t="s">
        <v>16</v>
      </c>
      <c r="C3" s="182">
        <f>SUMIFS(C$11:C971,$B$11:$B971,"Actual 2024")</f>
        <v>15182.75</v>
      </c>
      <c r="D3" s="182">
        <f>SUMIFS(D$11:D971,$B$11:$B971,"Actual 2024")</f>
        <v>14877.45</v>
      </c>
      <c r="E3" s="182">
        <f>SUMIFS(E$11:E971,$B$11:$B971,"Actual 2024")</f>
        <v>15152.75</v>
      </c>
      <c r="F3" s="182">
        <f>SUMIFS(F$11:F971,$B$11:$B971,"Actual 2024")</f>
        <v>15467</v>
      </c>
      <c r="G3" s="182">
        <f>SUMIFS(G$11:G971,$B$11:$B971,"Actual 2024")</f>
        <v>16872.5</v>
      </c>
      <c r="H3" s="182">
        <f>SUMIFS(H$11:H971,$B$11:$B971,"Actual 2024")</f>
        <v>15506.5</v>
      </c>
      <c r="I3" s="182">
        <f>SUMIFS(I$11:I971,$B$11:$B971,"Actual 2024")</f>
        <v>22385.5</v>
      </c>
      <c r="J3" s="182">
        <f>SUMIFS(J$11:J971,$B$11:$B971,"Actual 2024")</f>
        <v>23444</v>
      </c>
      <c r="K3" s="182">
        <f>SUMIFS(K$11:K971,$B$11:$B971,"Actual 2024")</f>
        <v>22825</v>
      </c>
      <c r="L3" s="182">
        <f>SUMIFS(L$11:L971,$B$11:$B971,"Actual 2024")</f>
        <v>24565</v>
      </c>
      <c r="M3" s="182">
        <f>SUMIFS(M$11:M971,$B$11:$B971,"Actual 2024")</f>
        <v>24609</v>
      </c>
      <c r="N3" s="182">
        <f>SUMIFS(N$11:N971,$B$11:$B971,"Actual 2024")</f>
        <v>24363</v>
      </c>
      <c r="O3" s="183">
        <f>SUMIFS(O$11:O971,$B$11:$B971,"Actual 2024")</f>
        <v>235250.45</v>
      </c>
    </row>
    <row r="4" spans="1:20" s="102" customFormat="1" ht="14.4" customHeight="1" x14ac:dyDescent="0.25">
      <c r="A4" s="240"/>
      <c r="B4" s="184" t="s">
        <v>27</v>
      </c>
      <c r="C4" s="189">
        <f>SUMIFS(C$11:C971,$B$11:$B971,"Estimated")</f>
        <v>25473</v>
      </c>
      <c r="D4" s="189">
        <f>SUMIFS(D$11:D971,$B$11:$B971,"Estimated")</f>
        <v>25473</v>
      </c>
      <c r="E4" s="189">
        <f>SUMIFS(E$11:E971,$B$11:$B971,"Estimated")</f>
        <v>25473</v>
      </c>
      <c r="F4" s="189">
        <f>SUMIFS(F$11:F971,$B$11:$B971,"Estimated")</f>
        <v>25473</v>
      </c>
      <c r="G4" s="189">
        <f>SUMIFS(G$11:G971,$B$11:$B971,"Estimated")</f>
        <v>25473</v>
      </c>
      <c r="H4" s="189">
        <f>SUMIFS(H$11:H971,$B$11:$B971,"Estimated")</f>
        <v>25473</v>
      </c>
      <c r="I4" s="189">
        <f>SUMIFS(I$11:I971,$B$11:$B971,"Estimated")</f>
        <v>25473</v>
      </c>
      <c r="J4" s="189">
        <f>SUMIFS(J$11:J971,$B$11:$B971,"Estimated")</f>
        <v>25473</v>
      </c>
      <c r="K4" s="189">
        <f>SUMIFS(K$11:K971,$B$11:$B971,"Estimated")</f>
        <v>25473</v>
      </c>
      <c r="L4" s="189">
        <f>SUMIFS(L$11:L971,$B$11:$B971,"Estimated")</f>
        <v>25473</v>
      </c>
      <c r="M4" s="189">
        <f>SUMIFS(M$11:M971,$B$11:$B971,"Estimated")</f>
        <v>25473</v>
      </c>
      <c r="N4" s="189">
        <f>SUMIFS(N$11:N971,$B$11:$B971,"Estimated")</f>
        <v>25473</v>
      </c>
      <c r="O4" s="191">
        <f>SUMIFS(O$11:O971,$B$11:$B971,"Estimated")</f>
        <v>305676</v>
      </c>
      <c r="Q4" s="131"/>
    </row>
    <row r="5" spans="1:20" s="166" customFormat="1" ht="14.4" customHeight="1" x14ac:dyDescent="0.3">
      <c r="A5" s="240"/>
      <c r="B5" s="162" t="s">
        <v>18</v>
      </c>
      <c r="C5" s="163">
        <v>23573</v>
      </c>
      <c r="D5" s="163">
        <v>23573</v>
      </c>
      <c r="E5" s="163">
        <v>23573</v>
      </c>
      <c r="F5" s="163">
        <v>23573</v>
      </c>
      <c r="G5" s="163">
        <v>23573</v>
      </c>
      <c r="H5" s="163">
        <v>23573</v>
      </c>
      <c r="I5" s="163">
        <v>23573</v>
      </c>
      <c r="J5" s="163">
        <v>23573</v>
      </c>
      <c r="K5" s="163">
        <v>23573</v>
      </c>
      <c r="L5" s="163">
        <v>23573</v>
      </c>
      <c r="M5" s="163">
        <v>23573</v>
      </c>
      <c r="N5" s="163">
        <v>23573</v>
      </c>
      <c r="O5" s="164">
        <f t="shared" ref="O5" si="0">SUM(C5:N5)</f>
        <v>282876</v>
      </c>
      <c r="P5" s="165">
        <v>282876</v>
      </c>
    </row>
    <row r="6" spans="1:20" s="166" customFormat="1" ht="15" thickBot="1" x14ac:dyDescent="0.35">
      <c r="A6" s="241"/>
      <c r="B6" s="174" t="s">
        <v>19</v>
      </c>
      <c r="C6" s="175">
        <f>SUMIFS(C$11:C976,$B$11:$B976,"Actual")</f>
        <v>25960.83</v>
      </c>
      <c r="D6" s="175">
        <f>SUMIFS(D$11:D976,$B$11:$B976,"Actual")</f>
        <v>23257.83</v>
      </c>
      <c r="E6" s="175">
        <f>SUMIFS(E$11:E976,$B$11:$B976,"Actual")</f>
        <v>26377</v>
      </c>
      <c r="F6" s="175">
        <f>SUMIFS(F$11:F976,$B$11:$B976,"Actual")</f>
        <v>36213.01</v>
      </c>
      <c r="G6" s="175">
        <f>SUMIFS(G$11:G976,$B$11:$B976,"Actual")</f>
        <v>66882.95</v>
      </c>
      <c r="H6" s="175">
        <f>SUMIFS(H$11:H976,$B$11:$B976,"Actual")</f>
        <v>49229.950000000004</v>
      </c>
      <c r="I6" s="175">
        <f>SUMIFS(I$11:I976,$B$11:$B976,"Actual")</f>
        <v>37253.5</v>
      </c>
      <c r="J6" s="175">
        <f>SUMIFS(J$11:J976,$B$11:$B976,"Actual")</f>
        <v>19065</v>
      </c>
      <c r="K6" s="175">
        <f>SUMIFS(K$11:K976,$B$11:$B976,"Actual")</f>
        <v>17310.5</v>
      </c>
      <c r="L6" s="175">
        <f>SUMIFS(L$11:L976,$B$11:$B976,"Actual")</f>
        <v>17409</v>
      </c>
      <c r="M6" s="175">
        <f>SUMIFS(M$11:M976,$B$11:$B976,"Actual")</f>
        <v>0</v>
      </c>
      <c r="N6" s="175">
        <f>SUMIFS(N$11:N976,$B$11:$B976,"Actual")</f>
        <v>0</v>
      </c>
      <c r="O6" s="176">
        <f>SUMIFS(O$11:O976,$B$11:$B976,"Actual")</f>
        <v>315566.74000000005</v>
      </c>
    </row>
    <row r="7" spans="1:20" s="64" customFormat="1" ht="15" thickTop="1" x14ac:dyDescent="0.3">
      <c r="A7" s="134"/>
      <c r="B7" s="70" t="s">
        <v>21</v>
      </c>
      <c r="C7" s="60">
        <f t="shared" ref="C7:I7" si="1">C5-C6</f>
        <v>-2387.8300000000017</v>
      </c>
      <c r="D7" s="60">
        <f t="shared" si="1"/>
        <v>315.16999999999825</v>
      </c>
      <c r="E7" s="60">
        <f t="shared" si="1"/>
        <v>-2804</v>
      </c>
      <c r="F7" s="60">
        <f t="shared" si="1"/>
        <v>-12640.010000000002</v>
      </c>
      <c r="G7" s="60">
        <f t="shared" si="1"/>
        <v>-43309.95</v>
      </c>
      <c r="H7" s="60">
        <f t="shared" si="1"/>
        <v>-25656.950000000004</v>
      </c>
      <c r="I7" s="60">
        <f t="shared" si="1"/>
        <v>-13680.5</v>
      </c>
      <c r="J7" s="60">
        <f t="shared" ref="J7:N7" si="2">J5-J6</f>
        <v>4508</v>
      </c>
      <c r="K7" s="60">
        <f t="shared" si="2"/>
        <v>6262.5</v>
      </c>
      <c r="L7" s="60">
        <f t="shared" si="2"/>
        <v>6164</v>
      </c>
      <c r="M7" s="60">
        <f t="shared" si="2"/>
        <v>23573</v>
      </c>
      <c r="N7" s="60">
        <f t="shared" si="2"/>
        <v>23573</v>
      </c>
      <c r="O7" s="75">
        <f>O5-O6</f>
        <v>-32690.740000000049</v>
      </c>
    </row>
    <row r="8" spans="1:20" s="142" customFormat="1" x14ac:dyDescent="0.3">
      <c r="A8" s="138"/>
      <c r="B8" s="139" t="s">
        <v>23</v>
      </c>
      <c r="C8" s="140">
        <f>SUM($C6:C6)</f>
        <v>25960.83</v>
      </c>
      <c r="D8" s="140">
        <f>SUM($C6:D6)</f>
        <v>49218.66</v>
      </c>
      <c r="E8" s="140">
        <f>SUM($C6:E6)</f>
        <v>75595.66</v>
      </c>
      <c r="F8" s="140">
        <f>SUM($C6:F6)</f>
        <v>111808.67000000001</v>
      </c>
      <c r="G8" s="140">
        <f>SUM($C6:G6)</f>
        <v>178691.62</v>
      </c>
      <c r="H8" s="140">
        <f>SUM($C6:H6)</f>
        <v>227921.57</v>
      </c>
      <c r="I8" s="140">
        <f>SUM($C6:I6)</f>
        <v>265175.07</v>
      </c>
      <c r="J8" s="140">
        <f>SUM($C6:J6)</f>
        <v>284240.07</v>
      </c>
      <c r="K8" s="140">
        <f>SUM($C6:K6)</f>
        <v>301550.57</v>
      </c>
      <c r="L8" s="140">
        <f>SUM($C6:L6)</f>
        <v>318959.57</v>
      </c>
      <c r="M8" s="140">
        <f>SUM($C6:M6)</f>
        <v>318959.57</v>
      </c>
      <c r="N8" s="140">
        <f>SUM($C6:N6)</f>
        <v>318959.57</v>
      </c>
      <c r="O8" s="141">
        <f>O6</f>
        <v>315566.74000000005</v>
      </c>
    </row>
    <row r="9" spans="1:20" s="142" customFormat="1" x14ac:dyDescent="0.3">
      <c r="A9" s="143"/>
      <c r="B9" s="144" t="s">
        <v>25</v>
      </c>
      <c r="C9" s="145">
        <f>SUM($C5:C5)-C8</f>
        <v>-2387.8300000000017</v>
      </c>
      <c r="D9" s="145">
        <f>SUM($C5:D5)-D8</f>
        <v>-2072.6600000000035</v>
      </c>
      <c r="E9" s="145">
        <f>SUM($C5:E5)-E8</f>
        <v>-4876.6600000000035</v>
      </c>
      <c r="F9" s="145">
        <f>SUM($C5:F5)-F8</f>
        <v>-17516.670000000013</v>
      </c>
      <c r="G9" s="145">
        <f>SUM($C5:G5)-G8</f>
        <v>-60826.619999999995</v>
      </c>
      <c r="H9" s="145">
        <f>SUM($C5:H5)-H8</f>
        <v>-86483.57</v>
      </c>
      <c r="I9" s="145">
        <f>SUM($C5:I5)-I8</f>
        <v>-100164.07</v>
      </c>
      <c r="J9" s="145">
        <f>SUM($C5:J5)-J8</f>
        <v>-95656.07</v>
      </c>
      <c r="K9" s="145">
        <f>SUM($C5:K5)-K8</f>
        <v>-89393.57</v>
      </c>
      <c r="L9" s="145">
        <f>SUM($C5:L5)-L8</f>
        <v>-83229.570000000007</v>
      </c>
      <c r="M9" s="145">
        <f>SUM($C5:M5)-M8</f>
        <v>-59656.570000000007</v>
      </c>
      <c r="N9" s="145">
        <f>SUM($C5:N5)-N8</f>
        <v>-36083.570000000007</v>
      </c>
      <c r="O9" s="141"/>
      <c r="T9" s="142" t="s">
        <v>88</v>
      </c>
    </row>
    <row r="10" spans="1:20" x14ac:dyDescent="0.3"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20" s="102" customFormat="1" ht="12" x14ac:dyDescent="0.25">
      <c r="A11" s="235" t="s">
        <v>89</v>
      </c>
      <c r="B11" s="99" t="s">
        <v>16</v>
      </c>
      <c r="C11" s="100">
        <v>4836</v>
      </c>
      <c r="D11" s="100">
        <v>4316</v>
      </c>
      <c r="E11" s="100">
        <v>4160</v>
      </c>
      <c r="F11" s="100">
        <v>4992</v>
      </c>
      <c r="G11" s="100">
        <v>6136</v>
      </c>
      <c r="H11" s="100">
        <v>5928</v>
      </c>
      <c r="I11" s="100">
        <v>6136</v>
      </c>
      <c r="J11" s="100">
        <v>6526</v>
      </c>
      <c r="K11" s="100">
        <v>4160</v>
      </c>
      <c r="L11" s="100">
        <v>4160</v>
      </c>
      <c r="M11" s="100">
        <v>4160</v>
      </c>
      <c r="N11" s="100">
        <v>5290</v>
      </c>
      <c r="O11" s="103">
        <f>SUM(C11:N11)</f>
        <v>60800</v>
      </c>
    </row>
    <row r="12" spans="1:20" s="102" customFormat="1" ht="11.1" customHeight="1" x14ac:dyDescent="0.25">
      <c r="A12" s="235"/>
      <c r="B12" s="99" t="s">
        <v>29</v>
      </c>
      <c r="C12" s="100">
        <v>3700</v>
      </c>
      <c r="D12" s="100">
        <v>3700</v>
      </c>
      <c r="E12" s="100">
        <v>3700</v>
      </c>
      <c r="F12" s="100">
        <v>3700</v>
      </c>
      <c r="G12" s="100">
        <v>3700</v>
      </c>
      <c r="H12" s="100">
        <v>3700</v>
      </c>
      <c r="I12" s="100">
        <v>3700</v>
      </c>
      <c r="J12" s="100">
        <v>3700</v>
      </c>
      <c r="K12" s="100">
        <v>3700</v>
      </c>
      <c r="L12" s="100">
        <v>3700</v>
      </c>
      <c r="M12" s="100">
        <v>3700</v>
      </c>
      <c r="N12" s="100">
        <v>3700</v>
      </c>
      <c r="O12" s="103">
        <f>SUM(C12:N12)</f>
        <v>44400</v>
      </c>
      <c r="Q12" s="102" t="s">
        <v>90</v>
      </c>
    </row>
    <row r="13" spans="1:20" s="67" customFormat="1" ht="12.6" customHeight="1" x14ac:dyDescent="0.3">
      <c r="A13" s="155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66">
        <f>SUM(C13:N13)</f>
        <v>0</v>
      </c>
    </row>
    <row r="14" spans="1:20" s="67" customFormat="1" ht="12.6" customHeight="1" x14ac:dyDescent="0.3">
      <c r="A14" s="156"/>
      <c r="B14" s="116" t="s">
        <v>32</v>
      </c>
      <c r="C14" s="117">
        <v>4160</v>
      </c>
      <c r="D14" s="117">
        <v>4160</v>
      </c>
      <c r="E14" s="117">
        <v>4160</v>
      </c>
      <c r="F14" s="117">
        <f>3120+2080</f>
        <v>5200</v>
      </c>
      <c r="G14" s="117">
        <v>3120</v>
      </c>
      <c r="H14" s="117">
        <f>2080+1080+2080</f>
        <v>5240</v>
      </c>
      <c r="I14" s="117">
        <f>2080</f>
        <v>2080</v>
      </c>
      <c r="J14" s="117">
        <f>2080+2080</f>
        <v>4160</v>
      </c>
      <c r="K14" s="117">
        <v>2080</v>
      </c>
      <c r="L14" s="117">
        <v>2080</v>
      </c>
      <c r="M14" s="117"/>
      <c r="N14" s="117"/>
      <c r="O14" s="118">
        <f>SUM(C14:N14)</f>
        <v>36440</v>
      </c>
    </row>
    <row r="15" spans="1:20" s="102" customFormat="1" ht="12" x14ac:dyDescent="0.25">
      <c r="A15" s="236" t="s">
        <v>91</v>
      </c>
      <c r="B15" s="99" t="s">
        <v>16</v>
      </c>
      <c r="C15" s="100">
        <v>3291.75</v>
      </c>
      <c r="D15" s="100">
        <v>3506.45</v>
      </c>
      <c r="E15" s="100">
        <v>3557.75</v>
      </c>
      <c r="F15" s="100">
        <v>3420</v>
      </c>
      <c r="G15" s="100">
        <v>3325</v>
      </c>
      <c r="H15" s="100">
        <v>3496</v>
      </c>
      <c r="I15" s="100">
        <v>3572</v>
      </c>
      <c r="J15" s="100">
        <v>3591</v>
      </c>
      <c r="K15" s="100">
        <v>3705</v>
      </c>
      <c r="L15" s="100">
        <v>4101</v>
      </c>
      <c r="M15" s="100">
        <v>3990</v>
      </c>
      <c r="N15" s="100">
        <v>3705</v>
      </c>
      <c r="O15" s="103">
        <f t="shared" ref="O15:O42" si="3">SUM(C15:N15)</f>
        <v>43260.95</v>
      </c>
    </row>
    <row r="16" spans="1:20" s="102" customFormat="1" ht="11.1" customHeight="1" x14ac:dyDescent="0.25">
      <c r="A16" s="235"/>
      <c r="B16" s="99" t="s">
        <v>29</v>
      </c>
      <c r="C16" s="100">
        <v>3040</v>
      </c>
      <c r="D16" s="100">
        <v>3040</v>
      </c>
      <c r="E16" s="100">
        <v>3040</v>
      </c>
      <c r="F16" s="100">
        <v>3040</v>
      </c>
      <c r="G16" s="100">
        <v>3040</v>
      </c>
      <c r="H16" s="100">
        <v>3040</v>
      </c>
      <c r="I16" s="100">
        <v>3040</v>
      </c>
      <c r="J16" s="100">
        <v>3040</v>
      </c>
      <c r="K16" s="100">
        <v>3040</v>
      </c>
      <c r="L16" s="100">
        <v>3040</v>
      </c>
      <c r="M16" s="100">
        <v>3040</v>
      </c>
      <c r="N16" s="100">
        <v>3040</v>
      </c>
      <c r="O16" s="103">
        <f t="shared" si="3"/>
        <v>36480</v>
      </c>
      <c r="Q16" s="102" t="s">
        <v>92</v>
      </c>
    </row>
    <row r="17" spans="1:20" s="67" customFormat="1" ht="12.6" customHeight="1" x14ac:dyDescent="0.3">
      <c r="A17" s="155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>
        <f>SUM(C17:N17)</f>
        <v>0</v>
      </c>
    </row>
    <row r="18" spans="1:20" s="67" customFormat="1" ht="12.6" customHeight="1" x14ac:dyDescent="0.3">
      <c r="A18" s="156"/>
      <c r="B18" s="116" t="s">
        <v>32</v>
      </c>
      <c r="C18" s="117">
        <v>3990</v>
      </c>
      <c r="D18" s="117">
        <v>3648</v>
      </c>
      <c r="E18" s="117">
        <v>3344</v>
      </c>
      <c r="F18" s="117">
        <v>1748</v>
      </c>
      <c r="G18" s="117">
        <v>3496</v>
      </c>
      <c r="H18" s="117">
        <v>3496</v>
      </c>
      <c r="I18" s="199">
        <f>3496</f>
        <v>3496</v>
      </c>
      <c r="J18" s="199">
        <f>3496</f>
        <v>3496</v>
      </c>
      <c r="K18" s="117"/>
      <c r="L18" s="117"/>
      <c r="M18" s="117"/>
      <c r="N18" s="117"/>
      <c r="O18" s="118">
        <f>SUM(C18:N18)</f>
        <v>26714</v>
      </c>
    </row>
    <row r="19" spans="1:20" s="102" customFormat="1" ht="12" x14ac:dyDescent="0.25">
      <c r="A19" s="236" t="s">
        <v>93</v>
      </c>
      <c r="B19" s="99" t="s">
        <v>16</v>
      </c>
      <c r="C19" s="100">
        <v>2400</v>
      </c>
      <c r="D19" s="100">
        <v>2400</v>
      </c>
      <c r="E19" s="100">
        <v>2400</v>
      </c>
      <c r="F19" s="100">
        <v>2400</v>
      </c>
      <c r="G19" s="100">
        <v>2400</v>
      </c>
      <c r="H19" s="100">
        <v>2400</v>
      </c>
      <c r="I19" s="100">
        <v>2400</v>
      </c>
      <c r="J19" s="100">
        <v>2400</v>
      </c>
      <c r="K19" s="100">
        <v>2400</v>
      </c>
      <c r="L19" s="100">
        <v>2400</v>
      </c>
      <c r="M19" s="100">
        <v>2400</v>
      </c>
      <c r="N19" s="100">
        <v>2400</v>
      </c>
      <c r="O19" s="103">
        <f t="shared" si="3"/>
        <v>28800</v>
      </c>
    </row>
    <row r="20" spans="1:20" s="102" customFormat="1" ht="11.1" customHeight="1" x14ac:dyDescent="0.25">
      <c r="A20" s="235"/>
      <c r="B20" s="99" t="s">
        <v>29</v>
      </c>
      <c r="C20" s="100">
        <v>2400</v>
      </c>
      <c r="D20" s="100">
        <v>2400</v>
      </c>
      <c r="E20" s="100">
        <v>2400</v>
      </c>
      <c r="F20" s="100">
        <v>2400</v>
      </c>
      <c r="G20" s="100">
        <v>2400</v>
      </c>
      <c r="H20" s="100">
        <v>2400</v>
      </c>
      <c r="I20" s="100">
        <v>2400</v>
      </c>
      <c r="J20" s="100">
        <v>2400</v>
      </c>
      <c r="K20" s="100">
        <v>2400</v>
      </c>
      <c r="L20" s="100">
        <v>2400</v>
      </c>
      <c r="M20" s="100">
        <v>2400</v>
      </c>
      <c r="N20" s="100">
        <v>2400</v>
      </c>
      <c r="O20" s="103">
        <f>SUM(C20:N20)</f>
        <v>28800</v>
      </c>
      <c r="Q20" s="102" t="s">
        <v>92</v>
      </c>
    </row>
    <row r="21" spans="1:20" s="67" customFormat="1" ht="12.6" customHeight="1" x14ac:dyDescent="0.3">
      <c r="A21" s="155"/>
      <c r="B21" s="65" t="s">
        <v>31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66">
        <f>SUM(C21:N21)</f>
        <v>0</v>
      </c>
    </row>
    <row r="22" spans="1:20" s="67" customFormat="1" ht="12.6" customHeight="1" x14ac:dyDescent="0.3">
      <c r="A22" s="156"/>
      <c r="B22" s="116" t="s">
        <v>32</v>
      </c>
      <c r="C22" s="117">
        <v>2400</v>
      </c>
      <c r="D22" s="117">
        <v>2400</v>
      </c>
      <c r="E22" s="117">
        <v>2400</v>
      </c>
      <c r="F22" s="117">
        <v>2400</v>
      </c>
      <c r="G22" s="117">
        <v>2400</v>
      </c>
      <c r="H22" s="117">
        <v>2400</v>
      </c>
      <c r="I22" s="117">
        <v>2400</v>
      </c>
      <c r="J22" s="117">
        <v>2400</v>
      </c>
      <c r="K22" s="117"/>
      <c r="L22" s="117"/>
      <c r="M22" s="117"/>
      <c r="N22" s="117"/>
      <c r="O22" s="118">
        <f t="shared" si="3"/>
        <v>19200</v>
      </c>
    </row>
    <row r="23" spans="1:20" s="102" customFormat="1" ht="12" x14ac:dyDescent="0.25">
      <c r="A23" s="236" t="s">
        <v>94</v>
      </c>
      <c r="B23" s="99" t="s">
        <v>16</v>
      </c>
      <c r="C23" s="100">
        <v>3135</v>
      </c>
      <c r="D23" s="100">
        <v>3135</v>
      </c>
      <c r="E23" s="100">
        <v>3135</v>
      </c>
      <c r="F23" s="100">
        <v>3135</v>
      </c>
      <c r="G23" s="100">
        <v>3135</v>
      </c>
      <c r="H23" s="100">
        <v>1562.5</v>
      </c>
      <c r="I23" s="100">
        <v>1562.5</v>
      </c>
      <c r="J23" s="100">
        <v>3125</v>
      </c>
      <c r="K23" s="100">
        <v>3125</v>
      </c>
      <c r="L23" s="100">
        <v>3125</v>
      </c>
      <c r="M23" s="100">
        <v>3125</v>
      </c>
      <c r="N23" s="100">
        <v>2090</v>
      </c>
      <c r="O23" s="103">
        <f t="shared" si="3"/>
        <v>33390</v>
      </c>
    </row>
    <row r="24" spans="1:20" s="102" customFormat="1" ht="11.1" customHeight="1" x14ac:dyDescent="0.25">
      <c r="A24" s="235"/>
      <c r="B24" s="99" t="s">
        <v>29</v>
      </c>
      <c r="C24" s="100">
        <v>2613</v>
      </c>
      <c r="D24" s="100">
        <v>2613</v>
      </c>
      <c r="E24" s="100">
        <v>2613</v>
      </c>
      <c r="F24" s="100">
        <v>2613</v>
      </c>
      <c r="G24" s="100">
        <v>2613</v>
      </c>
      <c r="H24" s="100">
        <v>2613</v>
      </c>
      <c r="I24" s="100">
        <v>2613</v>
      </c>
      <c r="J24" s="100">
        <v>2613</v>
      </c>
      <c r="K24" s="100">
        <v>2613</v>
      </c>
      <c r="L24" s="100">
        <v>2613</v>
      </c>
      <c r="M24" s="100">
        <v>2613</v>
      </c>
      <c r="N24" s="100">
        <v>2613</v>
      </c>
      <c r="O24" s="103">
        <f>SUM(C24:N24)</f>
        <v>31356</v>
      </c>
      <c r="Q24" s="102" t="s">
        <v>95</v>
      </c>
    </row>
    <row r="25" spans="1:20" s="67" customFormat="1" ht="12.6" customHeight="1" x14ac:dyDescent="0.3">
      <c r="A25" s="155"/>
      <c r="B25" s="65" t="s">
        <v>31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66">
        <f>SUM(C25:N25)</f>
        <v>0</v>
      </c>
    </row>
    <row r="26" spans="1:20" s="67" customFormat="1" ht="12.6" customHeight="1" x14ac:dyDescent="0.3">
      <c r="A26" s="156"/>
      <c r="B26" s="116" t="s">
        <v>32</v>
      </c>
      <c r="C26" s="117">
        <v>2252.83</v>
      </c>
      <c r="D26" s="117">
        <v>2252.83</v>
      </c>
      <c r="E26" s="117">
        <v>3135</v>
      </c>
      <c r="F26" s="117">
        <v>3125.5</v>
      </c>
      <c r="G26" s="117">
        <v>3135.5</v>
      </c>
      <c r="H26" s="117">
        <v>3135.5</v>
      </c>
      <c r="I26" s="117">
        <v>3135.5</v>
      </c>
      <c r="J26" s="117"/>
      <c r="K26" s="117">
        <v>3135.5</v>
      </c>
      <c r="L26" s="117"/>
      <c r="M26" s="117"/>
      <c r="N26" s="117"/>
      <c r="O26" s="118">
        <f>SUM(D26:N26)</f>
        <v>21055.33</v>
      </c>
      <c r="T26" s="67">
        <f>5*40*52</f>
        <v>10400</v>
      </c>
    </row>
    <row r="27" spans="1:20" s="102" customFormat="1" ht="12" x14ac:dyDescent="0.25">
      <c r="A27" s="236" t="s">
        <v>96</v>
      </c>
      <c r="B27" s="99" t="s">
        <v>16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3">
        <f t="shared" si="3"/>
        <v>0</v>
      </c>
      <c r="T27" s="102">
        <f>2*5*40*52</f>
        <v>20800</v>
      </c>
    </row>
    <row r="28" spans="1:20" s="102" customFormat="1" ht="11.1" customHeight="1" x14ac:dyDescent="0.25">
      <c r="A28" s="235"/>
      <c r="B28" s="99" t="s">
        <v>29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100">
        <v>0</v>
      </c>
      <c r="N28" s="100">
        <v>0</v>
      </c>
      <c r="O28" s="103">
        <f>SUM(C28:N28)</f>
        <v>0</v>
      </c>
      <c r="T28" s="102">
        <f ca="1">SUM(T26:T29)</f>
        <v>49400</v>
      </c>
    </row>
    <row r="29" spans="1:20" s="67" customFormat="1" ht="12.6" customHeight="1" x14ac:dyDescent="0.3">
      <c r="A29" s="154"/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66">
        <f>SUM(C29:N29)</f>
        <v>0</v>
      </c>
      <c r="T29" s="67">
        <f>2*5*35*52</f>
        <v>18200</v>
      </c>
    </row>
    <row r="30" spans="1:20" s="67" customFormat="1" ht="12.6" customHeight="1" x14ac:dyDescent="0.3">
      <c r="A30" s="157"/>
      <c r="B30" s="116" t="s">
        <v>32</v>
      </c>
      <c r="C30" s="117"/>
      <c r="D30" s="117"/>
      <c r="E30" s="117"/>
      <c r="F30" s="117"/>
      <c r="G30" s="117">
        <v>2420</v>
      </c>
      <c r="H30" s="117"/>
      <c r="I30" s="117"/>
      <c r="J30" s="117"/>
      <c r="K30" s="117"/>
      <c r="L30" s="117"/>
      <c r="M30" s="117"/>
      <c r="N30" s="117"/>
      <c r="O30" s="118">
        <f t="shared" si="3"/>
        <v>2420</v>
      </c>
    </row>
    <row r="31" spans="1:20" s="102" customFormat="1" ht="12" x14ac:dyDescent="0.25">
      <c r="A31" s="236" t="s">
        <v>97</v>
      </c>
      <c r="B31" s="99" t="s">
        <v>16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3">
        <f t="shared" si="3"/>
        <v>0</v>
      </c>
    </row>
    <row r="32" spans="1:20" s="102" customFormat="1" ht="11.1" customHeight="1" x14ac:dyDescent="0.25">
      <c r="A32" s="235"/>
      <c r="B32" s="99" t="s">
        <v>29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3">
        <f>SUM(C32:N32)</f>
        <v>0</v>
      </c>
    </row>
    <row r="33" spans="1:17" s="67" customFormat="1" ht="12.6" customHeight="1" x14ac:dyDescent="0.3">
      <c r="A33" s="155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>SUM(C33:N33)</f>
        <v>0</v>
      </c>
    </row>
    <row r="34" spans="1:17" s="67" customFormat="1" ht="12.6" customHeight="1" x14ac:dyDescent="0.3">
      <c r="A34" s="156"/>
      <c r="B34" s="116" t="s">
        <v>32</v>
      </c>
      <c r="C34" s="117"/>
      <c r="D34" s="117"/>
      <c r="E34" s="117"/>
      <c r="F34" s="117"/>
      <c r="G34" s="117">
        <v>4102.5</v>
      </c>
      <c r="H34" s="117"/>
      <c r="I34" s="117"/>
      <c r="J34" s="117"/>
      <c r="K34" s="117"/>
      <c r="L34" s="117"/>
      <c r="M34" s="117"/>
      <c r="N34" s="117"/>
      <c r="O34" s="118">
        <f t="shared" si="3"/>
        <v>4102.5</v>
      </c>
    </row>
    <row r="35" spans="1:17" s="102" customFormat="1" ht="12" x14ac:dyDescent="0.25">
      <c r="A35" s="236" t="s">
        <v>98</v>
      </c>
      <c r="B35" s="99" t="s">
        <v>16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3">
        <f t="shared" si="3"/>
        <v>0</v>
      </c>
    </row>
    <row r="36" spans="1:17" s="102" customFormat="1" ht="11.1" customHeight="1" x14ac:dyDescent="0.25">
      <c r="A36" s="235"/>
      <c r="B36" s="99" t="s">
        <v>29</v>
      </c>
      <c r="C36" s="100">
        <v>1000</v>
      </c>
      <c r="D36" s="100">
        <v>1000</v>
      </c>
      <c r="E36" s="100">
        <v>1000</v>
      </c>
      <c r="F36" s="100">
        <v>1000</v>
      </c>
      <c r="G36" s="100">
        <v>1000</v>
      </c>
      <c r="H36" s="100">
        <v>1000</v>
      </c>
      <c r="I36" s="100">
        <v>1000</v>
      </c>
      <c r="J36" s="100">
        <v>1000</v>
      </c>
      <c r="K36" s="100">
        <v>1000</v>
      </c>
      <c r="L36" s="100">
        <v>1000</v>
      </c>
      <c r="M36" s="100">
        <v>1000</v>
      </c>
      <c r="N36" s="100">
        <v>1000</v>
      </c>
      <c r="O36" s="103">
        <f>SUM(C36:N36)</f>
        <v>12000</v>
      </c>
    </row>
    <row r="37" spans="1:17" s="67" customFormat="1" ht="12.6" customHeight="1" x14ac:dyDescent="0.3">
      <c r="A37" s="155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>SUM(C37:N37)</f>
        <v>0</v>
      </c>
    </row>
    <row r="38" spans="1:17" s="67" customFormat="1" ht="12.6" customHeight="1" x14ac:dyDescent="0.3">
      <c r="A38" s="156"/>
      <c r="B38" s="116" t="s">
        <v>32</v>
      </c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>
        <f t="shared" si="3"/>
        <v>0</v>
      </c>
    </row>
    <row r="39" spans="1:17" s="102" customFormat="1" ht="12" x14ac:dyDescent="0.25">
      <c r="A39" s="236" t="s">
        <v>99</v>
      </c>
      <c r="B39" s="99" t="s">
        <v>16</v>
      </c>
      <c r="C39" s="100">
        <v>1520</v>
      </c>
      <c r="D39" s="100">
        <v>1520</v>
      </c>
      <c r="E39" s="100">
        <v>1900</v>
      </c>
      <c r="F39" s="100">
        <v>1520</v>
      </c>
      <c r="G39" s="100">
        <v>1520</v>
      </c>
      <c r="H39" s="100">
        <v>1520</v>
      </c>
      <c r="I39" s="100">
        <v>1520</v>
      </c>
      <c r="J39" s="100">
        <v>1520</v>
      </c>
      <c r="K39" s="100">
        <v>1520</v>
      </c>
      <c r="L39" s="100">
        <v>1520</v>
      </c>
      <c r="M39" s="100">
        <v>1520</v>
      </c>
      <c r="N39" s="100">
        <v>1520</v>
      </c>
      <c r="O39" s="103">
        <f t="shared" si="3"/>
        <v>18620</v>
      </c>
    </row>
    <row r="40" spans="1:17" s="102" customFormat="1" ht="11.1" customHeight="1" x14ac:dyDescent="0.25">
      <c r="A40" s="235"/>
      <c r="B40" s="99" t="s">
        <v>29</v>
      </c>
      <c r="C40" s="100">
        <v>1500</v>
      </c>
      <c r="D40" s="100">
        <v>1500</v>
      </c>
      <c r="E40" s="100">
        <v>1500</v>
      </c>
      <c r="F40" s="100">
        <v>1500</v>
      </c>
      <c r="G40" s="100">
        <v>1500</v>
      </c>
      <c r="H40" s="100">
        <v>1500</v>
      </c>
      <c r="I40" s="100">
        <v>1500</v>
      </c>
      <c r="J40" s="100">
        <v>1500</v>
      </c>
      <c r="K40" s="100">
        <v>1500</v>
      </c>
      <c r="L40" s="100">
        <v>1500</v>
      </c>
      <c r="M40" s="100">
        <v>1500</v>
      </c>
      <c r="N40" s="100">
        <v>1500</v>
      </c>
      <c r="O40" s="103">
        <f>SUM(C40:N40)</f>
        <v>18000</v>
      </c>
      <c r="Q40" s="102" t="s">
        <v>100</v>
      </c>
    </row>
    <row r="41" spans="1:17" s="64" customFormat="1" ht="12.6" customHeight="1" x14ac:dyDescent="0.3">
      <c r="A41" s="155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>SUM(C41:N41)</f>
        <v>0</v>
      </c>
    </row>
    <row r="42" spans="1:17" s="64" customFormat="1" ht="12.6" customHeight="1" x14ac:dyDescent="0.3">
      <c r="A42" s="156"/>
      <c r="B42" s="7" t="s">
        <v>32</v>
      </c>
      <c r="C42" s="114">
        <v>1416</v>
      </c>
      <c r="D42" s="114">
        <v>1520</v>
      </c>
      <c r="E42" s="114">
        <v>1520</v>
      </c>
      <c r="F42" s="114">
        <f>760+760</f>
        <v>1520</v>
      </c>
      <c r="G42" s="114">
        <f>760+760</f>
        <v>1520</v>
      </c>
      <c r="H42" s="114">
        <f>760+760</f>
        <v>1520</v>
      </c>
      <c r="I42" s="114">
        <v>1140</v>
      </c>
      <c r="J42" s="114"/>
      <c r="K42" s="114"/>
      <c r="L42" s="114"/>
      <c r="M42" s="114"/>
      <c r="N42" s="114"/>
      <c r="O42" s="24">
        <f t="shared" si="3"/>
        <v>10156</v>
      </c>
    </row>
    <row r="43" spans="1:17" s="102" customFormat="1" ht="12" x14ac:dyDescent="0.25">
      <c r="A43" s="236" t="s">
        <v>101</v>
      </c>
      <c r="B43" s="99" t="s">
        <v>16</v>
      </c>
      <c r="C43" s="100"/>
      <c r="D43" s="100"/>
      <c r="E43" s="100"/>
      <c r="F43" s="100"/>
      <c r="G43" s="100"/>
      <c r="H43" s="100">
        <v>600</v>
      </c>
      <c r="I43" s="100">
        <v>2700</v>
      </c>
      <c r="J43" s="100">
        <v>2700</v>
      </c>
      <c r="K43" s="100">
        <v>2400</v>
      </c>
      <c r="L43" s="100">
        <v>3000</v>
      </c>
      <c r="M43" s="100">
        <v>2400</v>
      </c>
      <c r="N43" s="100">
        <v>2400</v>
      </c>
      <c r="O43" s="103">
        <f t="shared" ref="O43:O50" si="4">SUM(C43:N43)</f>
        <v>16200</v>
      </c>
    </row>
    <row r="44" spans="1:17" s="102" customFormat="1" ht="11.1" customHeight="1" x14ac:dyDescent="0.25">
      <c r="A44" s="235"/>
      <c r="B44" s="99" t="s">
        <v>29</v>
      </c>
      <c r="C44" s="100">
        <v>1900</v>
      </c>
      <c r="D44" s="100">
        <v>1900</v>
      </c>
      <c r="E44" s="100">
        <v>1900</v>
      </c>
      <c r="F44" s="100">
        <v>1900</v>
      </c>
      <c r="G44" s="100">
        <v>1900</v>
      </c>
      <c r="H44" s="100">
        <v>1900</v>
      </c>
      <c r="I44" s="100">
        <v>1900</v>
      </c>
      <c r="J44" s="100">
        <v>1900</v>
      </c>
      <c r="K44" s="100">
        <v>1900</v>
      </c>
      <c r="L44" s="100">
        <v>1900</v>
      </c>
      <c r="M44" s="100">
        <v>1900</v>
      </c>
      <c r="N44" s="100">
        <v>1900</v>
      </c>
      <c r="O44" s="103">
        <f>SUM(C44:N44)</f>
        <v>22800</v>
      </c>
      <c r="Q44" s="102" t="s">
        <v>102</v>
      </c>
    </row>
    <row r="45" spans="1:17" s="64" customFormat="1" ht="12.6" customHeight="1" x14ac:dyDescent="0.3">
      <c r="A45" s="155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>SUM(C45:N45)</f>
        <v>0</v>
      </c>
    </row>
    <row r="46" spans="1:17" s="64" customFormat="1" ht="12.6" customHeight="1" x14ac:dyDescent="0.3">
      <c r="A46" s="156"/>
      <c r="B46" s="7" t="s">
        <v>32</v>
      </c>
      <c r="C46" s="114">
        <v>3000</v>
      </c>
      <c r="D46" s="114">
        <v>2400</v>
      </c>
      <c r="E46" s="114">
        <v>2400</v>
      </c>
      <c r="F46" s="114">
        <v>1500</v>
      </c>
      <c r="G46" s="114">
        <v>2400</v>
      </c>
      <c r="H46" s="114">
        <v>2400</v>
      </c>
      <c r="I46" s="114">
        <f>2400</f>
        <v>2400</v>
      </c>
      <c r="J46" s="114"/>
      <c r="K46" s="114"/>
      <c r="L46" s="114"/>
      <c r="M46" s="114"/>
      <c r="N46" s="114"/>
      <c r="O46" s="24">
        <f t="shared" si="4"/>
        <v>16500</v>
      </c>
    </row>
    <row r="47" spans="1:17" s="102" customFormat="1" ht="15" customHeight="1" x14ac:dyDescent="0.25">
      <c r="A47" s="236" t="s">
        <v>103</v>
      </c>
      <c r="B47" s="99" t="s">
        <v>16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3">
        <f t="shared" si="4"/>
        <v>0</v>
      </c>
    </row>
    <row r="48" spans="1:17" s="102" customFormat="1" ht="11.1" customHeight="1" x14ac:dyDescent="0.25">
      <c r="A48" s="235"/>
      <c r="B48" s="99" t="s">
        <v>29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3">
        <f>SUM(C48:N48)</f>
        <v>0</v>
      </c>
    </row>
    <row r="49" spans="1:17" s="64" customFormat="1" ht="12.6" customHeight="1" x14ac:dyDescent="0.3">
      <c r="A49" s="155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>SUM(C49:N49)</f>
        <v>0</v>
      </c>
    </row>
    <row r="50" spans="1:17" s="64" customFormat="1" ht="12.6" customHeight="1" x14ac:dyDescent="0.3">
      <c r="A50" s="156"/>
      <c r="B50" s="7" t="s">
        <v>32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24">
        <f t="shared" si="4"/>
        <v>0</v>
      </c>
    </row>
    <row r="51" spans="1:17" s="102" customFormat="1" ht="12" x14ac:dyDescent="0.25">
      <c r="A51" s="236" t="s">
        <v>104</v>
      </c>
      <c r="B51" s="99" t="s">
        <v>16</v>
      </c>
      <c r="C51" s="100"/>
      <c r="D51" s="100"/>
      <c r="E51" s="100"/>
      <c r="F51" s="100"/>
      <c r="G51" s="100">
        <v>356.5</v>
      </c>
      <c r="H51" s="100"/>
      <c r="I51" s="100"/>
      <c r="J51" s="100"/>
      <c r="K51" s="100"/>
      <c r="L51" s="100"/>
      <c r="M51" s="100"/>
      <c r="N51" s="100"/>
      <c r="O51" s="103">
        <f>SUM(C51:N51)</f>
        <v>356.5</v>
      </c>
    </row>
    <row r="52" spans="1:17" s="102" customFormat="1" ht="11.1" customHeight="1" x14ac:dyDescent="0.25">
      <c r="A52" s="235"/>
      <c r="B52" s="99" t="s">
        <v>29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0</v>
      </c>
      <c r="N52" s="100">
        <v>0</v>
      </c>
      <c r="O52" s="103">
        <f t="shared" ref="O52:O62" si="5">SUM(C52:N52)</f>
        <v>0</v>
      </c>
    </row>
    <row r="53" spans="1:17" s="64" customFormat="1" ht="12.6" customHeight="1" x14ac:dyDescent="0.3">
      <c r="A53" s="155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>SUM(C53:N53)</f>
        <v>0</v>
      </c>
    </row>
    <row r="54" spans="1:17" s="64" customFormat="1" ht="12.6" customHeight="1" x14ac:dyDescent="0.3">
      <c r="A54" s="156"/>
      <c r="B54" s="7" t="s">
        <v>32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24">
        <f t="shared" si="5"/>
        <v>0</v>
      </c>
    </row>
    <row r="55" spans="1:17" s="102" customFormat="1" ht="12" x14ac:dyDescent="0.25">
      <c r="A55" s="236" t="s">
        <v>105</v>
      </c>
      <c r="B55" s="99" t="s">
        <v>16</v>
      </c>
      <c r="C55" s="100"/>
      <c r="D55" s="100"/>
      <c r="E55" s="100"/>
      <c r="F55" s="100"/>
      <c r="G55" s="100"/>
      <c r="H55" s="100"/>
      <c r="I55" s="100">
        <v>2070</v>
      </c>
      <c r="J55" s="100">
        <v>2070</v>
      </c>
      <c r="K55" s="100">
        <v>2838</v>
      </c>
      <c r="L55" s="100">
        <v>2070</v>
      </c>
      <c r="M55" s="100">
        <v>1840</v>
      </c>
      <c r="N55" s="100">
        <v>2070</v>
      </c>
      <c r="O55" s="103">
        <f t="shared" si="5"/>
        <v>12958</v>
      </c>
    </row>
    <row r="56" spans="1:17" s="102" customFormat="1" ht="11.1" customHeight="1" x14ac:dyDescent="0.25">
      <c r="A56" s="235"/>
      <c r="B56" s="99" t="s">
        <v>29</v>
      </c>
      <c r="C56" s="100">
        <v>2070</v>
      </c>
      <c r="D56" s="100">
        <v>2070</v>
      </c>
      <c r="E56" s="100">
        <v>2070</v>
      </c>
      <c r="F56" s="100">
        <v>2070</v>
      </c>
      <c r="G56" s="100">
        <v>2070</v>
      </c>
      <c r="H56" s="100">
        <v>2070</v>
      </c>
      <c r="I56" s="100">
        <v>2070</v>
      </c>
      <c r="J56" s="100">
        <v>2070</v>
      </c>
      <c r="K56" s="100">
        <v>2070</v>
      </c>
      <c r="L56" s="100">
        <v>2070</v>
      </c>
      <c r="M56" s="100">
        <v>2070</v>
      </c>
      <c r="N56" s="100">
        <v>2070</v>
      </c>
      <c r="O56" s="103">
        <f>SUM(C56:N56)</f>
        <v>24840</v>
      </c>
      <c r="Q56" s="102" t="s">
        <v>106</v>
      </c>
    </row>
    <row r="57" spans="1:17" s="64" customFormat="1" ht="12.6" customHeight="1" x14ac:dyDescent="0.3">
      <c r="A57" s="155"/>
      <c r="B57" s="5" t="s">
        <v>31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7">
        <f>SUM(C57:N57)</f>
        <v>0</v>
      </c>
    </row>
    <row r="58" spans="1:17" s="64" customFormat="1" ht="12.6" customHeight="1" x14ac:dyDescent="0.3">
      <c r="A58" s="156"/>
      <c r="B58" s="7" t="s">
        <v>32</v>
      </c>
      <c r="C58" s="114">
        <v>2530</v>
      </c>
      <c r="D58" s="114">
        <v>1840</v>
      </c>
      <c r="E58" s="114">
        <v>2990</v>
      </c>
      <c r="F58" s="114">
        <v>2116</v>
      </c>
      <c r="G58" s="114">
        <v>2760</v>
      </c>
      <c r="H58" s="114">
        <v>2070</v>
      </c>
      <c r="I58" s="114">
        <v>1840</v>
      </c>
      <c r="J58" s="114">
        <f>1840</f>
        <v>1840</v>
      </c>
      <c r="K58" s="229">
        <v>3576.5</v>
      </c>
      <c r="L58" s="114">
        <v>2323</v>
      </c>
      <c r="M58" s="114"/>
      <c r="N58" s="114"/>
      <c r="O58" s="24">
        <f t="shared" si="5"/>
        <v>23885.5</v>
      </c>
    </row>
    <row r="59" spans="1:17" s="102" customFormat="1" ht="12" x14ac:dyDescent="0.25">
      <c r="A59" s="236" t="s">
        <v>107</v>
      </c>
      <c r="B59" s="99" t="s">
        <v>16</v>
      </c>
      <c r="C59" s="100"/>
      <c r="D59" s="100"/>
      <c r="E59" s="100"/>
      <c r="F59" s="100"/>
      <c r="G59" s="100"/>
      <c r="H59" s="100"/>
      <c r="I59" s="100">
        <v>525</v>
      </c>
      <c r="J59" s="100"/>
      <c r="K59" s="100"/>
      <c r="L59" s="100"/>
      <c r="M59" s="100"/>
      <c r="N59" s="100"/>
      <c r="O59" s="103">
        <f t="shared" si="5"/>
        <v>525</v>
      </c>
    </row>
    <row r="60" spans="1:17" s="102" customFormat="1" ht="11.1" customHeight="1" x14ac:dyDescent="0.25">
      <c r="A60" s="235"/>
      <c r="B60" s="99" t="s">
        <v>29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3">
        <f>SUM(C60:N60)</f>
        <v>0</v>
      </c>
    </row>
    <row r="61" spans="1:17" s="64" customFormat="1" ht="12.6" customHeight="1" x14ac:dyDescent="0.3">
      <c r="A61" s="155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>SUM(C61:N61)</f>
        <v>0</v>
      </c>
    </row>
    <row r="62" spans="1:17" s="64" customFormat="1" ht="12.6" customHeight="1" x14ac:dyDescent="0.3">
      <c r="A62" s="156"/>
      <c r="B62" s="7" t="s">
        <v>32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24">
        <f t="shared" si="5"/>
        <v>0</v>
      </c>
    </row>
    <row r="63" spans="1:17" s="102" customFormat="1" ht="12" x14ac:dyDescent="0.25">
      <c r="A63" s="236" t="s">
        <v>108</v>
      </c>
      <c r="B63" s="99" t="s">
        <v>16</v>
      </c>
      <c r="C63" s="100"/>
      <c r="D63" s="100"/>
      <c r="E63" s="100"/>
      <c r="F63" s="100"/>
      <c r="G63" s="100"/>
      <c r="H63" s="100"/>
      <c r="I63" s="100">
        <v>1900</v>
      </c>
      <c r="J63" s="100">
        <v>1226</v>
      </c>
      <c r="K63" s="100">
        <v>950</v>
      </c>
      <c r="L63" s="100">
        <v>1349</v>
      </c>
      <c r="M63" s="100">
        <v>1254</v>
      </c>
      <c r="N63" s="100">
        <v>1400</v>
      </c>
      <c r="O63" s="103">
        <f t="shared" ref="O63:O67" si="6">SUM(C63:N63)</f>
        <v>8079</v>
      </c>
    </row>
    <row r="64" spans="1:17" s="102" customFormat="1" ht="11.1" customHeight="1" x14ac:dyDescent="0.25">
      <c r="A64" s="235"/>
      <c r="B64" s="99" t="s">
        <v>29</v>
      </c>
      <c r="C64" s="100">
        <v>1700</v>
      </c>
      <c r="D64" s="100">
        <v>1700</v>
      </c>
      <c r="E64" s="100">
        <v>1700</v>
      </c>
      <c r="F64" s="100">
        <v>1700</v>
      </c>
      <c r="G64" s="100">
        <v>1700</v>
      </c>
      <c r="H64" s="100">
        <v>1700</v>
      </c>
      <c r="I64" s="100">
        <v>1700</v>
      </c>
      <c r="J64" s="100">
        <v>1700</v>
      </c>
      <c r="K64" s="100">
        <v>1700</v>
      </c>
      <c r="L64" s="100">
        <v>1700</v>
      </c>
      <c r="M64" s="100">
        <v>1700</v>
      </c>
      <c r="N64" s="100">
        <v>1700</v>
      </c>
      <c r="O64" s="103">
        <f>SUM(C64:N64)</f>
        <v>20400</v>
      </c>
      <c r="Q64" s="102" t="s">
        <v>109</v>
      </c>
    </row>
    <row r="65" spans="1:17" s="64" customFormat="1" ht="12.6" customHeight="1" x14ac:dyDescent="0.3">
      <c r="A65" s="155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>SUM(C65:N65)</f>
        <v>0</v>
      </c>
    </row>
    <row r="66" spans="1:17" s="64" customFormat="1" ht="12.6" customHeight="1" x14ac:dyDescent="0.3">
      <c r="A66" s="156"/>
      <c r="B66" s="7" t="s">
        <v>32</v>
      </c>
      <c r="C66" s="114">
        <v>1140</v>
      </c>
      <c r="D66" s="114">
        <v>1045</v>
      </c>
      <c r="E66" s="114">
        <v>1140</v>
      </c>
      <c r="F66" s="114">
        <v>1178</v>
      </c>
      <c r="G66" s="114">
        <v>1178</v>
      </c>
      <c r="H66" s="114">
        <v>1045</v>
      </c>
      <c r="I66" s="114">
        <v>1026</v>
      </c>
      <c r="J66" s="114">
        <v>885</v>
      </c>
      <c r="K66" s="114">
        <v>779</v>
      </c>
      <c r="L66" s="114"/>
      <c r="M66" s="114"/>
      <c r="N66" s="114"/>
      <c r="O66" s="24">
        <f>SUM(D66:N66)</f>
        <v>8276</v>
      </c>
    </row>
    <row r="67" spans="1:17" s="102" customFormat="1" ht="12.6" customHeight="1" x14ac:dyDescent="0.25">
      <c r="A67" s="236" t="s">
        <v>110</v>
      </c>
      <c r="B67" s="99" t="s">
        <v>16</v>
      </c>
      <c r="C67" s="100"/>
      <c r="D67" s="100"/>
      <c r="E67" s="100"/>
      <c r="F67" s="100"/>
      <c r="G67" s="100"/>
      <c r="H67" s="100"/>
      <c r="I67" s="100"/>
      <c r="J67" s="100">
        <v>286</v>
      </c>
      <c r="K67" s="100">
        <v>1727</v>
      </c>
      <c r="L67" s="100">
        <v>1760</v>
      </c>
      <c r="M67" s="100">
        <v>1760</v>
      </c>
      <c r="N67" s="100">
        <v>1760</v>
      </c>
      <c r="O67" s="103">
        <f t="shared" si="6"/>
        <v>7293</v>
      </c>
    </row>
    <row r="68" spans="1:17" s="102" customFormat="1" ht="11.1" customHeight="1" x14ac:dyDescent="0.25">
      <c r="A68" s="235"/>
      <c r="B68" s="99" t="s">
        <v>29</v>
      </c>
      <c r="C68" s="100">
        <v>1750</v>
      </c>
      <c r="D68" s="100">
        <v>1750</v>
      </c>
      <c r="E68" s="100">
        <v>1750</v>
      </c>
      <c r="F68" s="100">
        <v>1750</v>
      </c>
      <c r="G68" s="100">
        <v>1750</v>
      </c>
      <c r="H68" s="100">
        <v>1750</v>
      </c>
      <c r="I68" s="100">
        <v>1750</v>
      </c>
      <c r="J68" s="100">
        <v>1750</v>
      </c>
      <c r="K68" s="100">
        <v>1750</v>
      </c>
      <c r="L68" s="100">
        <v>1750</v>
      </c>
      <c r="M68" s="100">
        <v>1750</v>
      </c>
      <c r="N68" s="100">
        <v>1750</v>
      </c>
      <c r="O68" s="103">
        <f>SUM(C68:N68)</f>
        <v>21000</v>
      </c>
      <c r="Q68" s="102" t="s">
        <v>111</v>
      </c>
    </row>
    <row r="69" spans="1:17" s="64" customFormat="1" x14ac:dyDescent="0.3">
      <c r="A69" s="155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>SUM(C69:N69)</f>
        <v>0</v>
      </c>
    </row>
    <row r="70" spans="1:17" s="64" customFormat="1" x14ac:dyDescent="0.3">
      <c r="A70" s="156"/>
      <c r="B70" s="7" t="s">
        <v>32</v>
      </c>
      <c r="C70" s="114">
        <v>1760</v>
      </c>
      <c r="D70" s="114">
        <v>1760</v>
      </c>
      <c r="E70" s="114">
        <v>1760</v>
      </c>
      <c r="F70" s="114">
        <v>1672</v>
      </c>
      <c r="G70" s="114">
        <v>1760</v>
      </c>
      <c r="H70" s="114">
        <v>1760</v>
      </c>
      <c r="I70" s="114">
        <v>1760</v>
      </c>
      <c r="J70" s="114">
        <v>1760</v>
      </c>
      <c r="K70" s="114">
        <v>1760</v>
      </c>
      <c r="L70" s="114"/>
      <c r="M70" s="114"/>
      <c r="N70" s="114"/>
      <c r="O70" s="24">
        <f>SUM(C70:N70)</f>
        <v>15752</v>
      </c>
    </row>
    <row r="71" spans="1:17" s="102" customFormat="1" ht="12" x14ac:dyDescent="0.25">
      <c r="A71" s="236" t="s">
        <v>112</v>
      </c>
      <c r="B71" s="99" t="s">
        <v>16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>
        <v>1080</v>
      </c>
      <c r="M71" s="100">
        <v>2160</v>
      </c>
      <c r="N71" s="100">
        <v>1728</v>
      </c>
      <c r="O71" s="103">
        <f t="shared" ref="O71:O74" si="7">SUM(C71:N71)</f>
        <v>4968</v>
      </c>
    </row>
    <row r="72" spans="1:17" s="102" customFormat="1" ht="11.1" customHeight="1" x14ac:dyDescent="0.25">
      <c r="A72" s="235"/>
      <c r="B72" s="99" t="s">
        <v>29</v>
      </c>
      <c r="C72" s="100">
        <v>2100</v>
      </c>
      <c r="D72" s="100">
        <v>2100</v>
      </c>
      <c r="E72" s="100">
        <v>2100</v>
      </c>
      <c r="F72" s="100">
        <v>2100</v>
      </c>
      <c r="G72" s="100">
        <v>2100</v>
      </c>
      <c r="H72" s="100">
        <v>2100</v>
      </c>
      <c r="I72" s="100">
        <v>2100</v>
      </c>
      <c r="J72" s="100">
        <v>2100</v>
      </c>
      <c r="K72" s="100">
        <v>2100</v>
      </c>
      <c r="L72" s="100">
        <v>2100</v>
      </c>
      <c r="M72" s="100">
        <v>2100</v>
      </c>
      <c r="N72" s="100">
        <v>2100</v>
      </c>
      <c r="O72" s="103">
        <f>SUM(C72:N72)</f>
        <v>25200</v>
      </c>
      <c r="Q72" s="102" t="s">
        <v>113</v>
      </c>
    </row>
    <row r="73" spans="1:17" s="64" customFormat="1" x14ac:dyDescent="0.3">
      <c r="A73" s="155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>SUM(C73:N73)</f>
        <v>0</v>
      </c>
    </row>
    <row r="74" spans="1:17" s="64" customFormat="1" x14ac:dyDescent="0.3">
      <c r="A74" s="156"/>
      <c r="B74" s="7" t="s">
        <v>32</v>
      </c>
      <c r="C74" s="114">
        <v>1728</v>
      </c>
      <c r="D74" s="114">
        <v>864</v>
      </c>
      <c r="E74" s="114">
        <v>2160</v>
      </c>
      <c r="F74" s="114">
        <v>2268</v>
      </c>
      <c r="G74" s="114">
        <v>1998</v>
      </c>
      <c r="H74" s="114">
        <v>1458</v>
      </c>
      <c r="I74" s="114">
        <v>2241</v>
      </c>
      <c r="J74" s="114">
        <v>2106</v>
      </c>
      <c r="K74" s="114">
        <v>2322</v>
      </c>
      <c r="L74" s="114">
        <v>1188</v>
      </c>
      <c r="M74" s="114"/>
      <c r="N74" s="114"/>
      <c r="O74" s="24">
        <f t="shared" si="7"/>
        <v>18333</v>
      </c>
    </row>
    <row r="75" spans="1:17" s="102" customFormat="1" ht="12" x14ac:dyDescent="0.25">
      <c r="A75" s="236" t="s">
        <v>114</v>
      </c>
      <c r="B75" s="99" t="s">
        <v>16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3">
        <f t="shared" ref="O75:O106" si="8">SUM(C75:N75)</f>
        <v>0</v>
      </c>
    </row>
    <row r="76" spans="1:17" s="102" customFormat="1" ht="11.1" customHeight="1" x14ac:dyDescent="0.25">
      <c r="A76" s="235"/>
      <c r="B76" s="99" t="s">
        <v>29</v>
      </c>
      <c r="C76" s="100">
        <v>1700</v>
      </c>
      <c r="D76" s="100">
        <v>1700</v>
      </c>
      <c r="E76" s="100">
        <v>1700</v>
      </c>
      <c r="F76" s="100">
        <v>1700</v>
      </c>
      <c r="G76" s="100">
        <v>1700</v>
      </c>
      <c r="H76" s="100">
        <v>1700</v>
      </c>
      <c r="I76" s="100">
        <v>1700</v>
      </c>
      <c r="J76" s="100">
        <v>1700</v>
      </c>
      <c r="K76" s="100">
        <v>1700</v>
      </c>
      <c r="L76" s="100">
        <v>1700</v>
      </c>
      <c r="M76" s="100">
        <v>1700</v>
      </c>
      <c r="N76" s="100">
        <v>1700</v>
      </c>
      <c r="O76" s="103">
        <f>SUM(C76:N76)</f>
        <v>20400</v>
      </c>
      <c r="Q76" s="102" t="s">
        <v>115</v>
      </c>
    </row>
    <row r="77" spans="1:17" s="64" customFormat="1" x14ac:dyDescent="0.3">
      <c r="A77" s="155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7">
        <f>SUM(C77:N77)</f>
        <v>0</v>
      </c>
    </row>
    <row r="78" spans="1:17" s="64" customFormat="1" x14ac:dyDescent="0.3">
      <c r="A78" s="156"/>
      <c r="B78" s="7" t="s">
        <v>32</v>
      </c>
      <c r="C78" s="114">
        <v>1584</v>
      </c>
      <c r="D78" s="114">
        <v>1368</v>
      </c>
      <c r="E78" s="114">
        <v>1368</v>
      </c>
      <c r="F78" s="114">
        <v>1638</v>
      </c>
      <c r="G78" s="114">
        <v>1440</v>
      </c>
      <c r="H78" s="114">
        <v>1368</v>
      </c>
      <c r="I78" s="114">
        <v>1710</v>
      </c>
      <c r="J78" s="114">
        <v>1368</v>
      </c>
      <c r="K78" s="114"/>
      <c r="L78" s="114">
        <v>1818</v>
      </c>
      <c r="M78" s="114"/>
      <c r="N78" s="114"/>
      <c r="O78" s="24">
        <f t="shared" si="8"/>
        <v>13662</v>
      </c>
    </row>
    <row r="79" spans="1:17" s="102" customFormat="1" ht="12" x14ac:dyDescent="0.25">
      <c r="A79" s="236" t="s">
        <v>116</v>
      </c>
      <c r="B79" s="99" t="s">
        <v>16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3">
        <f t="shared" si="8"/>
        <v>0</v>
      </c>
    </row>
    <row r="80" spans="1:17" s="102" customFormat="1" ht="11.1" customHeight="1" x14ac:dyDescent="0.25">
      <c r="A80" s="235"/>
      <c r="B80" s="99" t="s">
        <v>29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3">
        <f>SUM(C80:N80)</f>
        <v>0</v>
      </c>
    </row>
    <row r="81" spans="1:15" s="64" customFormat="1" x14ac:dyDescent="0.3">
      <c r="A81" s="155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7">
        <f>SUM(C81:N81)</f>
        <v>0</v>
      </c>
    </row>
    <row r="82" spans="1:15" s="64" customFormat="1" x14ac:dyDescent="0.3">
      <c r="A82" s="156"/>
      <c r="B82" s="7" t="s">
        <v>32</v>
      </c>
      <c r="C82" s="114"/>
      <c r="D82" s="114"/>
      <c r="E82" s="114"/>
      <c r="F82" s="114">
        <v>2722.51</v>
      </c>
      <c r="G82" s="114">
        <v>2722.51</v>
      </c>
      <c r="H82" s="114">
        <v>2722.51</v>
      </c>
      <c r="I82" s="114"/>
      <c r="J82" s="114"/>
      <c r="K82" s="114"/>
      <c r="L82" s="114"/>
      <c r="M82" s="114"/>
      <c r="N82" s="114"/>
      <c r="O82" s="24">
        <f t="shared" si="8"/>
        <v>8167.5300000000007</v>
      </c>
    </row>
    <row r="83" spans="1:15" s="102" customFormat="1" ht="12" x14ac:dyDescent="0.25">
      <c r="A83" s="236" t="s">
        <v>117</v>
      </c>
      <c r="B83" s="99" t="s">
        <v>16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3">
        <f t="shared" si="8"/>
        <v>0</v>
      </c>
    </row>
    <row r="84" spans="1:15" s="102" customFormat="1" ht="11.1" customHeight="1" x14ac:dyDescent="0.25">
      <c r="A84" s="235"/>
      <c r="B84" s="99" t="s">
        <v>29</v>
      </c>
      <c r="C84" s="100">
        <v>0</v>
      </c>
      <c r="D84" s="100">
        <v>0</v>
      </c>
      <c r="E84" s="100">
        <v>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3">
        <f>SUM(C84:N84)</f>
        <v>0</v>
      </c>
    </row>
    <row r="85" spans="1:15" s="64" customFormat="1" x14ac:dyDescent="0.3">
      <c r="A85" s="155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7">
        <f>SUM(C85:N85)</f>
        <v>0</v>
      </c>
    </row>
    <row r="86" spans="1:15" s="64" customFormat="1" x14ac:dyDescent="0.3">
      <c r="A86" s="156"/>
      <c r="B86" s="7" t="s">
        <v>32</v>
      </c>
      <c r="C86" s="114"/>
      <c r="D86" s="114"/>
      <c r="E86" s="114"/>
      <c r="F86" s="114">
        <v>9125</v>
      </c>
      <c r="G86" s="114"/>
      <c r="H86" s="114">
        <v>9984.94</v>
      </c>
      <c r="I86" s="114"/>
      <c r="J86" s="114"/>
      <c r="K86" s="114"/>
      <c r="L86" s="114"/>
      <c r="M86" s="114"/>
      <c r="N86" s="114"/>
      <c r="O86" s="24">
        <f t="shared" si="8"/>
        <v>19109.940000000002</v>
      </c>
    </row>
    <row r="87" spans="1:15" s="102" customFormat="1" ht="12" x14ac:dyDescent="0.25">
      <c r="A87" s="236" t="s">
        <v>118</v>
      </c>
      <c r="B87" s="99" t="s">
        <v>16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3">
        <f t="shared" si="8"/>
        <v>0</v>
      </c>
    </row>
    <row r="88" spans="1:15" s="102" customFormat="1" ht="11.1" customHeight="1" x14ac:dyDescent="0.25">
      <c r="A88" s="235"/>
      <c r="B88" s="99" t="s">
        <v>29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3">
        <f>SUM(C88:N88)</f>
        <v>0</v>
      </c>
    </row>
    <row r="89" spans="1:15" s="64" customFormat="1" x14ac:dyDescent="0.3">
      <c r="A89" s="155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7">
        <f>SUM(C89:N89)</f>
        <v>0</v>
      </c>
    </row>
    <row r="90" spans="1:15" s="64" customFormat="1" x14ac:dyDescent="0.3">
      <c r="A90" s="156"/>
      <c r="B90" s="7" t="s">
        <v>32</v>
      </c>
      <c r="C90" s="114"/>
      <c r="D90" s="114"/>
      <c r="E90" s="114"/>
      <c r="F90" s="114"/>
      <c r="G90" s="114">
        <v>5720</v>
      </c>
      <c r="H90" s="114">
        <v>5610</v>
      </c>
      <c r="I90" s="114"/>
      <c r="J90" s="114"/>
      <c r="K90" s="114"/>
      <c r="L90" s="114"/>
      <c r="M90" s="114"/>
      <c r="N90" s="114"/>
      <c r="O90" s="24">
        <f t="shared" si="8"/>
        <v>11330</v>
      </c>
    </row>
    <row r="91" spans="1:15" s="102" customFormat="1" ht="12" x14ac:dyDescent="0.25">
      <c r="A91" s="236" t="s">
        <v>119</v>
      </c>
      <c r="B91" s="99" t="s">
        <v>16</v>
      </c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3">
        <f t="shared" si="8"/>
        <v>0</v>
      </c>
    </row>
    <row r="92" spans="1:15" s="102" customFormat="1" ht="11.1" customHeight="1" x14ac:dyDescent="0.25">
      <c r="A92" s="235"/>
      <c r="B92" s="99" t="s">
        <v>29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100">
        <v>0</v>
      </c>
      <c r="N92" s="100">
        <v>0</v>
      </c>
      <c r="O92" s="103">
        <f>SUM(C92:N92)</f>
        <v>0</v>
      </c>
    </row>
    <row r="93" spans="1:15" s="64" customFormat="1" x14ac:dyDescent="0.3">
      <c r="A93" s="155"/>
      <c r="B93" s="5" t="s">
        <v>31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7">
        <f>SUM(C93:N93)</f>
        <v>0</v>
      </c>
    </row>
    <row r="94" spans="1:15" s="64" customFormat="1" x14ac:dyDescent="0.3">
      <c r="A94" s="156"/>
      <c r="B94" s="7" t="s">
        <v>32</v>
      </c>
      <c r="C94" s="114"/>
      <c r="D94" s="114"/>
      <c r="E94" s="114"/>
      <c r="F94" s="114"/>
      <c r="G94" s="114"/>
      <c r="H94" s="114">
        <v>270</v>
      </c>
      <c r="I94" s="114"/>
      <c r="J94" s="114"/>
      <c r="K94" s="114"/>
      <c r="L94" s="114"/>
      <c r="M94" s="114"/>
      <c r="N94" s="114"/>
      <c r="O94" s="24">
        <f t="shared" si="8"/>
        <v>270</v>
      </c>
    </row>
    <row r="95" spans="1:15" s="102" customFormat="1" ht="12" x14ac:dyDescent="0.25">
      <c r="A95" s="236" t="s">
        <v>120</v>
      </c>
      <c r="B95" s="99" t="s">
        <v>16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3">
        <f t="shared" si="8"/>
        <v>0</v>
      </c>
    </row>
    <row r="96" spans="1:15" s="102" customFormat="1" ht="11.1" customHeight="1" x14ac:dyDescent="0.25">
      <c r="A96" s="235"/>
      <c r="B96" s="99" t="s">
        <v>29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100">
        <v>0</v>
      </c>
      <c r="N96" s="100">
        <v>0</v>
      </c>
      <c r="O96" s="103">
        <f>SUM(C96:N96)</f>
        <v>0</v>
      </c>
    </row>
    <row r="97" spans="1:15" s="64" customFormat="1" x14ac:dyDescent="0.3">
      <c r="A97" s="155"/>
      <c r="B97" s="5" t="s">
        <v>31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7">
        <f>SUM(C97:N97)</f>
        <v>0</v>
      </c>
    </row>
    <row r="98" spans="1:15" s="64" customFormat="1" x14ac:dyDescent="0.3">
      <c r="A98" s="156"/>
      <c r="B98" s="7" t="s">
        <v>32</v>
      </c>
      <c r="C98" s="114"/>
      <c r="D98" s="114"/>
      <c r="E98" s="114"/>
      <c r="F98" s="114"/>
      <c r="G98" s="114">
        <v>180</v>
      </c>
      <c r="H98" s="114"/>
      <c r="I98" s="114"/>
      <c r="J98" s="114"/>
      <c r="K98" s="114"/>
      <c r="L98" s="114"/>
      <c r="M98" s="114"/>
      <c r="N98" s="114"/>
      <c r="O98" s="24">
        <f t="shared" si="8"/>
        <v>180</v>
      </c>
    </row>
    <row r="99" spans="1:15" s="102" customFormat="1" ht="12" x14ac:dyDescent="0.25">
      <c r="A99" s="236" t="s">
        <v>121</v>
      </c>
      <c r="B99" s="99" t="s">
        <v>16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3">
        <f t="shared" si="8"/>
        <v>0</v>
      </c>
    </row>
    <row r="100" spans="1:15" s="102" customFormat="1" ht="11.1" customHeight="1" x14ac:dyDescent="0.25">
      <c r="A100" s="235"/>
      <c r="B100" s="99" t="s">
        <v>29</v>
      </c>
      <c r="C100" s="100">
        <v>0</v>
      </c>
      <c r="D100" s="100">
        <v>0</v>
      </c>
      <c r="E100" s="100">
        <v>0</v>
      </c>
      <c r="F100" s="100">
        <v>0</v>
      </c>
      <c r="G100" s="100">
        <v>0</v>
      </c>
      <c r="H100" s="100">
        <v>0</v>
      </c>
      <c r="I100" s="100">
        <v>0</v>
      </c>
      <c r="J100" s="100">
        <v>0</v>
      </c>
      <c r="K100" s="100">
        <v>0</v>
      </c>
      <c r="L100" s="100">
        <v>0</v>
      </c>
      <c r="M100" s="100">
        <v>0</v>
      </c>
      <c r="N100" s="100">
        <v>0</v>
      </c>
      <c r="O100" s="103">
        <f>SUM(C100:N100)</f>
        <v>0</v>
      </c>
    </row>
    <row r="101" spans="1:15" s="64" customFormat="1" x14ac:dyDescent="0.3">
      <c r="A101" s="155"/>
      <c r="B101" s="5" t="s">
        <v>31</v>
      </c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7">
        <f t="shared" si="8"/>
        <v>0</v>
      </c>
    </row>
    <row r="102" spans="1:15" s="64" customFormat="1" x14ac:dyDescent="0.3">
      <c r="A102" s="156"/>
      <c r="B102" s="7" t="s">
        <v>32</v>
      </c>
      <c r="C102" s="114"/>
      <c r="D102" s="114"/>
      <c r="E102" s="114"/>
      <c r="F102" s="114"/>
      <c r="G102" s="114">
        <v>215</v>
      </c>
      <c r="H102" s="114"/>
      <c r="I102" s="114"/>
      <c r="J102" s="114"/>
      <c r="K102" s="114"/>
      <c r="L102" s="114"/>
      <c r="M102" s="114"/>
      <c r="N102" s="114"/>
      <c r="O102" s="24">
        <f t="shared" si="8"/>
        <v>215</v>
      </c>
    </row>
    <row r="103" spans="1:15" s="102" customFormat="1" ht="12" x14ac:dyDescent="0.25">
      <c r="A103" s="236" t="s">
        <v>122</v>
      </c>
      <c r="B103" s="99" t="s">
        <v>16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3">
        <f t="shared" si="8"/>
        <v>0</v>
      </c>
    </row>
    <row r="104" spans="1:15" s="102" customFormat="1" ht="11.1" customHeight="1" x14ac:dyDescent="0.25">
      <c r="A104" s="235"/>
      <c r="B104" s="99" t="s">
        <v>29</v>
      </c>
      <c r="C104" s="100">
        <v>0</v>
      </c>
      <c r="D104" s="100">
        <v>0</v>
      </c>
      <c r="E104" s="100">
        <v>0</v>
      </c>
      <c r="F104" s="100">
        <v>0</v>
      </c>
      <c r="G104" s="100">
        <v>0</v>
      </c>
      <c r="H104" s="100">
        <v>0</v>
      </c>
      <c r="I104" s="100">
        <v>0</v>
      </c>
      <c r="J104" s="100">
        <v>0</v>
      </c>
      <c r="K104" s="100">
        <v>0</v>
      </c>
      <c r="L104" s="100">
        <v>0</v>
      </c>
      <c r="M104" s="100">
        <v>0</v>
      </c>
      <c r="N104" s="100">
        <v>0</v>
      </c>
      <c r="O104" s="103">
        <f>SUM(C104:N104)</f>
        <v>0</v>
      </c>
    </row>
    <row r="105" spans="1:15" s="64" customFormat="1" x14ac:dyDescent="0.3">
      <c r="A105" s="155"/>
      <c r="B105" s="5" t="s">
        <v>31</v>
      </c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7">
        <f t="shared" si="8"/>
        <v>0</v>
      </c>
    </row>
    <row r="106" spans="1:15" s="64" customFormat="1" x14ac:dyDescent="0.3">
      <c r="A106" s="156"/>
      <c r="B106" s="7" t="s">
        <v>32</v>
      </c>
      <c r="C106" s="114"/>
      <c r="D106" s="114"/>
      <c r="E106" s="114"/>
      <c r="F106" s="114"/>
      <c r="G106" s="114">
        <v>1000</v>
      </c>
      <c r="H106" s="114"/>
      <c r="I106" s="114"/>
      <c r="J106" s="114"/>
      <c r="K106" s="114"/>
      <c r="L106" s="114"/>
      <c r="M106" s="114"/>
      <c r="N106" s="114"/>
      <c r="O106" s="24">
        <f t="shared" si="8"/>
        <v>1000</v>
      </c>
    </row>
    <row r="107" spans="1:15" s="102" customFormat="1" ht="12" x14ac:dyDescent="0.25">
      <c r="A107" s="236" t="s">
        <v>123</v>
      </c>
      <c r="B107" s="99" t="s">
        <v>16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3">
        <f t="shared" ref="O107:O130" si="9">SUM(C107:N107)</f>
        <v>0</v>
      </c>
    </row>
    <row r="108" spans="1:15" s="102" customFormat="1" ht="11.1" customHeight="1" x14ac:dyDescent="0.25">
      <c r="A108" s="235"/>
      <c r="B108" s="99" t="s">
        <v>29</v>
      </c>
      <c r="C108" s="100">
        <v>0</v>
      </c>
      <c r="D108" s="100">
        <v>0</v>
      </c>
      <c r="E108" s="100">
        <v>0</v>
      </c>
      <c r="F108" s="100">
        <v>0</v>
      </c>
      <c r="G108" s="100">
        <v>0</v>
      </c>
      <c r="H108" s="100">
        <v>0</v>
      </c>
      <c r="I108" s="100">
        <v>0</v>
      </c>
      <c r="J108" s="100">
        <v>0</v>
      </c>
      <c r="K108" s="100">
        <v>0</v>
      </c>
      <c r="L108" s="100">
        <v>0</v>
      </c>
      <c r="M108" s="100">
        <v>0</v>
      </c>
      <c r="N108" s="100">
        <v>0</v>
      </c>
      <c r="O108" s="103">
        <f>SUM(C108:N108)</f>
        <v>0</v>
      </c>
    </row>
    <row r="109" spans="1:15" s="64" customFormat="1" x14ac:dyDescent="0.3">
      <c r="A109" s="155"/>
      <c r="B109" s="5" t="s">
        <v>31</v>
      </c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7">
        <f t="shared" si="9"/>
        <v>0</v>
      </c>
    </row>
    <row r="110" spans="1:15" s="64" customFormat="1" x14ac:dyDescent="0.3">
      <c r="A110" s="156"/>
      <c r="B110" s="7" t="s">
        <v>32</v>
      </c>
      <c r="C110" s="114"/>
      <c r="D110" s="114"/>
      <c r="E110" s="114"/>
      <c r="F110" s="114"/>
      <c r="G110" s="114">
        <v>2750</v>
      </c>
      <c r="H110" s="114">
        <v>2750</v>
      </c>
      <c r="I110" s="114">
        <v>2750</v>
      </c>
      <c r="J110" s="114"/>
      <c r="K110" s="114"/>
      <c r="L110" s="114"/>
      <c r="M110" s="114"/>
      <c r="N110" s="114"/>
      <c r="O110" s="24">
        <f t="shared" si="9"/>
        <v>8250</v>
      </c>
    </row>
    <row r="111" spans="1:15" s="102" customFormat="1" ht="12" x14ac:dyDescent="0.25">
      <c r="A111" s="236" t="s">
        <v>124</v>
      </c>
      <c r="B111" s="99" t="s">
        <v>16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3">
        <f t="shared" si="9"/>
        <v>0</v>
      </c>
    </row>
    <row r="112" spans="1:15" s="102" customFormat="1" ht="11.1" customHeight="1" x14ac:dyDescent="0.25">
      <c r="A112" s="235"/>
      <c r="B112" s="99" t="s">
        <v>29</v>
      </c>
      <c r="C112" s="100">
        <v>0</v>
      </c>
      <c r="D112" s="100">
        <v>0</v>
      </c>
      <c r="E112" s="100">
        <v>0</v>
      </c>
      <c r="F112" s="100">
        <v>0</v>
      </c>
      <c r="G112" s="100">
        <v>0</v>
      </c>
      <c r="H112" s="100">
        <v>0</v>
      </c>
      <c r="I112" s="100">
        <v>0</v>
      </c>
      <c r="J112" s="100">
        <v>0</v>
      </c>
      <c r="K112" s="100">
        <v>0</v>
      </c>
      <c r="L112" s="100">
        <v>0</v>
      </c>
      <c r="M112" s="100">
        <v>0</v>
      </c>
      <c r="N112" s="100">
        <v>0</v>
      </c>
      <c r="O112" s="103">
        <f>SUM(C112:N112)</f>
        <v>0</v>
      </c>
    </row>
    <row r="113" spans="1:15" s="64" customFormat="1" x14ac:dyDescent="0.3">
      <c r="A113" s="155"/>
      <c r="B113" s="5" t="s">
        <v>31</v>
      </c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7">
        <f t="shared" si="9"/>
        <v>0</v>
      </c>
    </row>
    <row r="114" spans="1:15" s="64" customFormat="1" x14ac:dyDescent="0.3">
      <c r="A114" s="156"/>
      <c r="B114" s="7" t="s">
        <v>32</v>
      </c>
      <c r="C114" s="114"/>
      <c r="D114" s="114"/>
      <c r="E114" s="114"/>
      <c r="F114" s="114"/>
      <c r="G114" s="114">
        <v>10000</v>
      </c>
      <c r="H114" s="114"/>
      <c r="I114" s="114">
        <v>10000</v>
      </c>
      <c r="J114" s="114"/>
      <c r="K114" s="114"/>
      <c r="L114" s="114"/>
      <c r="M114" s="114"/>
      <c r="N114" s="114"/>
      <c r="O114" s="24">
        <f t="shared" si="9"/>
        <v>20000</v>
      </c>
    </row>
    <row r="115" spans="1:15" s="102" customFormat="1" ht="12" x14ac:dyDescent="0.25">
      <c r="A115" s="236" t="s">
        <v>125</v>
      </c>
      <c r="B115" s="99" t="s">
        <v>16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3">
        <f t="shared" si="9"/>
        <v>0</v>
      </c>
    </row>
    <row r="116" spans="1:15" s="102" customFormat="1" ht="11.1" customHeight="1" x14ac:dyDescent="0.25">
      <c r="A116" s="235"/>
      <c r="B116" s="99" t="s">
        <v>29</v>
      </c>
      <c r="C116" s="100">
        <v>0</v>
      </c>
      <c r="D116" s="100">
        <v>0</v>
      </c>
      <c r="E116" s="100">
        <v>0</v>
      </c>
      <c r="F116" s="100">
        <v>0</v>
      </c>
      <c r="G116" s="100">
        <v>0</v>
      </c>
      <c r="H116" s="100">
        <v>0</v>
      </c>
      <c r="I116" s="100">
        <v>0</v>
      </c>
      <c r="J116" s="100">
        <v>0</v>
      </c>
      <c r="K116" s="100">
        <v>0</v>
      </c>
      <c r="L116" s="100">
        <v>0</v>
      </c>
      <c r="M116" s="100">
        <v>0</v>
      </c>
      <c r="N116" s="100">
        <v>0</v>
      </c>
      <c r="O116" s="103">
        <f>SUM(C116:N116)</f>
        <v>0</v>
      </c>
    </row>
    <row r="117" spans="1:15" s="64" customFormat="1" x14ac:dyDescent="0.3">
      <c r="A117" s="155"/>
      <c r="B117" s="5" t="s">
        <v>31</v>
      </c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7">
        <f t="shared" si="9"/>
        <v>0</v>
      </c>
    </row>
    <row r="118" spans="1:15" s="64" customFormat="1" x14ac:dyDescent="0.3">
      <c r="A118" s="156"/>
      <c r="B118" s="7" t="s">
        <v>32</v>
      </c>
      <c r="C118" s="114"/>
      <c r="D118" s="114"/>
      <c r="E118" s="114"/>
      <c r="F118" s="114"/>
      <c r="G118" s="114">
        <v>12565.44</v>
      </c>
      <c r="H118" s="114"/>
      <c r="I118" s="114"/>
      <c r="J118" s="114"/>
      <c r="K118" s="114"/>
      <c r="L118" s="114"/>
      <c r="M118" s="114"/>
      <c r="N118" s="114"/>
      <c r="O118" s="24">
        <f t="shared" si="9"/>
        <v>12565.44</v>
      </c>
    </row>
    <row r="119" spans="1:15" s="102" customFormat="1" ht="12" x14ac:dyDescent="0.25">
      <c r="A119" s="236" t="s">
        <v>126</v>
      </c>
      <c r="B119" s="99" t="s">
        <v>16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3">
        <f t="shared" si="9"/>
        <v>0</v>
      </c>
    </row>
    <row r="120" spans="1:15" s="102" customFormat="1" ht="11.1" customHeight="1" x14ac:dyDescent="0.25">
      <c r="A120" s="235"/>
      <c r="B120" s="99" t="s">
        <v>29</v>
      </c>
      <c r="C120" s="100">
        <v>0</v>
      </c>
      <c r="D120" s="100">
        <v>0</v>
      </c>
      <c r="E120" s="100">
        <v>0</v>
      </c>
      <c r="F120" s="100">
        <v>0</v>
      </c>
      <c r="G120" s="100">
        <v>0</v>
      </c>
      <c r="H120" s="100">
        <v>0</v>
      </c>
      <c r="I120" s="100">
        <v>0</v>
      </c>
      <c r="J120" s="100">
        <v>0</v>
      </c>
      <c r="K120" s="100">
        <v>0</v>
      </c>
      <c r="L120" s="100">
        <v>0</v>
      </c>
      <c r="M120" s="100">
        <v>0</v>
      </c>
      <c r="N120" s="100">
        <v>0</v>
      </c>
      <c r="O120" s="103">
        <f>SUM(C120:N120)</f>
        <v>0</v>
      </c>
    </row>
    <row r="121" spans="1:15" s="64" customFormat="1" x14ac:dyDescent="0.3">
      <c r="A121" s="155"/>
      <c r="B121" s="5" t="s">
        <v>31</v>
      </c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7">
        <f t="shared" si="9"/>
        <v>0</v>
      </c>
    </row>
    <row r="122" spans="1:15" s="64" customFormat="1" x14ac:dyDescent="0.3">
      <c r="A122" s="156"/>
      <c r="B122" s="7" t="s">
        <v>32</v>
      </c>
      <c r="C122" s="114"/>
      <c r="D122" s="114"/>
      <c r="E122" s="114"/>
      <c r="F122" s="114"/>
      <c r="G122" s="114"/>
      <c r="H122" s="114">
        <v>700</v>
      </c>
      <c r="I122" s="114"/>
      <c r="J122" s="114">
        <v>1050</v>
      </c>
      <c r="K122" s="114"/>
      <c r="L122" s="114"/>
      <c r="M122" s="114"/>
      <c r="N122" s="114"/>
      <c r="O122" s="24">
        <f t="shared" si="9"/>
        <v>1750</v>
      </c>
    </row>
    <row r="123" spans="1:15" s="102" customFormat="1" ht="12" x14ac:dyDescent="0.25">
      <c r="A123" s="236" t="s">
        <v>127</v>
      </c>
      <c r="B123" s="99" t="s">
        <v>16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3">
        <f t="shared" si="9"/>
        <v>0</v>
      </c>
    </row>
    <row r="124" spans="1:15" s="102" customFormat="1" ht="11.1" customHeight="1" x14ac:dyDescent="0.25">
      <c r="A124" s="235"/>
      <c r="B124" s="99" t="s">
        <v>29</v>
      </c>
      <c r="C124" s="100">
        <v>0</v>
      </c>
      <c r="D124" s="100">
        <v>0</v>
      </c>
      <c r="E124" s="100">
        <v>0</v>
      </c>
      <c r="F124" s="100">
        <v>0</v>
      </c>
      <c r="G124" s="100">
        <v>0</v>
      </c>
      <c r="H124" s="100">
        <v>0</v>
      </c>
      <c r="I124" s="100">
        <v>0</v>
      </c>
      <c r="J124" s="100">
        <v>0</v>
      </c>
      <c r="K124" s="100">
        <v>0</v>
      </c>
      <c r="L124" s="100">
        <v>0</v>
      </c>
      <c r="M124" s="100">
        <v>0</v>
      </c>
      <c r="N124" s="100">
        <v>0</v>
      </c>
      <c r="O124" s="103">
        <f>SUM(C124:N124)</f>
        <v>0</v>
      </c>
    </row>
    <row r="125" spans="1:15" s="64" customFormat="1" ht="11.4" customHeight="1" x14ac:dyDescent="0.3">
      <c r="A125" s="155"/>
      <c r="B125" s="5" t="s">
        <v>31</v>
      </c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7">
        <f t="shared" si="9"/>
        <v>0</v>
      </c>
    </row>
    <row r="126" spans="1:15" s="64" customFormat="1" x14ac:dyDescent="0.3">
      <c r="A126" s="156"/>
      <c r="B126" s="7" t="s">
        <v>32</v>
      </c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24">
        <f t="shared" si="9"/>
        <v>0</v>
      </c>
    </row>
    <row r="127" spans="1:15" s="102" customFormat="1" ht="12" x14ac:dyDescent="0.25">
      <c r="A127" s="236" t="s">
        <v>128</v>
      </c>
      <c r="B127" s="99" t="s">
        <v>16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3">
        <f t="shared" si="9"/>
        <v>0</v>
      </c>
    </row>
    <row r="128" spans="1:15" s="102" customFormat="1" ht="11.1" customHeight="1" x14ac:dyDescent="0.25">
      <c r="A128" s="235"/>
      <c r="B128" s="99" t="s">
        <v>29</v>
      </c>
      <c r="C128" s="100">
        <v>0</v>
      </c>
      <c r="D128" s="100">
        <v>0</v>
      </c>
      <c r="E128" s="100">
        <v>0</v>
      </c>
      <c r="F128" s="100">
        <v>0</v>
      </c>
      <c r="G128" s="100">
        <v>0</v>
      </c>
      <c r="H128" s="100">
        <v>0</v>
      </c>
      <c r="I128" s="100">
        <v>0</v>
      </c>
      <c r="J128" s="100">
        <v>0</v>
      </c>
      <c r="K128" s="100">
        <v>0</v>
      </c>
      <c r="L128" s="100">
        <v>0</v>
      </c>
      <c r="M128" s="100">
        <v>0</v>
      </c>
      <c r="N128" s="100">
        <v>0</v>
      </c>
      <c r="O128" s="103">
        <f>SUM(C128:N128)</f>
        <v>0</v>
      </c>
    </row>
    <row r="129" spans="1:15" s="64" customFormat="1" x14ac:dyDescent="0.3">
      <c r="A129" s="155"/>
      <c r="B129" s="5" t="s">
        <v>31</v>
      </c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7">
        <f t="shared" si="9"/>
        <v>0</v>
      </c>
    </row>
    <row r="130" spans="1:15" s="64" customFormat="1" x14ac:dyDescent="0.3">
      <c r="A130" s="156"/>
      <c r="B130" s="7" t="s">
        <v>32</v>
      </c>
      <c r="C130" s="114"/>
      <c r="D130" s="114"/>
      <c r="E130" s="114"/>
      <c r="F130" s="114"/>
      <c r="G130" s="114"/>
      <c r="H130" s="114">
        <v>1300</v>
      </c>
      <c r="I130" s="114"/>
      <c r="J130" s="114"/>
      <c r="K130" s="114"/>
      <c r="L130" s="114"/>
      <c r="M130" s="114"/>
      <c r="N130" s="114"/>
      <c r="O130" s="24">
        <f t="shared" si="9"/>
        <v>1300</v>
      </c>
    </row>
    <row r="131" spans="1:15" s="102" customFormat="1" ht="12" x14ac:dyDescent="0.25">
      <c r="A131" s="238" t="s">
        <v>129</v>
      </c>
      <c r="B131" s="99" t="s">
        <v>16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3">
        <f t="shared" ref="O131:O138" si="10">SUM(C131:N131)</f>
        <v>0</v>
      </c>
    </row>
    <row r="132" spans="1:15" s="102" customFormat="1" ht="12" x14ac:dyDescent="0.25">
      <c r="A132" s="237"/>
      <c r="B132" s="99" t="s">
        <v>29</v>
      </c>
      <c r="C132" s="100">
        <v>0</v>
      </c>
      <c r="D132" s="100">
        <v>0</v>
      </c>
      <c r="E132" s="100">
        <v>0</v>
      </c>
      <c r="F132" s="100">
        <v>0</v>
      </c>
      <c r="G132" s="100">
        <v>0</v>
      </c>
      <c r="H132" s="100">
        <v>0</v>
      </c>
      <c r="I132" s="100">
        <v>0</v>
      </c>
      <c r="J132" s="100">
        <v>0</v>
      </c>
      <c r="K132" s="100">
        <v>0</v>
      </c>
      <c r="L132" s="100">
        <v>0</v>
      </c>
      <c r="M132" s="100">
        <v>0</v>
      </c>
      <c r="N132" s="100">
        <v>0</v>
      </c>
      <c r="O132" s="103">
        <f t="shared" si="10"/>
        <v>0</v>
      </c>
    </row>
    <row r="133" spans="1:15" s="64" customFormat="1" x14ac:dyDescent="0.3">
      <c r="A133" s="158"/>
      <c r="B133" s="5" t="s">
        <v>31</v>
      </c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7">
        <f t="shared" si="10"/>
        <v>0</v>
      </c>
    </row>
    <row r="134" spans="1:15" s="64" customFormat="1" x14ac:dyDescent="0.3">
      <c r="A134" s="156"/>
      <c r="B134" s="7" t="s">
        <v>32</v>
      </c>
      <c r="C134" s="114"/>
      <c r="D134" s="114"/>
      <c r="E134" s="114"/>
      <c r="F134" s="114"/>
      <c r="G134" s="114"/>
      <c r="H134" s="114"/>
      <c r="I134" s="114">
        <v>1275</v>
      </c>
      <c r="J134" s="114"/>
      <c r="K134" s="114"/>
      <c r="L134" s="114"/>
      <c r="M134" s="114"/>
      <c r="N134" s="114"/>
      <c r="O134" s="24">
        <f t="shared" si="10"/>
        <v>1275</v>
      </c>
    </row>
    <row r="135" spans="1:15" s="102" customFormat="1" ht="12" x14ac:dyDescent="0.25">
      <c r="A135" s="238" t="s">
        <v>130</v>
      </c>
      <c r="B135" s="99" t="s">
        <v>16</v>
      </c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3">
        <f t="shared" si="10"/>
        <v>0</v>
      </c>
    </row>
    <row r="136" spans="1:15" s="102" customFormat="1" ht="12" x14ac:dyDescent="0.25">
      <c r="A136" s="237"/>
      <c r="B136" s="99" t="s">
        <v>29</v>
      </c>
      <c r="C136" s="100">
        <v>0</v>
      </c>
      <c r="D136" s="100">
        <v>0</v>
      </c>
      <c r="E136" s="100">
        <v>0</v>
      </c>
      <c r="F136" s="100">
        <v>0</v>
      </c>
      <c r="G136" s="100">
        <v>0</v>
      </c>
      <c r="H136" s="100">
        <v>0</v>
      </c>
      <c r="I136" s="100">
        <v>0</v>
      </c>
      <c r="J136" s="100">
        <v>0</v>
      </c>
      <c r="K136" s="100">
        <v>0</v>
      </c>
      <c r="L136" s="100">
        <v>0</v>
      </c>
      <c r="M136" s="100">
        <v>0</v>
      </c>
      <c r="N136" s="100">
        <v>0</v>
      </c>
      <c r="O136" s="103">
        <f t="shared" si="10"/>
        <v>0</v>
      </c>
    </row>
    <row r="137" spans="1:15" s="64" customFormat="1" x14ac:dyDescent="0.3">
      <c r="A137" s="158"/>
      <c r="B137" s="5" t="s">
        <v>31</v>
      </c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7">
        <f t="shared" si="10"/>
        <v>0</v>
      </c>
    </row>
    <row r="138" spans="1:15" s="64" customFormat="1" x14ac:dyDescent="0.3">
      <c r="A138" s="156"/>
      <c r="B138" s="7" t="s">
        <v>32</v>
      </c>
      <c r="C138" s="114"/>
      <c r="D138" s="114"/>
      <c r="E138" s="114"/>
      <c r="F138" s="114"/>
      <c r="G138" s="114"/>
      <c r="H138" s="114"/>
      <c r="I138" s="114"/>
      <c r="J138" s="114"/>
      <c r="K138" s="114">
        <v>3657.5</v>
      </c>
      <c r="L138" s="114"/>
      <c r="M138" s="114"/>
      <c r="N138" s="114"/>
      <c r="O138" s="24">
        <f t="shared" si="10"/>
        <v>3657.5</v>
      </c>
    </row>
    <row r="139" spans="1:15" s="102" customFormat="1" ht="12" customHeight="1" x14ac:dyDescent="0.25">
      <c r="A139" s="238" t="s">
        <v>131</v>
      </c>
      <c r="B139" s="99" t="s">
        <v>16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3">
        <f t="shared" ref="O139:O142" si="11">SUM(C139:N139)</f>
        <v>0</v>
      </c>
    </row>
    <row r="140" spans="1:15" s="102" customFormat="1" ht="12" customHeight="1" x14ac:dyDescent="0.25">
      <c r="A140" s="237"/>
      <c r="B140" s="99" t="s">
        <v>29</v>
      </c>
      <c r="C140" s="100">
        <v>0</v>
      </c>
      <c r="D140" s="100">
        <v>0</v>
      </c>
      <c r="E140" s="100">
        <v>0</v>
      </c>
      <c r="F140" s="100">
        <v>0</v>
      </c>
      <c r="G140" s="100">
        <v>0</v>
      </c>
      <c r="H140" s="100">
        <v>0</v>
      </c>
      <c r="I140" s="100">
        <v>0</v>
      </c>
      <c r="J140" s="100">
        <v>0</v>
      </c>
      <c r="K140" s="100">
        <v>0</v>
      </c>
      <c r="L140" s="100">
        <v>0</v>
      </c>
      <c r="M140" s="100">
        <v>0</v>
      </c>
      <c r="N140" s="100">
        <v>0</v>
      </c>
      <c r="O140" s="103">
        <f t="shared" si="11"/>
        <v>0</v>
      </c>
    </row>
    <row r="141" spans="1:15" s="64" customFormat="1" ht="14.4" customHeight="1" x14ac:dyDescent="0.3">
      <c r="A141" s="158"/>
      <c r="B141" s="5" t="s">
        <v>31</v>
      </c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7">
        <f t="shared" si="11"/>
        <v>0</v>
      </c>
    </row>
    <row r="142" spans="1:15" s="64" customFormat="1" ht="14.4" customHeight="1" x14ac:dyDescent="0.3">
      <c r="A142" s="156"/>
      <c r="B142" s="7" t="s">
        <v>32</v>
      </c>
      <c r="C142" s="114"/>
      <c r="D142" s="114"/>
      <c r="E142" s="114"/>
      <c r="F142" s="114"/>
      <c r="G142" s="114"/>
      <c r="H142" s="114"/>
      <c r="I142" s="114"/>
      <c r="J142" s="114"/>
      <c r="K142" s="114"/>
      <c r="L142" s="114">
        <v>10000</v>
      </c>
      <c r="M142" s="114"/>
      <c r="N142" s="114"/>
      <c r="O142" s="24">
        <f t="shared" si="11"/>
        <v>10000</v>
      </c>
    </row>
    <row r="143" spans="1:15" s="102" customFormat="1" ht="12" x14ac:dyDescent="0.25">
      <c r="A143" s="237"/>
    </row>
    <row r="144" spans="1:15" s="102" customFormat="1" ht="12" x14ac:dyDescent="0.25">
      <c r="A144" s="237"/>
    </row>
    <row r="145" spans="1:1" s="64" customFormat="1" x14ac:dyDescent="0.3">
      <c r="A145" s="158"/>
    </row>
    <row r="146" spans="1:1" s="64" customFormat="1" x14ac:dyDescent="0.3">
      <c r="A146" s="158"/>
    </row>
    <row r="147" spans="1:1" s="102" customFormat="1" ht="12" x14ac:dyDescent="0.25">
      <c r="A147" s="237"/>
    </row>
    <row r="148" spans="1:1" s="102" customFormat="1" ht="12" x14ac:dyDescent="0.25">
      <c r="A148" s="237"/>
    </row>
    <row r="149" spans="1:1" s="64" customFormat="1" x14ac:dyDescent="0.3">
      <c r="A149" s="158"/>
    </row>
    <row r="150" spans="1:1" s="64" customFormat="1" x14ac:dyDescent="0.3">
      <c r="A150" s="158"/>
    </row>
    <row r="151" spans="1:1" s="102" customFormat="1" ht="12" x14ac:dyDescent="0.25">
      <c r="A151" s="237"/>
    </row>
    <row r="152" spans="1:1" s="102" customFormat="1" ht="12" x14ac:dyDescent="0.25">
      <c r="A152" s="237"/>
    </row>
    <row r="153" spans="1:1" s="64" customFormat="1" x14ac:dyDescent="0.3">
      <c r="A153" s="158"/>
    </row>
    <row r="154" spans="1:1" s="64" customFormat="1" x14ac:dyDescent="0.3">
      <c r="A154" s="158"/>
    </row>
    <row r="155" spans="1:1" s="102" customFormat="1" ht="12" x14ac:dyDescent="0.25">
      <c r="A155" s="237"/>
    </row>
    <row r="156" spans="1:1" s="102" customFormat="1" ht="12" x14ac:dyDescent="0.25">
      <c r="A156" s="237"/>
    </row>
    <row r="157" spans="1:1" s="64" customFormat="1" x14ac:dyDescent="0.3">
      <c r="A157" s="158"/>
    </row>
    <row r="158" spans="1:1" s="64" customFormat="1" x14ac:dyDescent="0.3">
      <c r="A158" s="158"/>
    </row>
    <row r="159" spans="1:1" s="102" customFormat="1" ht="12" x14ac:dyDescent="0.25">
      <c r="A159" s="237"/>
    </row>
    <row r="160" spans="1:1" s="102" customFormat="1" ht="12" x14ac:dyDescent="0.25">
      <c r="A160" s="237"/>
    </row>
    <row r="161" spans="1:1" s="64" customFormat="1" x14ac:dyDescent="0.3">
      <c r="A161" s="158"/>
    </row>
    <row r="162" spans="1:1" s="64" customFormat="1" x14ac:dyDescent="0.3">
      <c r="A162" s="158"/>
    </row>
    <row r="163" spans="1:1" s="102" customFormat="1" ht="12" x14ac:dyDescent="0.25">
      <c r="A163" s="237"/>
    </row>
    <row r="164" spans="1:1" s="102" customFormat="1" ht="12" x14ac:dyDescent="0.25">
      <c r="A164" s="237"/>
    </row>
    <row r="165" spans="1:1" s="64" customFormat="1" x14ac:dyDescent="0.3">
      <c r="A165" s="158"/>
    </row>
    <row r="166" spans="1:1" s="64" customFormat="1" x14ac:dyDescent="0.3">
      <c r="A166" s="158"/>
    </row>
    <row r="167" spans="1:1" s="102" customFormat="1" ht="12" x14ac:dyDescent="0.25">
      <c r="A167" s="237"/>
    </row>
    <row r="168" spans="1:1" s="102" customFormat="1" ht="12" x14ac:dyDescent="0.25">
      <c r="A168" s="237"/>
    </row>
    <row r="169" spans="1:1" s="64" customFormat="1" x14ac:dyDescent="0.3">
      <c r="A169" s="158"/>
    </row>
    <row r="170" spans="1:1" s="64" customFormat="1" x14ac:dyDescent="0.3">
      <c r="A170" s="158"/>
    </row>
    <row r="171" spans="1:1" s="102" customFormat="1" ht="12" x14ac:dyDescent="0.25">
      <c r="A171" s="237"/>
    </row>
    <row r="172" spans="1:1" s="102" customFormat="1" ht="12" x14ac:dyDescent="0.25">
      <c r="A172" s="237"/>
    </row>
    <row r="173" spans="1:1" s="64" customFormat="1" x14ac:dyDescent="0.3">
      <c r="A173" s="158"/>
    </row>
    <row r="174" spans="1:1" s="64" customFormat="1" x14ac:dyDescent="0.3">
      <c r="A174" s="158"/>
    </row>
    <row r="175" spans="1:1" s="102" customFormat="1" ht="12" x14ac:dyDescent="0.25">
      <c r="A175" s="237"/>
    </row>
    <row r="176" spans="1:1" s="102" customFormat="1" ht="12" x14ac:dyDescent="0.25">
      <c r="A176" s="237"/>
    </row>
    <row r="177" spans="1:1" s="64" customFormat="1" x14ac:dyDescent="0.3">
      <c r="A177" s="158"/>
    </row>
    <row r="178" spans="1:1" s="64" customFormat="1" x14ac:dyDescent="0.3">
      <c r="A178" s="158"/>
    </row>
    <row r="179" spans="1:1" s="102" customFormat="1" ht="12" x14ac:dyDescent="0.25">
      <c r="A179" s="237"/>
    </row>
    <row r="180" spans="1:1" s="102" customFormat="1" ht="12" x14ac:dyDescent="0.25">
      <c r="A180" s="237"/>
    </row>
    <row r="181" spans="1:1" s="64" customFormat="1" x14ac:dyDescent="0.3">
      <c r="A181" s="158"/>
    </row>
    <row r="182" spans="1:1" s="64" customFormat="1" x14ac:dyDescent="0.3">
      <c r="A182" s="158"/>
    </row>
    <row r="183" spans="1:1" s="102" customFormat="1" ht="12" x14ac:dyDescent="0.25">
      <c r="A183" s="237"/>
    </row>
    <row r="184" spans="1:1" s="102" customFormat="1" ht="12" x14ac:dyDescent="0.25">
      <c r="A184" s="237"/>
    </row>
    <row r="185" spans="1:1" s="64" customFormat="1" x14ac:dyDescent="0.3">
      <c r="A185" s="158"/>
    </row>
    <row r="186" spans="1:1" s="64" customFormat="1" x14ac:dyDescent="0.3">
      <c r="A186" s="158"/>
    </row>
    <row r="187" spans="1:1" s="102" customFormat="1" ht="12" x14ac:dyDescent="0.25">
      <c r="A187" s="237"/>
    </row>
    <row r="188" spans="1:1" s="102" customFormat="1" ht="12" x14ac:dyDescent="0.25">
      <c r="A188" s="237"/>
    </row>
    <row r="189" spans="1:1" s="64" customFormat="1" x14ac:dyDescent="0.3">
      <c r="A189" s="158"/>
    </row>
    <row r="190" spans="1:1" s="64" customFormat="1" x14ac:dyDescent="0.3">
      <c r="A190" s="158"/>
    </row>
    <row r="191" spans="1:1" s="102" customFormat="1" ht="12" x14ac:dyDescent="0.25">
      <c r="A191" s="237"/>
    </row>
    <row r="192" spans="1:1" s="102" customFormat="1" ht="12" x14ac:dyDescent="0.25">
      <c r="A192" s="237"/>
    </row>
    <row r="193" spans="1:1" s="64" customFormat="1" x14ac:dyDescent="0.3">
      <c r="A193" s="158"/>
    </row>
    <row r="194" spans="1:1" s="64" customFormat="1" x14ac:dyDescent="0.3">
      <c r="A194" s="158"/>
    </row>
    <row r="195" spans="1:1" s="102" customFormat="1" ht="12" x14ac:dyDescent="0.25">
      <c r="A195" s="237"/>
    </row>
    <row r="196" spans="1:1" s="102" customFormat="1" ht="12" x14ac:dyDescent="0.25">
      <c r="A196" s="237"/>
    </row>
    <row r="197" spans="1:1" s="64" customFormat="1" x14ac:dyDescent="0.3">
      <c r="A197" s="158"/>
    </row>
    <row r="198" spans="1:1" s="64" customFormat="1" x14ac:dyDescent="0.3">
      <c r="A198" s="158"/>
    </row>
    <row r="199" spans="1:1" s="102" customFormat="1" ht="12" x14ac:dyDescent="0.25">
      <c r="A199" s="237"/>
    </row>
    <row r="200" spans="1:1" s="102" customFormat="1" ht="12" x14ac:dyDescent="0.25">
      <c r="A200" s="237"/>
    </row>
    <row r="201" spans="1:1" s="64" customFormat="1" x14ac:dyDescent="0.3">
      <c r="A201" s="158"/>
    </row>
    <row r="202" spans="1:1" s="64" customFormat="1" x14ac:dyDescent="0.3">
      <c r="A202" s="158"/>
    </row>
    <row r="203" spans="1:1" s="102" customFormat="1" ht="12" x14ac:dyDescent="0.25">
      <c r="A203" s="237"/>
    </row>
    <row r="204" spans="1:1" s="102" customFormat="1" ht="12" x14ac:dyDescent="0.25">
      <c r="A204" s="237"/>
    </row>
    <row r="205" spans="1:1" s="64" customFormat="1" x14ac:dyDescent="0.3">
      <c r="A205" s="158"/>
    </row>
    <row r="206" spans="1:1" s="64" customFormat="1" x14ac:dyDescent="0.3">
      <c r="A206" s="158"/>
    </row>
    <row r="207" spans="1:1" s="102" customFormat="1" ht="12" x14ac:dyDescent="0.25">
      <c r="A207" s="237"/>
    </row>
    <row r="208" spans="1:1" s="102" customFormat="1" ht="12" x14ac:dyDescent="0.25">
      <c r="A208" s="237"/>
    </row>
    <row r="209" spans="1:1" s="64" customFormat="1" x14ac:dyDescent="0.3">
      <c r="A209" s="158"/>
    </row>
    <row r="210" spans="1:1" s="64" customFormat="1" x14ac:dyDescent="0.3">
      <c r="A210" s="158"/>
    </row>
    <row r="211" spans="1:1" s="102" customFormat="1" ht="12" x14ac:dyDescent="0.25">
      <c r="A211" s="237"/>
    </row>
    <row r="212" spans="1:1" s="102" customFormat="1" ht="12" x14ac:dyDescent="0.25">
      <c r="A212" s="237"/>
    </row>
    <row r="213" spans="1:1" s="64" customFormat="1" x14ac:dyDescent="0.3">
      <c r="A213" s="158"/>
    </row>
    <row r="214" spans="1:1" s="64" customFormat="1" x14ac:dyDescent="0.3">
      <c r="A214" s="158"/>
    </row>
    <row r="215" spans="1:1" s="102" customFormat="1" ht="12" x14ac:dyDescent="0.25">
      <c r="A215" s="237"/>
    </row>
    <row r="216" spans="1:1" s="102" customFormat="1" ht="12" x14ac:dyDescent="0.25">
      <c r="A216" s="237"/>
    </row>
    <row r="217" spans="1:1" s="64" customFormat="1" x14ac:dyDescent="0.3">
      <c r="A217" s="108"/>
    </row>
    <row r="218" spans="1:1" s="64" customFormat="1" x14ac:dyDescent="0.3">
      <c r="A218" s="108"/>
    </row>
  </sheetData>
  <mergeCells count="54">
    <mergeCell ref="A207:A208"/>
    <mergeCell ref="A211:A212"/>
    <mergeCell ref="A215:A216"/>
    <mergeCell ref="A3:A6"/>
    <mergeCell ref="A187:A188"/>
    <mergeCell ref="A191:A192"/>
    <mergeCell ref="A195:A196"/>
    <mergeCell ref="A199:A200"/>
    <mergeCell ref="A203:A204"/>
    <mergeCell ref="A167:A168"/>
    <mergeCell ref="A171:A172"/>
    <mergeCell ref="A175:A176"/>
    <mergeCell ref="A179:A180"/>
    <mergeCell ref="A183:A184"/>
    <mergeCell ref="A147:A148"/>
    <mergeCell ref="A151:A152"/>
    <mergeCell ref="A155:A156"/>
    <mergeCell ref="A159:A160"/>
    <mergeCell ref="A163:A164"/>
    <mergeCell ref="A127:A128"/>
    <mergeCell ref="A131:A132"/>
    <mergeCell ref="A135:A136"/>
    <mergeCell ref="A139:A140"/>
    <mergeCell ref="A143:A144"/>
    <mergeCell ref="A107:A108"/>
    <mergeCell ref="A111:A112"/>
    <mergeCell ref="A115:A116"/>
    <mergeCell ref="A119:A120"/>
    <mergeCell ref="A123:A124"/>
    <mergeCell ref="A87:A88"/>
    <mergeCell ref="A91:A92"/>
    <mergeCell ref="A95:A96"/>
    <mergeCell ref="A99:A100"/>
    <mergeCell ref="A103:A104"/>
    <mergeCell ref="A67:A68"/>
    <mergeCell ref="A71:A72"/>
    <mergeCell ref="A75:A76"/>
    <mergeCell ref="A79:A80"/>
    <mergeCell ref="A83:A84"/>
    <mergeCell ref="A47:A48"/>
    <mergeCell ref="A51:A52"/>
    <mergeCell ref="A55:A56"/>
    <mergeCell ref="A59:A60"/>
    <mergeCell ref="A63:A64"/>
    <mergeCell ref="A27:A28"/>
    <mergeCell ref="A31:A32"/>
    <mergeCell ref="A35:A36"/>
    <mergeCell ref="A39:A40"/>
    <mergeCell ref="A43:A44"/>
    <mergeCell ref="A1:O1"/>
    <mergeCell ref="A11:A12"/>
    <mergeCell ref="A15:A16"/>
    <mergeCell ref="A19:A20"/>
    <mergeCell ref="A23:A24"/>
  </mergeCells>
  <conditionalFormatting sqref="C6:N6">
    <cfRule type="cellIs" dxfId="27" priority="1" operator="lessThan">
      <formula>C5*0.85</formula>
    </cfRule>
    <cfRule type="cellIs" dxfId="26" priority="2" operator="greaterThan">
      <formula>C5*1.15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C6329-70F2-446A-ADF7-D6057BEC13B6}">
  <sheetPr codeName="Sheet4"/>
  <dimension ref="A1:T218"/>
  <sheetViews>
    <sheetView zoomScale="57" zoomScaleNormal="10" workbookViewId="0">
      <pane xSplit="1" ySplit="2" topLeftCell="B28" activePane="bottomRight" state="frozen"/>
      <selection pane="topRight" activeCell="M13" sqref="M13"/>
      <selection pane="bottomLeft" activeCell="M13" sqref="M13"/>
      <selection pane="bottomRight" activeCell="B50" sqref="B50"/>
    </sheetView>
  </sheetViews>
  <sheetFormatPr defaultColWidth="9.109375" defaultRowHeight="14.4" x14ac:dyDescent="0.3"/>
  <cols>
    <col min="1" max="1" width="40.5546875" style="54" bestFit="1" customWidth="1"/>
    <col min="2" max="2" width="22.88671875" style="52" bestFit="1" customWidth="1"/>
    <col min="3" max="9" width="14" style="52" customWidth="1"/>
    <col min="10" max="10" width="15.6640625" style="52" bestFit="1" customWidth="1"/>
    <col min="11" max="14" width="14" style="52" customWidth="1"/>
    <col min="15" max="15" width="14.88671875" style="52" customWidth="1"/>
    <col min="16" max="16" width="12.5546875" style="52" bestFit="1" customWidth="1"/>
    <col min="17" max="17" width="13.44140625" style="52" customWidth="1"/>
    <col min="18" max="19" width="9.109375" style="52"/>
    <col min="20" max="20" width="9.88671875" style="52" bestFit="1" customWidth="1"/>
    <col min="21" max="16384" width="9.109375" style="52"/>
  </cols>
  <sheetData>
    <row r="1" spans="1:20" ht="33" customHeight="1" x14ac:dyDescent="0.6">
      <c r="A1" s="232" t="s">
        <v>132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</row>
    <row r="2" spans="1:20" x14ac:dyDescent="0.3">
      <c r="A2" s="68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56" t="s">
        <v>7</v>
      </c>
      <c r="J2" s="56" t="s">
        <v>8</v>
      </c>
      <c r="K2" s="56" t="s">
        <v>9</v>
      </c>
      <c r="L2" s="56" t="s">
        <v>10</v>
      </c>
      <c r="M2" s="56" t="s">
        <v>11</v>
      </c>
      <c r="N2" s="56" t="s">
        <v>12</v>
      </c>
      <c r="O2" s="69" t="s">
        <v>13</v>
      </c>
    </row>
    <row r="3" spans="1:20" s="102" customFormat="1" ht="14.4" customHeight="1" x14ac:dyDescent="0.25">
      <c r="A3" s="239" t="s">
        <v>15</v>
      </c>
      <c r="B3" s="181" t="s">
        <v>16</v>
      </c>
      <c r="C3" s="182">
        <f>SUMIFS(C$11:C944,$B$11:$B944,"Actual 2024")</f>
        <v>143539.30000000002</v>
      </c>
      <c r="D3" s="182">
        <f>SUMIFS(D$11:D944,$B$11:$B944,"Actual 2024")</f>
        <v>147248.12999999998</v>
      </c>
      <c r="E3" s="182">
        <f>SUMIFS(E$11:E944,$B$11:$B944,"Actual 2024")</f>
        <v>185140.96999999997</v>
      </c>
      <c r="F3" s="182">
        <f>SUMIFS(F$11:F944,$B$11:$B944,"Actual 2024")</f>
        <v>169233.26</v>
      </c>
      <c r="G3" s="182">
        <f>SUMIFS(G$11:G944,$B$11:$B944,"Actual 2024")</f>
        <v>176262.05999999997</v>
      </c>
      <c r="H3" s="182">
        <f>SUMIFS(H$11:H944,$B$11:$B944,"Actual 2024")</f>
        <v>149970.94</v>
      </c>
      <c r="I3" s="182">
        <f>SUMIFS(I$11:I944,$B$11:$B944,"Actual 2024")</f>
        <v>177140.26000000004</v>
      </c>
      <c r="J3" s="182">
        <f>SUMIFS(J$11:J944,$B$11:$B944,"Actual 2024")</f>
        <v>155860.75</v>
      </c>
      <c r="K3" s="182">
        <f>SUMIFS(K$11:K944,$B$11:$B944,"Actual 2024")</f>
        <v>160101.50999999998</v>
      </c>
      <c r="L3" s="182">
        <f>SUMIFS(L$11:L944,$B$11:$B944,"Actual 2024")</f>
        <v>181197.25</v>
      </c>
      <c r="M3" s="182">
        <f>SUMIFS(M$11:M944,$B$11:$B944,"Actual 2024")</f>
        <v>187060.81</v>
      </c>
      <c r="N3" s="182">
        <f>SUMIFS(N$11:N944,$B$11:$B944,"Actual 2024")</f>
        <v>143695.43</v>
      </c>
      <c r="O3" s="183">
        <f>SUMIFS(O$11:O944,$B$11:$B944,"Actual 2024")</f>
        <v>1976450.67</v>
      </c>
    </row>
    <row r="4" spans="1:20" s="102" customFormat="1" ht="14.4" customHeight="1" x14ac:dyDescent="0.25">
      <c r="A4" s="240"/>
      <c r="B4" s="184" t="s">
        <v>27</v>
      </c>
      <c r="C4" s="189">
        <f>SUMIFS(C$11:C944,$B$11:$B944,"Estimated")</f>
        <v>146953</v>
      </c>
      <c r="D4" s="189">
        <f>SUMIFS(D$11:D944,$B$11:$B944,"Estimated")</f>
        <v>180607.9</v>
      </c>
      <c r="E4" s="189">
        <f>SUMIFS(E$11:E944,$B$11:$B944,"Estimated")</f>
        <v>187009.76</v>
      </c>
      <c r="F4" s="189">
        <f>SUMIFS(F$11:F944,$B$11:$B944,"Estimated")</f>
        <v>174751.99</v>
      </c>
      <c r="G4" s="189">
        <f>SUMIFS(G$11:G944,$B$11:$B944,"Estimated")</f>
        <v>176957.38</v>
      </c>
      <c r="H4" s="189">
        <f>SUMIFS(H$11:H944,$B$11:$B944,"Estimated")</f>
        <v>173636.33000000002</v>
      </c>
      <c r="I4" s="189">
        <f>SUMIFS(I$11:I944,$B$11:$B944,"Estimated")</f>
        <v>175447.32</v>
      </c>
      <c r="J4" s="189">
        <f>SUMIFS(J$11:J944,$B$11:$B944,"Estimated")</f>
        <v>166596.13</v>
      </c>
      <c r="K4" s="189">
        <f>SUMIFS(K$11:K944,$B$11:$B944,"Estimated")</f>
        <v>170767.23</v>
      </c>
      <c r="L4" s="189">
        <f>SUMIFS(L$11:L944,$B$11:$B944,"Estimated")</f>
        <v>163163.68</v>
      </c>
      <c r="M4" s="189">
        <f>SUMIFS(M$11:M944,$B$11:$B944,"Estimated")</f>
        <v>162832</v>
      </c>
      <c r="N4" s="189">
        <f>SUMIFS(N$11:N944,$B$11:$B944,"Estimated")</f>
        <v>163688</v>
      </c>
      <c r="O4" s="191">
        <f>SUMIFS(O$11:O944,$B$11:$B944,"Estimated")</f>
        <v>2042410.72</v>
      </c>
      <c r="Q4" s="132">
        <f>O4-O3</f>
        <v>65960.050000000047</v>
      </c>
    </row>
    <row r="5" spans="1:20" s="166" customFormat="1" ht="14.4" customHeight="1" x14ac:dyDescent="0.3">
      <c r="A5" s="240"/>
      <c r="B5" s="162" t="s">
        <v>18</v>
      </c>
      <c r="C5" s="171">
        <v>154148.07999999999</v>
      </c>
      <c r="D5" s="171">
        <v>189450.78</v>
      </c>
      <c r="E5" s="171">
        <v>196166.08</v>
      </c>
      <c r="F5" s="171">
        <v>183308.15</v>
      </c>
      <c r="G5" s="171">
        <v>185621.52</v>
      </c>
      <c r="H5" s="171">
        <v>182137.87</v>
      </c>
      <c r="I5" s="163">
        <v>184037.53</v>
      </c>
      <c r="J5" s="163">
        <v>174752.97</v>
      </c>
      <c r="K5" s="163">
        <v>179128.29</v>
      </c>
      <c r="L5" s="163">
        <v>171152.46</v>
      </c>
      <c r="M5" s="171">
        <v>170804.54</v>
      </c>
      <c r="N5" s="171">
        <v>171702.45</v>
      </c>
      <c r="O5" s="164">
        <f t="shared" ref="O5" si="0">SUM(C5:N5)</f>
        <v>2142410.7200000002</v>
      </c>
      <c r="P5" s="165">
        <v>2142410.7200000002</v>
      </c>
    </row>
    <row r="6" spans="1:20" s="166" customFormat="1" ht="15" thickBot="1" x14ac:dyDescent="0.35">
      <c r="A6" s="241"/>
      <c r="B6" s="174" t="s">
        <v>19</v>
      </c>
      <c r="C6" s="175">
        <f>SUMIFS(C$11:C973,$B$11:$B973,"Actual")</f>
        <v>167533.56000000003</v>
      </c>
      <c r="D6" s="175">
        <f>SUMIFS(D$11:D973,$B$11:$B973,"Actual")</f>
        <v>177155.24000000002</v>
      </c>
      <c r="E6" s="175">
        <f>SUMIFS(E$11:E973,$B$11:$B973,"Actual")</f>
        <v>194641.19999999998</v>
      </c>
      <c r="F6" s="175">
        <f>SUMIFS(F$11:F973,$B$11:$B973,"Actual")</f>
        <v>189109.50000000006</v>
      </c>
      <c r="G6" s="175">
        <f>SUMIFS(G$11:G973,$B$11:$B973,"Actual")</f>
        <v>186083.65999999997</v>
      </c>
      <c r="H6" s="175">
        <f>SUMIFS(H$11:H973,$B$11:$B973,"Actual")</f>
        <v>186467.29</v>
      </c>
      <c r="I6" s="175">
        <f>SUMIFS(I$11:I973,$B$11:$B973,"Actual")</f>
        <v>218352.1</v>
      </c>
      <c r="J6" s="175">
        <f>SUMIFS(J$11:J973,$B$11:$B973,"Actual")</f>
        <v>206940.24000000002</v>
      </c>
      <c r="K6" s="175">
        <f>SUMIFS(K$11:K973,$B$11:$B973,"Actual")</f>
        <v>160392.99999999997</v>
      </c>
      <c r="L6" s="175">
        <f>SUMIFS(L$11:L973,$B$11:$B973,"Actual")</f>
        <v>141438.72</v>
      </c>
      <c r="M6" s="175">
        <f>SUMIFS(M$11:M973,$B$11:$B973,"Actual")</f>
        <v>0</v>
      </c>
      <c r="N6" s="175">
        <f>SUMIFS(N$11:N973,$B$11:$B973,"Actual")</f>
        <v>0</v>
      </c>
      <c r="O6" s="176">
        <f>SUMIFS(O$11:O973,$B$11:$B973,"Actual")</f>
        <v>1828114.51</v>
      </c>
    </row>
    <row r="7" spans="1:20" s="64" customFormat="1" ht="15" thickTop="1" x14ac:dyDescent="0.3">
      <c r="A7" s="134"/>
      <c r="B7" s="70" t="s">
        <v>21</v>
      </c>
      <c r="C7" s="60">
        <f t="shared" ref="C7:I7" si="1">C5-C6</f>
        <v>-13385.48000000004</v>
      </c>
      <c r="D7" s="60">
        <f t="shared" si="1"/>
        <v>12295.539999999979</v>
      </c>
      <c r="E7" s="60">
        <f t="shared" si="1"/>
        <v>1524.8800000000047</v>
      </c>
      <c r="F7" s="60">
        <f t="shared" si="1"/>
        <v>-5801.350000000064</v>
      </c>
      <c r="G7" s="60">
        <f t="shared" si="1"/>
        <v>-462.13999999998487</v>
      </c>
      <c r="H7" s="60">
        <f t="shared" si="1"/>
        <v>-4329.4200000000128</v>
      </c>
      <c r="I7" s="60">
        <f t="shared" si="1"/>
        <v>-34314.570000000007</v>
      </c>
      <c r="J7" s="60">
        <f t="shared" ref="J7:N7" si="2">J5-J6</f>
        <v>-32187.270000000019</v>
      </c>
      <c r="K7" s="60">
        <f t="shared" si="2"/>
        <v>18735.290000000037</v>
      </c>
      <c r="L7" s="60">
        <f t="shared" si="2"/>
        <v>29713.739999999991</v>
      </c>
      <c r="M7" s="60">
        <f t="shared" si="2"/>
        <v>170804.54</v>
      </c>
      <c r="N7" s="60">
        <f t="shared" si="2"/>
        <v>171702.45</v>
      </c>
      <c r="O7" s="75">
        <f>O5-O6</f>
        <v>314296.2100000002</v>
      </c>
    </row>
    <row r="8" spans="1:20" s="142" customFormat="1" x14ac:dyDescent="0.3">
      <c r="A8" s="138"/>
      <c r="B8" s="139" t="s">
        <v>23</v>
      </c>
      <c r="C8" s="140">
        <f>SUM($C6:C6)</f>
        <v>167533.56000000003</v>
      </c>
      <c r="D8" s="140">
        <f>SUM($C6:D6)</f>
        <v>344688.80000000005</v>
      </c>
      <c r="E8" s="140">
        <f>SUM($C6:E6)</f>
        <v>539330</v>
      </c>
      <c r="F8" s="140">
        <f>SUM($C6:F6)</f>
        <v>728439.5</v>
      </c>
      <c r="G8" s="140">
        <f>SUM($C6:G6)</f>
        <v>914523.15999999992</v>
      </c>
      <c r="H8" s="140">
        <f>SUM($C6:H6)</f>
        <v>1100990.45</v>
      </c>
      <c r="I8" s="140">
        <f>SUM($C6:I6)</f>
        <v>1319342.55</v>
      </c>
      <c r="J8" s="140">
        <f>SUM($C6:J6)</f>
        <v>1526282.79</v>
      </c>
      <c r="K8" s="140">
        <f>SUM($C6:K6)</f>
        <v>1686675.79</v>
      </c>
      <c r="L8" s="140">
        <f>SUM($C6:L6)</f>
        <v>1828114.51</v>
      </c>
      <c r="M8" s="140">
        <f>SUM($C6:M6)</f>
        <v>1828114.51</v>
      </c>
      <c r="N8" s="140">
        <f>SUM($C6:N6)</f>
        <v>1828114.51</v>
      </c>
      <c r="O8" s="141">
        <f>O6</f>
        <v>1828114.51</v>
      </c>
    </row>
    <row r="9" spans="1:20" s="142" customFormat="1" x14ac:dyDescent="0.3">
      <c r="A9" s="143"/>
      <c r="B9" s="144" t="s">
        <v>25</v>
      </c>
      <c r="C9" s="145">
        <f>SUM($C5:C5)-C8</f>
        <v>-13385.48000000004</v>
      </c>
      <c r="D9" s="145">
        <f>SUM($C5:D5)-D8</f>
        <v>-1089.9400000000605</v>
      </c>
      <c r="E9" s="145">
        <f>SUM($C5:E5)-E8</f>
        <v>434.93999999994412</v>
      </c>
      <c r="F9" s="145">
        <f>SUM($C5:F5)-F8</f>
        <v>-5366.4100000000326</v>
      </c>
      <c r="G9" s="145">
        <f>SUM($C5:G5)-G8</f>
        <v>-5828.5499999999302</v>
      </c>
      <c r="H9" s="145">
        <f>SUM($C5:H5)-H8</f>
        <v>-10157.969999999972</v>
      </c>
      <c r="I9" s="145">
        <f>SUM($C5:I5)-I8</f>
        <v>-44472.540000000037</v>
      </c>
      <c r="J9" s="145">
        <f>SUM($C5:J5)-J8</f>
        <v>-76659.810000000056</v>
      </c>
      <c r="K9" s="145">
        <f>SUM($C5:K5)-K8</f>
        <v>-57924.520000000019</v>
      </c>
      <c r="L9" s="145">
        <f>SUM($C5:L5)-L8</f>
        <v>-28210.780000000028</v>
      </c>
      <c r="M9" s="145">
        <f>SUM($C5:M5)-M8</f>
        <v>142593.76</v>
      </c>
      <c r="N9" s="145">
        <f>SUM($C5:N5)-N8</f>
        <v>314296.2100000002</v>
      </c>
      <c r="O9" s="146"/>
    </row>
    <row r="10" spans="1:20" x14ac:dyDescent="0.3"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20" s="102" customFormat="1" ht="12" x14ac:dyDescent="0.25">
      <c r="A11" s="236" t="s">
        <v>133</v>
      </c>
      <c r="B11" s="99" t="s">
        <v>16</v>
      </c>
      <c r="C11" s="100">
        <v>4080.11</v>
      </c>
      <c r="D11" s="100">
        <v>4080.02</v>
      </c>
      <c r="E11" s="100">
        <v>5055.54</v>
      </c>
      <c r="F11" s="100"/>
      <c r="G11" s="100"/>
      <c r="H11" s="100"/>
      <c r="I11" s="100"/>
      <c r="J11" s="100"/>
      <c r="K11" s="100"/>
      <c r="L11" s="100"/>
      <c r="M11" s="100"/>
      <c r="N11" s="100"/>
      <c r="O11" s="103">
        <f>SUM(C11:N11)</f>
        <v>13215.67</v>
      </c>
    </row>
    <row r="12" spans="1:20" s="102" customFormat="1" ht="12" x14ac:dyDescent="0.25">
      <c r="A12" s="235"/>
      <c r="B12" s="99" t="s">
        <v>29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3"/>
      <c r="P12" s="102" t="s">
        <v>134</v>
      </c>
    </row>
    <row r="13" spans="1:20" s="67" customFormat="1" ht="12.6" customHeight="1" x14ac:dyDescent="0.3">
      <c r="A13" s="202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66">
        <f>SUM(C13:N13)</f>
        <v>0</v>
      </c>
    </row>
    <row r="14" spans="1:20" s="67" customFormat="1" ht="12.6" customHeight="1" x14ac:dyDescent="0.3">
      <c r="A14" s="154"/>
      <c r="B14" s="116" t="s">
        <v>32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8">
        <f>SUM(C14:N14)</f>
        <v>0</v>
      </c>
    </row>
    <row r="15" spans="1:20" s="102" customFormat="1" ht="12" x14ac:dyDescent="0.25">
      <c r="A15" s="236" t="s">
        <v>135</v>
      </c>
      <c r="B15" s="99" t="s">
        <v>16</v>
      </c>
      <c r="C15" s="127">
        <v>23728.84</v>
      </c>
      <c r="D15" s="127">
        <v>25101.35</v>
      </c>
      <c r="E15" s="127">
        <v>35455.78</v>
      </c>
      <c r="F15" s="127">
        <v>30823.51</v>
      </c>
      <c r="G15" s="127">
        <v>34320.480000000003</v>
      </c>
      <c r="H15" s="127">
        <v>31083.3</v>
      </c>
      <c r="I15" s="100">
        <v>46651.12</v>
      </c>
      <c r="J15" s="127">
        <v>28881.14</v>
      </c>
      <c r="K15" s="127">
        <v>33040.97</v>
      </c>
      <c r="L15" s="100">
        <v>54634.92</v>
      </c>
      <c r="M15" s="127">
        <v>36526.239999999998</v>
      </c>
      <c r="N15" s="100">
        <v>28723.21</v>
      </c>
      <c r="O15" s="103">
        <f t="shared" ref="O15:O30" si="3">SUM(C15:N15)</f>
        <v>408970.86</v>
      </c>
    </row>
    <row r="16" spans="1:20" s="102" customFormat="1" ht="12" x14ac:dyDescent="0.25">
      <c r="A16" s="235"/>
      <c r="B16" s="99" t="s">
        <v>29</v>
      </c>
      <c r="C16" s="100">
        <v>27915</v>
      </c>
      <c r="D16" s="100">
        <v>28740</v>
      </c>
      <c r="E16" s="100">
        <v>27740</v>
      </c>
      <c r="F16" s="100">
        <v>23500</v>
      </c>
      <c r="G16" s="100">
        <v>24000</v>
      </c>
      <c r="H16" s="100">
        <v>25046</v>
      </c>
      <c r="I16" s="100">
        <v>30153</v>
      </c>
      <c r="J16" s="100">
        <v>28740</v>
      </c>
      <c r="K16" s="100">
        <v>25240</v>
      </c>
      <c r="L16" s="100">
        <v>22000</v>
      </c>
      <c r="M16" s="100">
        <v>22000</v>
      </c>
      <c r="N16" s="100">
        <v>22000</v>
      </c>
      <c r="O16" s="103">
        <f t="shared" si="3"/>
        <v>307074</v>
      </c>
      <c r="T16" s="126"/>
    </row>
    <row r="17" spans="1:20" s="67" customFormat="1" ht="12.6" customHeight="1" x14ac:dyDescent="0.3">
      <c r="A17" s="202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>
        <f>SUM(C17:N17)</f>
        <v>0</v>
      </c>
    </row>
    <row r="18" spans="1:20" s="67" customFormat="1" ht="12.6" customHeight="1" x14ac:dyDescent="0.3">
      <c r="A18" s="215" t="s">
        <v>136</v>
      </c>
      <c r="B18" s="116" t="s">
        <v>32</v>
      </c>
      <c r="C18" s="117">
        <v>27010.09</v>
      </c>
      <c r="D18" s="117">
        <v>27771.94</v>
      </c>
      <c r="E18" s="117">
        <v>28635.33</v>
      </c>
      <c r="F18" s="117">
        <f>2627.29 + 13696.76 + 7123.68</f>
        <v>23447.73</v>
      </c>
      <c r="G18" s="117">
        <f>2937.5+13690.24+6974.2</f>
        <v>23601.94</v>
      </c>
      <c r="H18" s="117">
        <f>2519.17+15403.05+6547.48</f>
        <v>24469.7</v>
      </c>
      <c r="I18" s="117">
        <f>3830.28+13331.62+8573.84+1071.27</f>
        <v>26807.010000000002</v>
      </c>
      <c r="J18" s="117">
        <f>6222.03+11760.15+6615.33+809.32</f>
        <v>25406.83</v>
      </c>
      <c r="K18" s="117">
        <f>4121.56+11093.88+9458.1+928.52</f>
        <v>25602.06</v>
      </c>
      <c r="L18" s="117">
        <f>4876.1+12331.45+6345.73+669.01</f>
        <v>24222.29</v>
      </c>
      <c r="M18" s="117"/>
      <c r="N18" s="117"/>
      <c r="O18" s="118">
        <f t="shared" si="3"/>
        <v>256974.92</v>
      </c>
      <c r="T18" s="67">
        <f>2627.29 +13696.76 +7123.68+ 2835</f>
        <v>26282.73</v>
      </c>
    </row>
    <row r="19" spans="1:20" s="102" customFormat="1" ht="12" x14ac:dyDescent="0.25">
      <c r="A19" s="236" t="s">
        <v>137</v>
      </c>
      <c r="B19" s="99" t="s">
        <v>16</v>
      </c>
      <c r="C19" s="100">
        <v>10396.219999999999</v>
      </c>
      <c r="D19" s="100">
        <v>11973.43</v>
      </c>
      <c r="E19" s="100">
        <v>14258.09</v>
      </c>
      <c r="F19" s="100">
        <v>14596.9</v>
      </c>
      <c r="G19" s="100">
        <v>15566.91</v>
      </c>
      <c r="H19" s="100">
        <v>13568.25</v>
      </c>
      <c r="I19" s="100">
        <v>12885.75</v>
      </c>
      <c r="J19" s="100">
        <v>12381.23</v>
      </c>
      <c r="K19" s="100">
        <v>12090.85</v>
      </c>
      <c r="L19" s="100">
        <v>12045.27</v>
      </c>
      <c r="M19" s="100">
        <v>15738.74</v>
      </c>
      <c r="N19" s="100">
        <v>11505.59</v>
      </c>
      <c r="O19" s="103">
        <f t="shared" si="3"/>
        <v>157007.23000000001</v>
      </c>
    </row>
    <row r="20" spans="1:20" s="102" customFormat="1" ht="12" x14ac:dyDescent="0.25">
      <c r="A20" s="235"/>
      <c r="B20" s="99" t="s">
        <v>29</v>
      </c>
      <c r="C20" s="100">
        <v>12007</v>
      </c>
      <c r="D20" s="100">
        <v>12907</v>
      </c>
      <c r="E20" s="100">
        <v>13772</v>
      </c>
      <c r="F20" s="100">
        <v>13325</v>
      </c>
      <c r="G20" s="100">
        <v>14099</v>
      </c>
      <c r="H20" s="100">
        <v>13342</v>
      </c>
      <c r="I20" s="100">
        <v>12557</v>
      </c>
      <c r="J20" s="100">
        <v>11437</v>
      </c>
      <c r="K20" s="100">
        <v>11761</v>
      </c>
      <c r="L20" s="100">
        <v>11652</v>
      </c>
      <c r="M20" s="100">
        <v>11980</v>
      </c>
      <c r="N20" s="100">
        <v>12090</v>
      </c>
      <c r="O20" s="103">
        <f>SUM(C20:N20)</f>
        <v>150929</v>
      </c>
    </row>
    <row r="21" spans="1:20" s="67" customFormat="1" ht="12.6" customHeight="1" x14ac:dyDescent="0.3">
      <c r="A21" s="202"/>
      <c r="B21" s="65" t="s">
        <v>31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66">
        <f t="shared" si="3"/>
        <v>0</v>
      </c>
    </row>
    <row r="22" spans="1:20" s="67" customFormat="1" ht="12.6" customHeight="1" x14ac:dyDescent="0.3">
      <c r="A22" s="215" t="s">
        <v>136</v>
      </c>
      <c r="B22" s="116" t="s">
        <v>32</v>
      </c>
      <c r="C22" s="117">
        <v>11759.1</v>
      </c>
      <c r="D22" s="117">
        <v>13371.99</v>
      </c>
      <c r="E22" s="117">
        <v>15324.07</v>
      </c>
      <c r="F22" s="117">
        <f>T22</f>
        <v>15750.900000000001</v>
      </c>
      <c r="G22" s="117">
        <f>13835.66+1224.81</f>
        <v>15060.47</v>
      </c>
      <c r="H22" s="117">
        <f>13417.09+1208.88</f>
        <v>14625.970000000001</v>
      </c>
      <c r="I22" s="117">
        <f>15940.09+1125.06</f>
        <v>17065.150000000001</v>
      </c>
      <c r="J22" s="117">
        <f>15366.99+1204.03</f>
        <v>16571.02</v>
      </c>
      <c r="K22" s="117">
        <f>11569.11+1141.6</f>
        <v>12710.710000000001</v>
      </c>
      <c r="L22" s="117">
        <f>12701.72+1167.32</f>
        <v>13869.039999999999</v>
      </c>
      <c r="M22" s="117"/>
      <c r="N22" s="117"/>
      <c r="O22" s="118">
        <f t="shared" si="3"/>
        <v>146108.42000000001</v>
      </c>
      <c r="T22" s="67">
        <f>14574.28 + 1176.62</f>
        <v>15750.900000000001</v>
      </c>
    </row>
    <row r="23" spans="1:20" s="102" customFormat="1" ht="12" x14ac:dyDescent="0.25">
      <c r="A23" s="236" t="s">
        <v>138</v>
      </c>
      <c r="B23" s="99" t="s">
        <v>16</v>
      </c>
      <c r="C23" s="100">
        <v>1865.66</v>
      </c>
      <c r="D23" s="100">
        <v>2071.98</v>
      </c>
      <c r="E23" s="100">
        <v>2523.65</v>
      </c>
      <c r="F23" s="100">
        <v>2662.37</v>
      </c>
      <c r="G23" s="100">
        <v>2758.1</v>
      </c>
      <c r="H23" s="100">
        <v>2512.19</v>
      </c>
      <c r="I23" s="100">
        <v>2333.5700000000002</v>
      </c>
      <c r="J23" s="100">
        <v>2308.11</v>
      </c>
      <c r="K23" s="100">
        <v>2492.39</v>
      </c>
      <c r="L23" s="100">
        <v>2761.25</v>
      </c>
      <c r="M23" s="100">
        <v>3312.05</v>
      </c>
      <c r="N23" s="100">
        <v>2514.09</v>
      </c>
      <c r="O23" s="103">
        <f t="shared" si="3"/>
        <v>30115.41</v>
      </c>
    </row>
    <row r="24" spans="1:20" s="102" customFormat="1" ht="12" x14ac:dyDescent="0.25">
      <c r="A24" s="242"/>
      <c r="B24" s="99" t="s">
        <v>29</v>
      </c>
      <c r="C24" s="100">
        <v>2430</v>
      </c>
      <c r="D24" s="100">
        <v>2574</v>
      </c>
      <c r="E24" s="100">
        <v>2659</v>
      </c>
      <c r="F24" s="100">
        <v>2237</v>
      </c>
      <c r="G24" s="100">
        <v>2350</v>
      </c>
      <c r="H24" s="100">
        <v>2270</v>
      </c>
      <c r="I24" s="100">
        <v>2570</v>
      </c>
      <c r="J24" s="100">
        <v>2379</v>
      </c>
      <c r="K24" s="100">
        <v>2317</v>
      </c>
      <c r="L24" s="100">
        <v>1985</v>
      </c>
      <c r="M24" s="100">
        <v>2029</v>
      </c>
      <c r="N24" s="100">
        <v>2044</v>
      </c>
      <c r="O24" s="103">
        <f>SUM(C24:N24)</f>
        <v>27844</v>
      </c>
    </row>
    <row r="25" spans="1:20" s="67" customFormat="1" ht="12.6" customHeight="1" x14ac:dyDescent="0.3">
      <c r="A25" s="153"/>
      <c r="B25" s="65" t="s">
        <v>31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66">
        <f t="shared" si="3"/>
        <v>0</v>
      </c>
    </row>
    <row r="26" spans="1:20" s="67" customFormat="1" ht="12.6" customHeight="1" x14ac:dyDescent="0.3">
      <c r="A26" t="s">
        <v>136</v>
      </c>
      <c r="B26" s="116" t="s">
        <v>32</v>
      </c>
      <c r="C26" s="117">
        <v>2348.92</v>
      </c>
      <c r="D26" s="117">
        <v>2651.88</v>
      </c>
      <c r="E26" s="117">
        <v>2901.93</v>
      </c>
      <c r="F26" s="117">
        <v>2835</v>
      </c>
      <c r="G26" s="117">
        <v>2803.67</v>
      </c>
      <c r="H26" s="117">
        <v>2526.42</v>
      </c>
      <c r="I26" s="117">
        <v>3245.04</v>
      </c>
      <c r="J26" s="117">
        <v>3259.19</v>
      </c>
      <c r="K26" s="117">
        <v>2626.51</v>
      </c>
      <c r="L26" s="117">
        <f>2537.33</f>
        <v>2537.33</v>
      </c>
      <c r="M26" s="117"/>
      <c r="N26" s="117"/>
      <c r="O26" s="118">
        <f t="shared" si="3"/>
        <v>27735.89</v>
      </c>
    </row>
    <row r="27" spans="1:20" s="102" customFormat="1" ht="12" x14ac:dyDescent="0.25">
      <c r="A27" s="236" t="s">
        <v>139</v>
      </c>
      <c r="B27" s="99" t="s">
        <v>16</v>
      </c>
      <c r="C27" s="100">
        <v>61359.1</v>
      </c>
      <c r="D27" s="100">
        <v>71763.22</v>
      </c>
      <c r="E27" s="100">
        <v>87944.72</v>
      </c>
      <c r="F27" s="100">
        <v>89500.71</v>
      </c>
      <c r="G27" s="100">
        <v>98132.59</v>
      </c>
      <c r="H27" s="100">
        <v>76532.94</v>
      </c>
      <c r="I27" s="100">
        <v>87212.46</v>
      </c>
      <c r="J27" s="100">
        <v>82205.62</v>
      </c>
      <c r="K27" s="100">
        <v>79558.58</v>
      </c>
      <c r="L27" s="100">
        <v>79278.320000000007</v>
      </c>
      <c r="M27" s="100">
        <v>101106.21</v>
      </c>
      <c r="N27" s="100">
        <v>70462.070000000007</v>
      </c>
      <c r="O27" s="103">
        <f t="shared" si="3"/>
        <v>985056.54</v>
      </c>
    </row>
    <row r="28" spans="1:20" s="102" customFormat="1" ht="12" x14ac:dyDescent="0.25">
      <c r="A28" s="242"/>
      <c r="B28" s="99" t="s">
        <v>29</v>
      </c>
      <c r="C28" s="100">
        <v>80048</v>
      </c>
      <c r="D28" s="100">
        <v>86045</v>
      </c>
      <c r="E28" s="100">
        <v>91815</v>
      </c>
      <c r="F28" s="100">
        <v>88831</v>
      </c>
      <c r="G28" s="100">
        <v>93990</v>
      </c>
      <c r="H28" s="100">
        <v>88944</v>
      </c>
      <c r="I28" s="100">
        <v>83716</v>
      </c>
      <c r="J28" s="100">
        <v>76244</v>
      </c>
      <c r="K28" s="100">
        <v>78408</v>
      </c>
      <c r="L28" s="100">
        <v>77678</v>
      </c>
      <c r="M28" s="100">
        <v>79870</v>
      </c>
      <c r="N28" s="100">
        <v>80601</v>
      </c>
      <c r="O28" s="103">
        <f>SUM(C28:N28)</f>
        <v>1006190</v>
      </c>
    </row>
    <row r="29" spans="1:20" s="67" customFormat="1" ht="12.6" customHeight="1" x14ac:dyDescent="0.3">
      <c r="A29" s="153"/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66">
        <f t="shared" si="3"/>
        <v>0</v>
      </c>
    </row>
    <row r="30" spans="1:20" s="67" customFormat="1" ht="12.6" customHeight="1" x14ac:dyDescent="0.3">
      <c r="A30" t="s">
        <v>136</v>
      </c>
      <c r="B30" s="116" t="s">
        <v>32</v>
      </c>
      <c r="C30" s="117">
        <v>73580.710000000006</v>
      </c>
      <c r="D30" s="117">
        <v>86812.28</v>
      </c>
      <c r="E30" s="117">
        <v>94038.6</v>
      </c>
      <c r="F30" s="117">
        <v>95076.47</v>
      </c>
      <c r="G30" s="117">
        <v>96180.01</v>
      </c>
      <c r="H30" s="117">
        <v>93644.6</v>
      </c>
      <c r="I30" s="199">
        <f>111299.05</f>
        <v>111299.05</v>
      </c>
      <c r="J30" s="117">
        <v>106684.02</v>
      </c>
      <c r="K30" s="117">
        <v>62362.41</v>
      </c>
      <c r="L30" s="117">
        <v>88507.3</v>
      </c>
      <c r="M30" s="117"/>
      <c r="N30" s="117"/>
      <c r="O30" s="118">
        <f t="shared" si="3"/>
        <v>908185.45000000019</v>
      </c>
    </row>
    <row r="31" spans="1:20" s="102" customFormat="1" ht="12" x14ac:dyDescent="0.25">
      <c r="A31" s="236" t="s">
        <v>140</v>
      </c>
      <c r="B31" s="99" t="s">
        <v>16</v>
      </c>
      <c r="C31" s="100">
        <v>10449.98</v>
      </c>
      <c r="D31" s="100">
        <v>7348.92</v>
      </c>
      <c r="E31" s="100">
        <v>13648.39</v>
      </c>
      <c r="F31" s="100">
        <v>8388.6200000000008</v>
      </c>
      <c r="G31" s="100">
        <v>7406.11</v>
      </c>
      <c r="H31" s="100">
        <v>6347.45</v>
      </c>
      <c r="I31" s="100">
        <v>7395.7</v>
      </c>
      <c r="J31" s="100">
        <v>6291.66</v>
      </c>
      <c r="K31" s="100">
        <v>5242.3599999999997</v>
      </c>
      <c r="L31" s="100">
        <v>5243.94</v>
      </c>
      <c r="M31" s="100">
        <v>8390.36</v>
      </c>
      <c r="N31" s="100">
        <v>10486.3</v>
      </c>
      <c r="O31" s="101">
        <f>SUM(C31:N31)</f>
        <v>96639.790000000008</v>
      </c>
    </row>
    <row r="32" spans="1:20" s="102" customFormat="1" ht="12" x14ac:dyDescent="0.25">
      <c r="A32" s="235"/>
      <c r="B32" s="99" t="s">
        <v>29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3">
        <f>SUM(C32:N32)</f>
        <v>0</v>
      </c>
    </row>
    <row r="33" spans="1:16" s="67" customFormat="1" ht="12.6" customHeight="1" x14ac:dyDescent="0.3">
      <c r="A33" s="202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>SUM(C33:N33)</f>
        <v>0</v>
      </c>
    </row>
    <row r="34" spans="1:16" s="67" customFormat="1" ht="12.6" customHeight="1" x14ac:dyDescent="0.3">
      <c r="A34" s="154"/>
      <c r="B34" s="116" t="s">
        <v>32</v>
      </c>
      <c r="C34" s="117">
        <v>8401.23</v>
      </c>
      <c r="D34" s="117">
        <v>6314.85</v>
      </c>
      <c r="E34" s="117">
        <v>10948.41</v>
      </c>
      <c r="F34" s="117">
        <v>7616.42</v>
      </c>
      <c r="G34" s="117">
        <f>1049.98+1049.93+1050.82+1049.35+1047.16+1049.47+1048.68+1047.32</f>
        <v>8392.7100000000009</v>
      </c>
      <c r="H34" s="117">
        <f>1048.21+1051.36+1048.35+1049.65+1054.36+1050.66+1047.2+1048.41</f>
        <v>8398.1999999999989</v>
      </c>
      <c r="I34" s="117">
        <v>8671.2000000000007</v>
      </c>
      <c r="J34" s="117">
        <v>7345.99</v>
      </c>
      <c r="K34" s="117">
        <v>7352.35</v>
      </c>
      <c r="L34" s="117">
        <v>7870.58</v>
      </c>
      <c r="M34" s="117"/>
      <c r="N34" s="117"/>
      <c r="O34" s="118">
        <f>SUM(C34:N34)</f>
        <v>81311.94</v>
      </c>
    </row>
    <row r="35" spans="1:16" s="102" customFormat="1" ht="12" x14ac:dyDescent="0.25">
      <c r="A35" s="236" t="s">
        <v>141</v>
      </c>
      <c r="B35" s="99" t="s">
        <v>16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3">
        <f t="shared" ref="O35:O38" si="4">SUM(C35:N35)</f>
        <v>0</v>
      </c>
    </row>
    <row r="36" spans="1:16" s="102" customFormat="1" ht="12" x14ac:dyDescent="0.25">
      <c r="A36" s="235"/>
      <c r="B36" s="99" t="s">
        <v>29</v>
      </c>
      <c r="C36" s="100">
        <v>600</v>
      </c>
      <c r="D36" s="100">
        <v>600</v>
      </c>
      <c r="E36" s="100">
        <v>600</v>
      </c>
      <c r="F36" s="100">
        <v>600</v>
      </c>
      <c r="G36" s="100">
        <v>600</v>
      </c>
      <c r="H36" s="100">
        <v>600</v>
      </c>
      <c r="I36" s="100">
        <v>600</v>
      </c>
      <c r="J36" s="100">
        <v>600</v>
      </c>
      <c r="K36" s="100">
        <v>600</v>
      </c>
      <c r="L36" s="100">
        <v>600</v>
      </c>
      <c r="M36" s="100">
        <f>IF(ISBLANK(M38),M37,M38)</f>
        <v>0</v>
      </c>
      <c r="N36" s="100">
        <f>IF(ISBLANK(N38),N37,N38)</f>
        <v>0</v>
      </c>
      <c r="O36" s="103">
        <f>SUM(C36:N36)</f>
        <v>6000</v>
      </c>
    </row>
    <row r="37" spans="1:16" s="67" customFormat="1" ht="12.6" customHeight="1" x14ac:dyDescent="0.3">
      <c r="A37" s="202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 t="shared" si="4"/>
        <v>0</v>
      </c>
    </row>
    <row r="38" spans="1:16" s="67" customFormat="1" ht="12.6" customHeight="1" x14ac:dyDescent="0.3">
      <c r="A38" s="154"/>
      <c r="B38" s="116" t="s">
        <v>32</v>
      </c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8">
        <f t="shared" si="4"/>
        <v>0</v>
      </c>
    </row>
    <row r="39" spans="1:16" s="102" customFormat="1" ht="12" x14ac:dyDescent="0.25">
      <c r="A39" s="236" t="s">
        <v>142</v>
      </c>
      <c r="B39" s="99" t="s">
        <v>16</v>
      </c>
      <c r="C39" s="104">
        <v>29593.72</v>
      </c>
      <c r="D39" s="104">
        <v>22425.13</v>
      </c>
      <c r="E39" s="104">
        <v>23018.05</v>
      </c>
      <c r="F39" s="104">
        <v>19396.509999999998</v>
      </c>
      <c r="G39" s="104">
        <v>15622.07</v>
      </c>
      <c r="H39" s="104">
        <v>16940.29</v>
      </c>
      <c r="I39" s="104">
        <v>19042.02</v>
      </c>
      <c r="J39" s="104">
        <v>20211.419999999998</v>
      </c>
      <c r="K39" s="104">
        <v>24772.37</v>
      </c>
      <c r="L39" s="104">
        <v>21996.240000000002</v>
      </c>
      <c r="M39" s="104">
        <v>18628.080000000002</v>
      </c>
      <c r="N39" s="104">
        <v>15919.31</v>
      </c>
      <c r="O39" s="103">
        <f>SUM(C39:N39)</f>
        <v>247565.21000000002</v>
      </c>
    </row>
    <row r="40" spans="1:16" s="102" customFormat="1" ht="12" x14ac:dyDescent="0.25">
      <c r="A40" s="235"/>
      <c r="B40" s="99" t="s">
        <v>29</v>
      </c>
      <c r="C40" s="128" t="s">
        <v>143</v>
      </c>
      <c r="D40" s="100">
        <v>25788.9</v>
      </c>
      <c r="E40" s="100">
        <v>26470.76</v>
      </c>
      <c r="F40" s="127">
        <v>22305.99</v>
      </c>
      <c r="G40" s="100">
        <v>17965.38</v>
      </c>
      <c r="H40" s="100">
        <v>19481.330000000002</v>
      </c>
      <c r="I40" s="100">
        <v>21898.32</v>
      </c>
      <c r="J40" s="100">
        <v>23243.13</v>
      </c>
      <c r="K40" s="100">
        <v>28488.23</v>
      </c>
      <c r="L40" s="100">
        <v>25295.68</v>
      </c>
      <c r="M40" s="100">
        <v>23000</v>
      </c>
      <c r="N40" s="100">
        <v>23000</v>
      </c>
      <c r="O40" s="103">
        <f>SUM(C40:N40)</f>
        <v>256937.72000000003</v>
      </c>
    </row>
    <row r="41" spans="1:16" s="64" customFormat="1" ht="12.6" customHeight="1" x14ac:dyDescent="0.3">
      <c r="A41" s="202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 t="shared" ref="O41:O54" si="5">SUM(C41:N41)</f>
        <v>0</v>
      </c>
    </row>
    <row r="42" spans="1:16" s="64" customFormat="1" ht="12.6" customHeight="1" x14ac:dyDescent="0.3">
      <c r="A42" s="154"/>
      <c r="B42" s="7" t="s">
        <v>32</v>
      </c>
      <c r="C42" s="114">
        <v>14591.88</v>
      </c>
      <c r="D42" s="114">
        <v>15804.1</v>
      </c>
      <c r="E42" s="114">
        <v>18075.02</v>
      </c>
      <c r="F42" s="114">
        <v>18410.07</v>
      </c>
      <c r="G42" s="114">
        <v>16102.74</v>
      </c>
      <c r="H42" s="114">
        <v>17234.099999999999</v>
      </c>
      <c r="I42" s="214">
        <v>26367.62</v>
      </c>
      <c r="J42" s="114">
        <v>23118.6</v>
      </c>
      <c r="K42" s="114">
        <v>25272.3</v>
      </c>
      <c r="L42" s="114"/>
      <c r="M42" s="114"/>
      <c r="N42" s="114"/>
      <c r="O42" s="24">
        <f t="shared" si="5"/>
        <v>174976.43</v>
      </c>
    </row>
    <row r="43" spans="1:16" s="102" customFormat="1" ht="12" x14ac:dyDescent="0.25">
      <c r="A43" s="236" t="s">
        <v>144</v>
      </c>
      <c r="B43" s="99" t="s">
        <v>16</v>
      </c>
      <c r="C43" s="100"/>
      <c r="D43" s="100"/>
      <c r="E43" s="100">
        <v>180.9</v>
      </c>
      <c r="F43" s="100">
        <v>139.22999999999999</v>
      </c>
      <c r="G43" s="100">
        <v>121.78</v>
      </c>
      <c r="H43" s="100"/>
      <c r="I43" s="100">
        <v>323.25</v>
      </c>
      <c r="J43" s="100">
        <v>370.72</v>
      </c>
      <c r="K43" s="100">
        <v>495.62</v>
      </c>
      <c r="L43" s="100">
        <v>1884.82</v>
      </c>
      <c r="M43" s="100">
        <v>343.92</v>
      </c>
      <c r="N43" s="100">
        <v>858.33</v>
      </c>
      <c r="O43" s="103">
        <f t="shared" si="5"/>
        <v>4718.57</v>
      </c>
    </row>
    <row r="44" spans="1:16" s="102" customFormat="1" ht="12" x14ac:dyDescent="0.25">
      <c r="A44" s="235"/>
      <c r="B44" s="99" t="s">
        <v>29</v>
      </c>
      <c r="C44" s="100">
        <v>333</v>
      </c>
      <c r="D44" s="100">
        <v>333</v>
      </c>
      <c r="E44" s="100">
        <v>333</v>
      </c>
      <c r="F44" s="100">
        <v>333</v>
      </c>
      <c r="G44" s="100">
        <v>333</v>
      </c>
      <c r="H44" s="100">
        <v>333</v>
      </c>
      <c r="I44" s="100">
        <v>333</v>
      </c>
      <c r="J44" s="100">
        <v>333</v>
      </c>
      <c r="K44" s="100">
        <v>333</v>
      </c>
      <c r="L44" s="100">
        <v>333</v>
      </c>
      <c r="M44" s="100">
        <v>333</v>
      </c>
      <c r="N44" s="100">
        <v>333</v>
      </c>
      <c r="O44" s="103">
        <f>SUM(C44:N44)</f>
        <v>3996</v>
      </c>
      <c r="P44" s="102" t="s">
        <v>134</v>
      </c>
    </row>
    <row r="45" spans="1:16" s="64" customFormat="1" ht="12.6" customHeight="1" x14ac:dyDescent="0.3">
      <c r="A45" s="202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 t="shared" si="5"/>
        <v>0</v>
      </c>
    </row>
    <row r="46" spans="1:16" s="64" customFormat="1" ht="12.6" customHeight="1" x14ac:dyDescent="0.4">
      <c r="A46" s="154"/>
      <c r="B46" s="7" t="s">
        <v>32</v>
      </c>
      <c r="C46" s="114">
        <v>635.95000000000005</v>
      </c>
      <c r="D46" s="114">
        <v>635.95000000000005</v>
      </c>
      <c r="E46" s="114">
        <v>109.6</v>
      </c>
      <c r="F46" s="114">
        <v>264.95</v>
      </c>
      <c r="G46" s="109">
        <v>278.8</v>
      </c>
      <c r="H46" s="114"/>
      <c r="I46" s="195">
        <v>372.67</v>
      </c>
      <c r="J46" s="137">
        <v>556.64</v>
      </c>
      <c r="K46" s="214">
        <v>648.54999999999995</v>
      </c>
      <c r="L46" s="114">
        <v>622.09</v>
      </c>
      <c r="M46" s="114"/>
      <c r="N46" s="114"/>
      <c r="O46" s="24">
        <f t="shared" si="5"/>
        <v>4125.2</v>
      </c>
    </row>
    <row r="47" spans="1:16" s="102" customFormat="1" ht="14.4" customHeight="1" x14ac:dyDescent="0.25">
      <c r="A47" s="236" t="s">
        <v>145</v>
      </c>
      <c r="B47" s="99" t="s">
        <v>16</v>
      </c>
      <c r="C47" s="100">
        <v>2065.67</v>
      </c>
      <c r="D47" s="100">
        <v>2484.08</v>
      </c>
      <c r="E47" s="100">
        <v>3055.85</v>
      </c>
      <c r="F47" s="100">
        <v>3725.41</v>
      </c>
      <c r="G47" s="100">
        <v>2334.02</v>
      </c>
      <c r="H47" s="100">
        <v>2986.52</v>
      </c>
      <c r="I47" s="100">
        <v>1296.3900000000001</v>
      </c>
      <c r="J47" s="100">
        <v>3210.85</v>
      </c>
      <c r="K47" s="100">
        <v>2408.37</v>
      </c>
      <c r="L47" s="100">
        <v>3352.49</v>
      </c>
      <c r="M47" s="100">
        <v>3015.21</v>
      </c>
      <c r="N47" s="100">
        <v>3226.53</v>
      </c>
      <c r="O47" s="103">
        <f t="shared" si="5"/>
        <v>33161.389999999992</v>
      </c>
    </row>
    <row r="48" spans="1:16" s="102" customFormat="1" ht="12" x14ac:dyDescent="0.25">
      <c r="A48" s="235"/>
      <c r="B48" s="99" t="s">
        <v>29</v>
      </c>
      <c r="C48" s="100">
        <v>3620</v>
      </c>
      <c r="D48" s="100">
        <v>3620</v>
      </c>
      <c r="E48" s="100">
        <v>3620</v>
      </c>
      <c r="F48" s="100">
        <v>3620</v>
      </c>
      <c r="G48" s="100">
        <v>3620</v>
      </c>
      <c r="H48" s="100">
        <v>3620</v>
      </c>
      <c r="I48" s="100">
        <v>3620</v>
      </c>
      <c r="J48" s="100">
        <v>3620</v>
      </c>
      <c r="K48" s="100">
        <v>3620</v>
      </c>
      <c r="L48" s="100">
        <v>3620</v>
      </c>
      <c r="M48" s="100">
        <v>3620</v>
      </c>
      <c r="N48" s="100">
        <v>3620</v>
      </c>
      <c r="O48" s="103">
        <f>SUM(C48:N48)</f>
        <v>43440</v>
      </c>
    </row>
    <row r="49" spans="1:15" s="64" customFormat="1" ht="12.6" customHeight="1" x14ac:dyDescent="0.3">
      <c r="A49" s="213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 t="shared" si="5"/>
        <v>0</v>
      </c>
    </row>
    <row r="50" spans="1:15" s="64" customFormat="1" ht="12.6" customHeight="1" x14ac:dyDescent="0.3">
      <c r="A50" s="157"/>
      <c r="B50" s="7" t="s">
        <v>32</v>
      </c>
      <c r="C50" s="114">
        <v>3027.67</v>
      </c>
      <c r="D50" s="114">
        <v>3792.25</v>
      </c>
      <c r="E50" s="114">
        <v>4608.24</v>
      </c>
      <c r="F50" s="114">
        <v>5567.2</v>
      </c>
      <c r="G50" s="114">
        <f>1361.26+1361.26+733.8</f>
        <v>3456.3199999999997</v>
      </c>
      <c r="H50" s="114">
        <f>1361.26+1361.26+1361.25+1070.53</f>
        <v>5154.3</v>
      </c>
      <c r="I50" s="114">
        <v>4213.8599999999997</v>
      </c>
      <c r="J50" s="114">
        <v>3997.95</v>
      </c>
      <c r="K50" s="114">
        <v>3818.11</v>
      </c>
      <c r="L50" s="114">
        <v>3810.09</v>
      </c>
      <c r="M50" s="114"/>
      <c r="N50" s="114"/>
      <c r="O50" s="24">
        <f t="shared" si="5"/>
        <v>41445.990000000005</v>
      </c>
    </row>
    <row r="51" spans="1:15" s="102" customFormat="1" ht="12" x14ac:dyDescent="0.25">
      <c r="A51" s="235" t="s">
        <v>146</v>
      </c>
      <c r="B51" s="99" t="s">
        <v>16</v>
      </c>
      <c r="C51" s="100"/>
      <c r="D51" s="100"/>
      <c r="E51" s="100"/>
      <c r="G51" s="100"/>
      <c r="H51" s="100"/>
      <c r="I51" s="100"/>
      <c r="J51" s="100"/>
      <c r="K51" s="100"/>
      <c r="L51" s="100"/>
      <c r="M51" s="100"/>
      <c r="N51" s="100"/>
      <c r="O51" s="103">
        <f t="shared" si="5"/>
        <v>0</v>
      </c>
    </row>
    <row r="52" spans="1:15" s="102" customFormat="1" ht="12" x14ac:dyDescent="0.25">
      <c r="A52" s="235"/>
      <c r="B52" s="99" t="s">
        <v>29</v>
      </c>
      <c r="C52" s="100">
        <v>20000</v>
      </c>
      <c r="D52" s="100">
        <v>20000</v>
      </c>
      <c r="E52" s="100">
        <v>20000</v>
      </c>
      <c r="F52" s="100">
        <v>20000</v>
      </c>
      <c r="G52" s="100">
        <v>20000</v>
      </c>
      <c r="H52" s="100">
        <v>20000</v>
      </c>
      <c r="I52" s="100">
        <v>20000</v>
      </c>
      <c r="J52" s="100">
        <v>20000</v>
      </c>
      <c r="K52" s="100">
        <v>20000</v>
      </c>
      <c r="L52" s="100">
        <v>20000</v>
      </c>
      <c r="M52" s="100">
        <v>20000</v>
      </c>
      <c r="N52" s="100">
        <v>20000</v>
      </c>
      <c r="O52" s="103">
        <f>SUM(C52:N52)</f>
        <v>240000</v>
      </c>
    </row>
    <row r="53" spans="1:15" s="64" customFormat="1" ht="12.6" customHeight="1" x14ac:dyDescent="0.3">
      <c r="A53" s="154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 t="shared" si="5"/>
        <v>0</v>
      </c>
    </row>
    <row r="54" spans="1:15" s="64" customFormat="1" ht="12.6" customHeight="1" x14ac:dyDescent="0.3">
      <c r="A54" s="154"/>
      <c r="B54" s="7" t="s">
        <v>32</v>
      </c>
      <c r="C54" s="114">
        <v>20000</v>
      </c>
      <c r="D54" s="114">
        <v>20000</v>
      </c>
      <c r="E54" s="114">
        <v>20000</v>
      </c>
      <c r="F54" s="114">
        <v>20000</v>
      </c>
      <c r="G54" s="114">
        <v>20000</v>
      </c>
      <c r="H54" s="114">
        <v>20000</v>
      </c>
      <c r="I54" s="114">
        <v>20000</v>
      </c>
      <c r="J54" s="114">
        <v>20000</v>
      </c>
      <c r="K54" s="114">
        <v>20000</v>
      </c>
      <c r="L54" s="114"/>
      <c r="M54" s="114"/>
      <c r="N54" s="114"/>
      <c r="O54" s="24">
        <f t="shared" si="5"/>
        <v>180000</v>
      </c>
    </row>
    <row r="55" spans="1:15" s="102" customFormat="1" ht="12" x14ac:dyDescent="0.25">
      <c r="A55" s="235" t="s">
        <v>147</v>
      </c>
      <c r="B55" s="99" t="s">
        <v>16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3">
        <f t="shared" ref="O55:O74" si="6">SUM(C55:N55)</f>
        <v>0</v>
      </c>
    </row>
    <row r="56" spans="1:15" s="102" customFormat="1" ht="12" x14ac:dyDescent="0.25">
      <c r="A56" s="235"/>
      <c r="B56" s="99" t="s">
        <v>29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3">
        <f>SUM(C56:N56)</f>
        <v>0</v>
      </c>
    </row>
    <row r="57" spans="1:15" s="64" customFormat="1" ht="12.6" customHeight="1" x14ac:dyDescent="0.3">
      <c r="A57" s="154"/>
      <c r="B57" s="5" t="s">
        <v>31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7">
        <f t="shared" si="6"/>
        <v>0</v>
      </c>
    </row>
    <row r="58" spans="1:15" s="64" customFormat="1" ht="12.6" customHeight="1" x14ac:dyDescent="0.3">
      <c r="A58" s="154"/>
      <c r="B58" s="7" t="s">
        <v>32</v>
      </c>
      <c r="C58" s="114">
        <v>6178.01</v>
      </c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24">
        <f t="shared" si="6"/>
        <v>6178.01</v>
      </c>
    </row>
    <row r="59" spans="1:15" s="102" customFormat="1" ht="12" x14ac:dyDescent="0.25">
      <c r="A59" s="235" t="s">
        <v>148</v>
      </c>
      <c r="B59" s="99" t="s">
        <v>16</v>
      </c>
      <c r="C59" s="100" t="s">
        <v>149</v>
      </c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3">
        <f t="shared" si="6"/>
        <v>0</v>
      </c>
    </row>
    <row r="60" spans="1:15" s="102" customFormat="1" ht="12" x14ac:dyDescent="0.25">
      <c r="A60" s="235"/>
      <c r="B60" s="99" t="s">
        <v>29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3">
        <f>SUM(C60:N60)</f>
        <v>0</v>
      </c>
    </row>
    <row r="61" spans="1:15" s="64" customFormat="1" ht="12.6" customHeight="1" x14ac:dyDescent="0.3">
      <c r="A61" s="154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 t="shared" si="6"/>
        <v>0</v>
      </c>
    </row>
    <row r="62" spans="1:15" s="64" customFormat="1" ht="12.6" customHeight="1" x14ac:dyDescent="0.3">
      <c r="A62" s="154"/>
      <c r="B62" s="7" t="s">
        <v>32</v>
      </c>
      <c r="C62" s="114"/>
      <c r="D62" s="114"/>
      <c r="E62" s="114"/>
      <c r="F62" s="114">
        <v>140.76</v>
      </c>
      <c r="G62" s="114">
        <v>207</v>
      </c>
      <c r="H62" s="114">
        <v>414</v>
      </c>
      <c r="I62" s="114">
        <v>310.5</v>
      </c>
      <c r="J62" s="114"/>
      <c r="K62" s="114"/>
      <c r="L62" s="114"/>
      <c r="M62" s="114"/>
      <c r="N62" s="114"/>
      <c r="O62" s="24">
        <f t="shared" si="6"/>
        <v>1072.26</v>
      </c>
    </row>
    <row r="63" spans="1:15" s="102" customFormat="1" ht="12" x14ac:dyDescent="0.25">
      <c r="A63" s="235"/>
      <c r="B63" s="99" t="s">
        <v>16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3">
        <f t="shared" si="6"/>
        <v>0</v>
      </c>
    </row>
    <row r="64" spans="1:15" s="102" customFormat="1" ht="12" x14ac:dyDescent="0.25">
      <c r="A64" s="235"/>
      <c r="B64" s="99" t="s">
        <v>29</v>
      </c>
      <c r="C64" s="100">
        <v>0</v>
      </c>
      <c r="D64" s="100">
        <v>0</v>
      </c>
      <c r="E64" s="100">
        <v>0</v>
      </c>
      <c r="F64" s="100">
        <v>0</v>
      </c>
      <c r="G64" s="100">
        <v>0</v>
      </c>
      <c r="H64" s="100">
        <v>0</v>
      </c>
      <c r="I64" s="100">
        <v>0</v>
      </c>
      <c r="J64" s="100">
        <v>0</v>
      </c>
      <c r="K64" s="100">
        <v>0</v>
      </c>
      <c r="L64" s="100">
        <v>0</v>
      </c>
      <c r="M64" s="100">
        <v>0</v>
      </c>
      <c r="N64" s="100">
        <v>0</v>
      </c>
      <c r="O64" s="103">
        <f>SUM(C64:N64)</f>
        <v>0</v>
      </c>
    </row>
    <row r="65" spans="1:15" s="64" customFormat="1" ht="12.6" customHeight="1" x14ac:dyDescent="0.3">
      <c r="A65" s="154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 t="shared" si="6"/>
        <v>0</v>
      </c>
    </row>
    <row r="66" spans="1:15" s="64" customFormat="1" ht="12.6" customHeight="1" x14ac:dyDescent="0.3">
      <c r="A66" s="154"/>
      <c r="B66" s="7" t="s">
        <v>32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24">
        <f t="shared" si="6"/>
        <v>0</v>
      </c>
    </row>
    <row r="67" spans="1:15" s="102" customFormat="1" ht="12.6" customHeight="1" x14ac:dyDescent="0.25">
      <c r="A67" s="235"/>
      <c r="B67" s="99" t="s">
        <v>16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3">
        <f t="shared" si="6"/>
        <v>0</v>
      </c>
    </row>
    <row r="68" spans="1:15" s="102" customFormat="1" ht="12" x14ac:dyDescent="0.25">
      <c r="A68" s="235"/>
      <c r="B68" s="99" t="s">
        <v>29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3">
        <f>SUM(C68:N68)</f>
        <v>0</v>
      </c>
    </row>
    <row r="69" spans="1:15" s="64" customFormat="1" x14ac:dyDescent="0.3">
      <c r="A69" s="154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 t="shared" si="6"/>
        <v>0</v>
      </c>
    </row>
    <row r="70" spans="1:15" s="64" customFormat="1" x14ac:dyDescent="0.3">
      <c r="A70" s="154"/>
      <c r="B70" s="7" t="s">
        <v>32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24">
        <f t="shared" si="6"/>
        <v>0</v>
      </c>
    </row>
    <row r="71" spans="1:15" s="102" customFormat="1" ht="12" x14ac:dyDescent="0.25">
      <c r="A71" s="235"/>
      <c r="B71" s="99" t="s">
        <v>16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3">
        <f t="shared" si="6"/>
        <v>0</v>
      </c>
    </row>
    <row r="72" spans="1:15" s="102" customFormat="1" ht="12" x14ac:dyDescent="0.25">
      <c r="A72" s="235"/>
      <c r="B72" s="99" t="s">
        <v>29</v>
      </c>
      <c r="C72" s="100">
        <v>0</v>
      </c>
      <c r="D72" s="100">
        <v>0</v>
      </c>
      <c r="E72" s="100">
        <v>0</v>
      </c>
      <c r="F72" s="100">
        <v>0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3">
        <f>SUM(C72:N72)</f>
        <v>0</v>
      </c>
    </row>
    <row r="73" spans="1:15" s="64" customFormat="1" x14ac:dyDescent="0.3">
      <c r="A73" s="154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 t="shared" si="6"/>
        <v>0</v>
      </c>
    </row>
    <row r="74" spans="1:15" s="64" customFormat="1" x14ac:dyDescent="0.3">
      <c r="A74" s="154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24">
        <f t="shared" si="6"/>
        <v>0</v>
      </c>
    </row>
    <row r="75" spans="1:15" s="102" customFormat="1" ht="12" x14ac:dyDescent="0.25">
      <c r="A75" s="235"/>
      <c r="B75" s="99" t="s">
        <v>16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3">
        <f t="shared" ref="O75:O90" si="7">SUM(C75:N75)</f>
        <v>0</v>
      </c>
    </row>
    <row r="76" spans="1:15" s="102" customFormat="1" ht="12" x14ac:dyDescent="0.25">
      <c r="A76" s="235"/>
      <c r="B76" s="99" t="s">
        <v>29</v>
      </c>
      <c r="C76" s="100">
        <v>0</v>
      </c>
      <c r="D76" s="100">
        <v>0</v>
      </c>
      <c r="E76" s="100">
        <v>0</v>
      </c>
      <c r="F76" s="100">
        <v>0</v>
      </c>
      <c r="G76" s="100">
        <v>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3">
        <f>SUM(C76:N76)</f>
        <v>0</v>
      </c>
    </row>
    <row r="77" spans="1:15" s="64" customFormat="1" x14ac:dyDescent="0.3">
      <c r="A77" s="154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7">
        <f t="shared" si="7"/>
        <v>0</v>
      </c>
    </row>
    <row r="78" spans="1:15" s="64" customFormat="1" x14ac:dyDescent="0.3">
      <c r="A78" s="154"/>
      <c r="B78" s="7" t="s">
        <v>32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24">
        <f t="shared" si="7"/>
        <v>0</v>
      </c>
    </row>
    <row r="79" spans="1:15" s="102" customFormat="1" ht="12" x14ac:dyDescent="0.25">
      <c r="A79" s="235"/>
      <c r="B79" s="99" t="s">
        <v>16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3">
        <f t="shared" si="7"/>
        <v>0</v>
      </c>
    </row>
    <row r="80" spans="1:15" s="102" customFormat="1" ht="12" x14ac:dyDescent="0.25">
      <c r="A80" s="235"/>
      <c r="B80" s="99" t="s">
        <v>29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3">
        <f>SUM(C80:N80)</f>
        <v>0</v>
      </c>
    </row>
    <row r="81" spans="1:15" s="64" customFormat="1" x14ac:dyDescent="0.3">
      <c r="A81" s="154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7">
        <f t="shared" si="7"/>
        <v>0</v>
      </c>
    </row>
    <row r="82" spans="1:15" s="64" customFormat="1" x14ac:dyDescent="0.3">
      <c r="A82" s="154"/>
      <c r="B82" s="7" t="s">
        <v>32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24">
        <f t="shared" si="7"/>
        <v>0</v>
      </c>
    </row>
    <row r="83" spans="1:15" s="102" customFormat="1" ht="12" x14ac:dyDescent="0.25">
      <c r="A83" s="235"/>
      <c r="B83" s="99" t="s">
        <v>16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3">
        <f t="shared" si="7"/>
        <v>0</v>
      </c>
    </row>
    <row r="84" spans="1:15" s="102" customFormat="1" ht="12" x14ac:dyDescent="0.25">
      <c r="A84" s="235"/>
      <c r="B84" s="99" t="s">
        <v>29</v>
      </c>
      <c r="C84" s="100">
        <v>0</v>
      </c>
      <c r="D84" s="100">
        <v>0</v>
      </c>
      <c r="E84" s="100">
        <v>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3">
        <f>SUM(C84:N84)</f>
        <v>0</v>
      </c>
    </row>
    <row r="85" spans="1:15" s="64" customFormat="1" x14ac:dyDescent="0.3">
      <c r="A85" s="154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7">
        <f t="shared" si="7"/>
        <v>0</v>
      </c>
    </row>
    <row r="86" spans="1:15" s="64" customFormat="1" x14ac:dyDescent="0.3">
      <c r="A86" s="154"/>
      <c r="B86" s="7" t="s">
        <v>32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24">
        <f t="shared" si="7"/>
        <v>0</v>
      </c>
    </row>
    <row r="87" spans="1:15" s="102" customFormat="1" ht="12" x14ac:dyDescent="0.25">
      <c r="A87" s="235"/>
      <c r="B87" s="99" t="s">
        <v>16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3">
        <f t="shared" si="7"/>
        <v>0</v>
      </c>
    </row>
    <row r="88" spans="1:15" s="102" customFormat="1" ht="12" x14ac:dyDescent="0.25">
      <c r="A88" s="235"/>
      <c r="B88" s="99" t="s">
        <v>29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3">
        <f>SUM(C88:N88)</f>
        <v>0</v>
      </c>
    </row>
    <row r="89" spans="1:15" s="64" customFormat="1" x14ac:dyDescent="0.3">
      <c r="A89" s="154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7">
        <f t="shared" si="7"/>
        <v>0</v>
      </c>
    </row>
    <row r="90" spans="1:15" s="64" customFormat="1" x14ac:dyDescent="0.3">
      <c r="A90" s="154"/>
      <c r="B90" s="7" t="s">
        <v>32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24">
        <f t="shared" si="7"/>
        <v>0</v>
      </c>
    </row>
    <row r="91" spans="1:15" s="102" customFormat="1" ht="12" x14ac:dyDescent="0.25">
      <c r="A91" s="237"/>
    </row>
    <row r="92" spans="1:15" s="102" customFormat="1" ht="12" x14ac:dyDescent="0.25">
      <c r="A92" s="237"/>
    </row>
    <row r="93" spans="1:15" s="64" customFormat="1" x14ac:dyDescent="0.3">
      <c r="A93" s="158"/>
    </row>
    <row r="94" spans="1:15" s="64" customFormat="1" x14ac:dyDescent="0.3">
      <c r="A94" s="158"/>
    </row>
    <row r="95" spans="1:15" s="102" customFormat="1" ht="12" x14ac:dyDescent="0.25">
      <c r="A95" s="237"/>
    </row>
    <row r="96" spans="1:15" s="102" customFormat="1" ht="12" x14ac:dyDescent="0.25">
      <c r="A96" s="237"/>
    </row>
    <row r="97" spans="1:1" s="64" customFormat="1" x14ac:dyDescent="0.3">
      <c r="A97" s="158"/>
    </row>
    <row r="98" spans="1:1" s="64" customFormat="1" x14ac:dyDescent="0.3">
      <c r="A98" s="158"/>
    </row>
    <row r="99" spans="1:1" s="102" customFormat="1" ht="12" x14ac:dyDescent="0.25">
      <c r="A99" s="237"/>
    </row>
    <row r="100" spans="1:1" s="102" customFormat="1" ht="12" x14ac:dyDescent="0.25">
      <c r="A100" s="237"/>
    </row>
    <row r="101" spans="1:1" s="64" customFormat="1" x14ac:dyDescent="0.3">
      <c r="A101" s="158"/>
    </row>
    <row r="102" spans="1:1" s="64" customFormat="1" x14ac:dyDescent="0.3">
      <c r="A102" s="158"/>
    </row>
    <row r="103" spans="1:1" s="102" customFormat="1" ht="12" x14ac:dyDescent="0.25">
      <c r="A103" s="237"/>
    </row>
    <row r="104" spans="1:1" s="102" customFormat="1" ht="12" x14ac:dyDescent="0.25">
      <c r="A104" s="237"/>
    </row>
    <row r="105" spans="1:1" s="64" customFormat="1" x14ac:dyDescent="0.3">
      <c r="A105" s="158"/>
    </row>
    <row r="106" spans="1:1" s="64" customFormat="1" x14ac:dyDescent="0.3">
      <c r="A106" s="158"/>
    </row>
    <row r="107" spans="1:1" s="102" customFormat="1" ht="12" x14ac:dyDescent="0.25">
      <c r="A107" s="237"/>
    </row>
    <row r="108" spans="1:1" s="102" customFormat="1" ht="12" x14ac:dyDescent="0.25">
      <c r="A108" s="237"/>
    </row>
    <row r="109" spans="1:1" s="64" customFormat="1" x14ac:dyDescent="0.3">
      <c r="A109" s="158"/>
    </row>
    <row r="110" spans="1:1" s="64" customFormat="1" x14ac:dyDescent="0.3">
      <c r="A110" s="158"/>
    </row>
    <row r="111" spans="1:1" s="102" customFormat="1" ht="12" x14ac:dyDescent="0.25">
      <c r="A111" s="237"/>
    </row>
    <row r="112" spans="1:1" s="102" customFormat="1" ht="12" x14ac:dyDescent="0.25">
      <c r="A112" s="237"/>
    </row>
    <row r="113" spans="1:1" s="64" customFormat="1" x14ac:dyDescent="0.3">
      <c r="A113" s="158"/>
    </row>
    <row r="114" spans="1:1" s="64" customFormat="1" x14ac:dyDescent="0.3">
      <c r="A114" s="158"/>
    </row>
    <row r="115" spans="1:1" s="102" customFormat="1" ht="12" x14ac:dyDescent="0.25">
      <c r="A115" s="237"/>
    </row>
    <row r="116" spans="1:1" s="102" customFormat="1" ht="12" x14ac:dyDescent="0.25">
      <c r="A116" s="237"/>
    </row>
    <row r="117" spans="1:1" s="64" customFormat="1" x14ac:dyDescent="0.3">
      <c r="A117" s="158"/>
    </row>
    <row r="118" spans="1:1" s="64" customFormat="1" x14ac:dyDescent="0.3">
      <c r="A118" s="158"/>
    </row>
    <row r="119" spans="1:1" s="102" customFormat="1" ht="12" x14ac:dyDescent="0.25">
      <c r="A119" s="237"/>
    </row>
    <row r="120" spans="1:1" s="102" customFormat="1" ht="12" x14ac:dyDescent="0.25">
      <c r="A120" s="237"/>
    </row>
    <row r="121" spans="1:1" s="64" customFormat="1" x14ac:dyDescent="0.3">
      <c r="A121" s="158"/>
    </row>
    <row r="122" spans="1:1" s="64" customFormat="1" x14ac:dyDescent="0.3">
      <c r="A122" s="158"/>
    </row>
    <row r="123" spans="1:1" s="102" customFormat="1" ht="12" x14ac:dyDescent="0.25">
      <c r="A123" s="237"/>
    </row>
    <row r="124" spans="1:1" s="102" customFormat="1" ht="12" x14ac:dyDescent="0.25">
      <c r="A124" s="237"/>
    </row>
    <row r="125" spans="1:1" s="64" customFormat="1" ht="11.4" customHeight="1" x14ac:dyDescent="0.3">
      <c r="A125" s="158"/>
    </row>
    <row r="126" spans="1:1" s="64" customFormat="1" x14ac:dyDescent="0.3">
      <c r="A126" s="158"/>
    </row>
    <row r="127" spans="1:1" s="102" customFormat="1" ht="12" x14ac:dyDescent="0.25">
      <c r="A127" s="237"/>
    </row>
    <row r="128" spans="1:1" s="102" customFormat="1" ht="12" x14ac:dyDescent="0.25">
      <c r="A128" s="237"/>
    </row>
    <row r="129" spans="1:1" s="64" customFormat="1" x14ac:dyDescent="0.3">
      <c r="A129" s="158"/>
    </row>
    <row r="130" spans="1:1" s="64" customFormat="1" x14ac:dyDescent="0.3">
      <c r="A130" s="158"/>
    </row>
    <row r="131" spans="1:1" s="102" customFormat="1" ht="12" x14ac:dyDescent="0.25">
      <c r="A131" s="237"/>
    </row>
    <row r="132" spans="1:1" s="102" customFormat="1" ht="12" x14ac:dyDescent="0.25">
      <c r="A132" s="237"/>
    </row>
    <row r="133" spans="1:1" s="64" customFormat="1" x14ac:dyDescent="0.3">
      <c r="A133" s="158"/>
    </row>
    <row r="134" spans="1:1" s="64" customFormat="1" x14ac:dyDescent="0.3">
      <c r="A134" s="158"/>
    </row>
    <row r="135" spans="1:1" s="102" customFormat="1" ht="12" x14ac:dyDescent="0.25">
      <c r="A135" s="237"/>
    </row>
    <row r="136" spans="1:1" s="102" customFormat="1" ht="12" x14ac:dyDescent="0.25">
      <c r="A136" s="237"/>
    </row>
    <row r="137" spans="1:1" s="64" customFormat="1" x14ac:dyDescent="0.3">
      <c r="A137" s="158"/>
    </row>
    <row r="138" spans="1:1" s="64" customFormat="1" x14ac:dyDescent="0.3">
      <c r="A138" s="158"/>
    </row>
    <row r="139" spans="1:1" s="102" customFormat="1" ht="12" x14ac:dyDescent="0.25">
      <c r="A139" s="237"/>
    </row>
    <row r="140" spans="1:1" s="102" customFormat="1" ht="12" x14ac:dyDescent="0.25">
      <c r="A140" s="237"/>
    </row>
    <row r="141" spans="1:1" s="64" customFormat="1" x14ac:dyDescent="0.3">
      <c r="A141" s="158"/>
    </row>
    <row r="142" spans="1:1" s="64" customFormat="1" x14ac:dyDescent="0.3">
      <c r="A142" s="158"/>
    </row>
    <row r="143" spans="1:1" s="102" customFormat="1" ht="12" x14ac:dyDescent="0.25">
      <c r="A143" s="237"/>
    </row>
    <row r="144" spans="1:1" s="102" customFormat="1" ht="12" x14ac:dyDescent="0.25">
      <c r="A144" s="237"/>
    </row>
    <row r="145" spans="1:1" s="64" customFormat="1" x14ac:dyDescent="0.3">
      <c r="A145" s="158"/>
    </row>
    <row r="146" spans="1:1" s="64" customFormat="1" x14ac:dyDescent="0.3">
      <c r="A146" s="158"/>
    </row>
    <row r="147" spans="1:1" s="102" customFormat="1" ht="12" x14ac:dyDescent="0.25">
      <c r="A147" s="237"/>
    </row>
    <row r="148" spans="1:1" s="102" customFormat="1" ht="12" x14ac:dyDescent="0.25">
      <c r="A148" s="237"/>
    </row>
    <row r="149" spans="1:1" s="64" customFormat="1" x14ac:dyDescent="0.3">
      <c r="A149" s="158"/>
    </row>
    <row r="150" spans="1:1" s="64" customFormat="1" x14ac:dyDescent="0.3">
      <c r="A150" s="158"/>
    </row>
    <row r="151" spans="1:1" s="102" customFormat="1" ht="12" x14ac:dyDescent="0.25">
      <c r="A151" s="237"/>
    </row>
    <row r="152" spans="1:1" s="102" customFormat="1" ht="12" x14ac:dyDescent="0.25">
      <c r="A152" s="237"/>
    </row>
    <row r="153" spans="1:1" s="64" customFormat="1" x14ac:dyDescent="0.3">
      <c r="A153" s="158"/>
    </row>
    <row r="154" spans="1:1" s="64" customFormat="1" x14ac:dyDescent="0.3">
      <c r="A154" s="158"/>
    </row>
    <row r="155" spans="1:1" s="102" customFormat="1" ht="12" x14ac:dyDescent="0.25">
      <c r="A155" s="237"/>
    </row>
    <row r="156" spans="1:1" s="102" customFormat="1" ht="12" x14ac:dyDescent="0.25">
      <c r="A156" s="237"/>
    </row>
    <row r="157" spans="1:1" s="64" customFormat="1" x14ac:dyDescent="0.3">
      <c r="A157" s="158"/>
    </row>
    <row r="158" spans="1:1" s="64" customFormat="1" x14ac:dyDescent="0.3">
      <c r="A158" s="158"/>
    </row>
    <row r="159" spans="1:1" s="102" customFormat="1" ht="12" x14ac:dyDescent="0.25">
      <c r="A159" s="237"/>
    </row>
    <row r="160" spans="1:1" s="102" customFormat="1" ht="12" x14ac:dyDescent="0.25">
      <c r="A160" s="237"/>
    </row>
    <row r="161" spans="1:1" s="64" customFormat="1" x14ac:dyDescent="0.3">
      <c r="A161" s="158"/>
    </row>
    <row r="162" spans="1:1" s="64" customFormat="1" x14ac:dyDescent="0.3">
      <c r="A162" s="158"/>
    </row>
    <row r="163" spans="1:1" s="102" customFormat="1" ht="12" x14ac:dyDescent="0.25">
      <c r="A163" s="237"/>
    </row>
    <row r="164" spans="1:1" s="102" customFormat="1" ht="12" x14ac:dyDescent="0.25">
      <c r="A164" s="237"/>
    </row>
    <row r="165" spans="1:1" s="64" customFormat="1" x14ac:dyDescent="0.3">
      <c r="A165" s="158"/>
    </row>
    <row r="166" spans="1:1" s="64" customFormat="1" x14ac:dyDescent="0.3">
      <c r="A166" s="158"/>
    </row>
    <row r="167" spans="1:1" s="102" customFormat="1" ht="12" x14ac:dyDescent="0.25">
      <c r="A167" s="237"/>
    </row>
    <row r="168" spans="1:1" s="102" customFormat="1" ht="12" x14ac:dyDescent="0.25">
      <c r="A168" s="237"/>
    </row>
    <row r="169" spans="1:1" s="64" customFormat="1" x14ac:dyDescent="0.3">
      <c r="A169" s="158"/>
    </row>
    <row r="170" spans="1:1" s="64" customFormat="1" x14ac:dyDescent="0.3">
      <c r="A170" s="158"/>
    </row>
    <row r="171" spans="1:1" s="102" customFormat="1" ht="12" x14ac:dyDescent="0.25">
      <c r="A171" s="237"/>
    </row>
    <row r="172" spans="1:1" s="102" customFormat="1" ht="12" x14ac:dyDescent="0.25">
      <c r="A172" s="237"/>
    </row>
    <row r="173" spans="1:1" s="64" customFormat="1" x14ac:dyDescent="0.3">
      <c r="A173" s="158"/>
    </row>
    <row r="174" spans="1:1" s="64" customFormat="1" x14ac:dyDescent="0.3">
      <c r="A174" s="158"/>
    </row>
    <row r="175" spans="1:1" s="102" customFormat="1" ht="12" x14ac:dyDescent="0.25">
      <c r="A175" s="237"/>
    </row>
    <row r="176" spans="1:1" s="102" customFormat="1" ht="12" x14ac:dyDescent="0.25">
      <c r="A176" s="237"/>
    </row>
    <row r="177" spans="1:1" s="64" customFormat="1" x14ac:dyDescent="0.3">
      <c r="A177" s="158"/>
    </row>
    <row r="178" spans="1:1" s="64" customFormat="1" x14ac:dyDescent="0.3">
      <c r="A178" s="158"/>
    </row>
    <row r="179" spans="1:1" s="102" customFormat="1" ht="12" x14ac:dyDescent="0.25">
      <c r="A179" s="237"/>
    </row>
    <row r="180" spans="1:1" s="102" customFormat="1" ht="12" x14ac:dyDescent="0.25">
      <c r="A180" s="237"/>
    </row>
    <row r="181" spans="1:1" s="64" customFormat="1" x14ac:dyDescent="0.3">
      <c r="A181" s="158"/>
    </row>
    <row r="182" spans="1:1" s="64" customFormat="1" x14ac:dyDescent="0.3">
      <c r="A182" s="158"/>
    </row>
    <row r="183" spans="1:1" s="102" customFormat="1" ht="12" x14ac:dyDescent="0.25">
      <c r="A183" s="237"/>
    </row>
    <row r="184" spans="1:1" s="102" customFormat="1" ht="12" x14ac:dyDescent="0.25">
      <c r="A184" s="237"/>
    </row>
    <row r="185" spans="1:1" s="64" customFormat="1" x14ac:dyDescent="0.3">
      <c r="A185" s="158"/>
    </row>
    <row r="186" spans="1:1" s="64" customFormat="1" x14ac:dyDescent="0.3">
      <c r="A186" s="158"/>
    </row>
    <row r="187" spans="1:1" s="102" customFormat="1" ht="12" x14ac:dyDescent="0.25">
      <c r="A187" s="237"/>
    </row>
    <row r="188" spans="1:1" s="102" customFormat="1" ht="12" x14ac:dyDescent="0.25">
      <c r="A188" s="237"/>
    </row>
    <row r="189" spans="1:1" s="64" customFormat="1" x14ac:dyDescent="0.3">
      <c r="A189" s="158"/>
    </row>
    <row r="190" spans="1:1" s="64" customFormat="1" x14ac:dyDescent="0.3">
      <c r="A190" s="158"/>
    </row>
    <row r="191" spans="1:1" s="102" customFormat="1" ht="12" x14ac:dyDescent="0.25">
      <c r="A191" s="237"/>
    </row>
    <row r="192" spans="1:1" s="102" customFormat="1" ht="12" x14ac:dyDescent="0.25">
      <c r="A192" s="237"/>
    </row>
    <row r="193" spans="1:1" s="64" customFormat="1" x14ac:dyDescent="0.3">
      <c r="A193" s="158"/>
    </row>
    <row r="194" spans="1:1" s="64" customFormat="1" x14ac:dyDescent="0.3">
      <c r="A194" s="158"/>
    </row>
    <row r="195" spans="1:1" s="102" customFormat="1" ht="12" x14ac:dyDescent="0.25">
      <c r="A195" s="237"/>
    </row>
    <row r="196" spans="1:1" s="102" customFormat="1" ht="12" x14ac:dyDescent="0.25">
      <c r="A196" s="237"/>
    </row>
    <row r="197" spans="1:1" s="64" customFormat="1" x14ac:dyDescent="0.3">
      <c r="A197" s="158"/>
    </row>
    <row r="198" spans="1:1" s="64" customFormat="1" x14ac:dyDescent="0.3">
      <c r="A198" s="158"/>
    </row>
    <row r="199" spans="1:1" s="102" customFormat="1" ht="12" x14ac:dyDescent="0.25">
      <c r="A199" s="237"/>
    </row>
    <row r="200" spans="1:1" s="102" customFormat="1" ht="12" x14ac:dyDescent="0.25">
      <c r="A200" s="237"/>
    </row>
    <row r="201" spans="1:1" s="64" customFormat="1" x14ac:dyDescent="0.3">
      <c r="A201" s="158"/>
    </row>
    <row r="202" spans="1:1" s="64" customFormat="1" x14ac:dyDescent="0.3">
      <c r="A202" s="158"/>
    </row>
    <row r="203" spans="1:1" s="102" customFormat="1" ht="12" x14ac:dyDescent="0.25">
      <c r="A203" s="237"/>
    </row>
    <row r="204" spans="1:1" s="102" customFormat="1" ht="12" x14ac:dyDescent="0.25">
      <c r="A204" s="237"/>
    </row>
    <row r="205" spans="1:1" s="64" customFormat="1" x14ac:dyDescent="0.3">
      <c r="A205" s="158"/>
    </row>
    <row r="206" spans="1:1" s="64" customFormat="1" x14ac:dyDescent="0.3">
      <c r="A206" s="158"/>
    </row>
    <row r="207" spans="1:1" s="102" customFormat="1" ht="12" x14ac:dyDescent="0.25">
      <c r="A207" s="237"/>
    </row>
    <row r="208" spans="1:1" s="102" customFormat="1" ht="12" x14ac:dyDescent="0.25">
      <c r="A208" s="237"/>
    </row>
    <row r="209" spans="1:1" s="64" customFormat="1" x14ac:dyDescent="0.3">
      <c r="A209" s="158"/>
    </row>
    <row r="210" spans="1:1" s="64" customFormat="1" x14ac:dyDescent="0.3">
      <c r="A210" s="158"/>
    </row>
    <row r="211" spans="1:1" s="102" customFormat="1" ht="12" x14ac:dyDescent="0.25">
      <c r="A211" s="237"/>
    </row>
    <row r="212" spans="1:1" s="102" customFormat="1" ht="12" x14ac:dyDescent="0.25">
      <c r="A212" s="237"/>
    </row>
    <row r="213" spans="1:1" s="64" customFormat="1" x14ac:dyDescent="0.3">
      <c r="A213" s="158"/>
    </row>
    <row r="214" spans="1:1" s="64" customFormat="1" x14ac:dyDescent="0.3">
      <c r="A214" s="158"/>
    </row>
    <row r="215" spans="1:1" s="102" customFormat="1" ht="12" x14ac:dyDescent="0.25">
      <c r="A215" s="237"/>
    </row>
    <row r="216" spans="1:1" s="102" customFormat="1" ht="12" x14ac:dyDescent="0.25">
      <c r="A216" s="237"/>
    </row>
    <row r="217" spans="1:1" s="64" customFormat="1" x14ac:dyDescent="0.3">
      <c r="A217" s="108"/>
    </row>
    <row r="218" spans="1:1" s="64" customFormat="1" x14ac:dyDescent="0.3">
      <c r="A218" s="108"/>
    </row>
  </sheetData>
  <mergeCells count="54">
    <mergeCell ref="A215:A216"/>
    <mergeCell ref="A3:A6"/>
    <mergeCell ref="A195:A196"/>
    <mergeCell ref="A199:A200"/>
    <mergeCell ref="A203:A204"/>
    <mergeCell ref="A207:A208"/>
    <mergeCell ref="A211:A212"/>
    <mergeCell ref="A175:A176"/>
    <mergeCell ref="A179:A180"/>
    <mergeCell ref="A183:A184"/>
    <mergeCell ref="A187:A188"/>
    <mergeCell ref="A191:A192"/>
    <mergeCell ref="A155:A156"/>
    <mergeCell ref="A159:A160"/>
    <mergeCell ref="A163:A164"/>
    <mergeCell ref="A167:A168"/>
    <mergeCell ref="A131:A132"/>
    <mergeCell ref="A171:A172"/>
    <mergeCell ref="A135:A136"/>
    <mergeCell ref="A139:A140"/>
    <mergeCell ref="A143:A144"/>
    <mergeCell ref="A147:A148"/>
    <mergeCell ref="A151:A152"/>
    <mergeCell ref="A111:A112"/>
    <mergeCell ref="A115:A116"/>
    <mergeCell ref="A119:A120"/>
    <mergeCell ref="A123:A124"/>
    <mergeCell ref="A127:A128"/>
    <mergeCell ref="A95:A96"/>
    <mergeCell ref="A99:A100"/>
    <mergeCell ref="A103:A104"/>
    <mergeCell ref="A107:A108"/>
    <mergeCell ref="A87:A88"/>
    <mergeCell ref="A91:A92"/>
    <mergeCell ref="A1:O1"/>
    <mergeCell ref="A11:A12"/>
    <mergeCell ref="A15:A16"/>
    <mergeCell ref="A19:A20"/>
    <mergeCell ref="A23:A24"/>
    <mergeCell ref="A27:A28"/>
    <mergeCell ref="A31:A32"/>
    <mergeCell ref="A75:A76"/>
    <mergeCell ref="A79:A80"/>
    <mergeCell ref="A83:A84"/>
    <mergeCell ref="A35:A36"/>
    <mergeCell ref="A39:A40"/>
    <mergeCell ref="A43:A44"/>
    <mergeCell ref="A47:A48"/>
    <mergeCell ref="A51:A52"/>
    <mergeCell ref="A55:A56"/>
    <mergeCell ref="A59:A60"/>
    <mergeCell ref="A63:A64"/>
    <mergeCell ref="A67:A68"/>
    <mergeCell ref="A71:A72"/>
  </mergeCells>
  <conditionalFormatting sqref="C6:N6">
    <cfRule type="cellIs" dxfId="25" priority="1" operator="greaterThan">
      <formula>C5*1.15</formula>
    </cfRule>
    <cfRule type="cellIs" dxfId="24" priority="2" operator="lessThan">
      <formula>C5*0.85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F86C-2F12-4D8C-9602-9CDAA9FAD1F2}">
  <sheetPr codeName="Sheet5"/>
  <dimension ref="A1:U218"/>
  <sheetViews>
    <sheetView zoomScale="70" zoomScaleNormal="10" workbookViewId="0">
      <pane xSplit="1" ySplit="2" topLeftCell="O80" activePane="bottomRight" state="frozen"/>
      <selection pane="topRight" activeCell="M13" sqref="M13"/>
      <selection pane="bottomLeft" activeCell="M13" sqref="M13"/>
      <selection pane="bottomRight" activeCell="D99" sqref="D99"/>
    </sheetView>
  </sheetViews>
  <sheetFormatPr defaultColWidth="9.109375" defaultRowHeight="14.4" x14ac:dyDescent="0.3"/>
  <cols>
    <col min="1" max="1" width="28" style="54" customWidth="1"/>
    <col min="2" max="2" width="22.88671875" style="52" bestFit="1" customWidth="1"/>
    <col min="3" max="15" width="13" style="52" customWidth="1"/>
    <col min="16" max="16" width="10.88671875" style="52" bestFit="1" customWidth="1"/>
    <col min="17" max="17" width="11.44140625" style="52" customWidth="1"/>
    <col min="18" max="16384" width="9.109375" style="52"/>
  </cols>
  <sheetData>
    <row r="1" spans="1:17" ht="32.25" customHeight="1" x14ac:dyDescent="0.6">
      <c r="A1" s="232" t="s">
        <v>150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17" x14ac:dyDescent="0.3">
      <c r="A2" s="68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69" t="s">
        <v>7</v>
      </c>
      <c r="J2" s="69" t="s">
        <v>8</v>
      </c>
      <c r="K2" s="69" t="s">
        <v>9</v>
      </c>
      <c r="L2" s="69" t="s">
        <v>10</v>
      </c>
      <c r="M2" s="69" t="s">
        <v>11</v>
      </c>
      <c r="N2" s="69" t="s">
        <v>12</v>
      </c>
      <c r="O2" s="69" t="s">
        <v>13</v>
      </c>
    </row>
    <row r="3" spans="1:17" s="102" customFormat="1" ht="14.4" customHeight="1" x14ac:dyDescent="0.25">
      <c r="A3" s="239" t="s">
        <v>15</v>
      </c>
      <c r="B3" s="181" t="s">
        <v>16</v>
      </c>
      <c r="C3" s="182">
        <f>SUMIFS(C$11:C960,$B$11:$B960,"Actual 2024")</f>
        <v>54961.34</v>
      </c>
      <c r="D3" s="182">
        <f>SUMIFS(D$11:D960,$B$11:$B960,"Actual 2024")</f>
        <v>52303.61</v>
      </c>
      <c r="E3" s="182">
        <f>SUMIFS(E$11:E960,$B$11:$B960,"Actual 2024")</f>
        <v>53970.61</v>
      </c>
      <c r="F3" s="182">
        <f>SUMIFS(F$11:F960,$B$11:$B960,"Actual 2024")</f>
        <v>62526.2</v>
      </c>
      <c r="G3" s="182">
        <f>SUMIFS(G$11:G960,$B$11:$B960,"Actual 2024")</f>
        <v>50448.93</v>
      </c>
      <c r="H3" s="182">
        <f>SUMIFS(H$11:H960,$B$11:$B960,"Actual 2024")</f>
        <v>33734.71</v>
      </c>
      <c r="I3" s="185">
        <f>SUMIFS(I$11:I960,$B$11:$B960,"Actual 2024")</f>
        <v>36157.39</v>
      </c>
      <c r="J3" s="185">
        <f>SUMIFS(J$11:J960,$B$11:$B960,"Actual 2024")</f>
        <v>43318.85</v>
      </c>
      <c r="K3" s="185">
        <f>SUMIFS(K$11:K960,$B$11:$B960,"Actual 2024")</f>
        <v>48044.149999999994</v>
      </c>
      <c r="L3" s="185">
        <f>SUMIFS(L$11:L960,$B$11:$B960,"Actual 2024")</f>
        <v>43316.749999999993</v>
      </c>
      <c r="M3" s="185">
        <f>SUMIFS(M$11:M960,$B$11:$B960,"Actual 2024")</f>
        <v>34350.509999999995</v>
      </c>
      <c r="N3" s="185">
        <f>SUMIFS(N$11:N960,$B$11:$B960,"Actual 2024")</f>
        <v>66324.239999999991</v>
      </c>
      <c r="O3" s="183">
        <f>SUMIFS(O$11:O960,$B$11:$B960,"Actual 2024")</f>
        <v>579457.29</v>
      </c>
      <c r="P3" s="131"/>
    </row>
    <row r="4" spans="1:17" s="102" customFormat="1" ht="14.4" customHeight="1" x14ac:dyDescent="0.25">
      <c r="A4" s="240"/>
      <c r="B4" s="184" t="s">
        <v>27</v>
      </c>
      <c r="C4" s="189">
        <f>SUMIFS(C$11:C960,$B$11:$B960,"Estimated")</f>
        <v>73939</v>
      </c>
      <c r="D4" s="189">
        <f>SUMIFS(D$11:D960,$B$11:$B960,"Estimated")</f>
        <v>58654</v>
      </c>
      <c r="E4" s="189">
        <f>SUMIFS(E$11:E960,$B$11:$B960,"Estimated")</f>
        <v>50860</v>
      </c>
      <c r="F4" s="189">
        <f>SUMIFS(F$11:F960,$B$11:$B960,"Estimated")</f>
        <v>64316</v>
      </c>
      <c r="G4" s="189">
        <f>SUMIFS(G$11:G960,$B$11:$B960,"Estimated")</f>
        <v>47360</v>
      </c>
      <c r="H4" s="189">
        <f>SUMIFS(H$11:H960,$B$11:$B960,"Estimated")</f>
        <v>42133</v>
      </c>
      <c r="I4" s="192">
        <f>SUMIFS(I$11:I960,$B$11:$B960,"Estimated")</f>
        <v>29860</v>
      </c>
      <c r="J4" s="192">
        <f>SUMIFS(J$11:J960,$B$11:$B960,"Estimated")</f>
        <v>43399</v>
      </c>
      <c r="K4" s="192">
        <f>SUMIFS(K$11:K960,$B$11:$B960,"Estimated")</f>
        <v>55360</v>
      </c>
      <c r="L4" s="192">
        <f>SUMIFS(L$11:L960,$B$11:$B960,"Estimated")</f>
        <v>45149</v>
      </c>
      <c r="M4" s="192">
        <f>SUMIFS(M$11:M960,$B$11:$B960,"Estimated")</f>
        <v>35760</v>
      </c>
      <c r="N4" s="192">
        <f>SUMIFS(N$11:N960,$B$11:$B960,"Estimated")</f>
        <v>58775</v>
      </c>
      <c r="O4" s="191">
        <f>SUMIFS(O$11:O960,$B$11:$B960,"Estimated")</f>
        <v>605565</v>
      </c>
      <c r="P4" s="131"/>
      <c r="Q4" s="131">
        <f>O4-O3</f>
        <v>26107.709999999963</v>
      </c>
    </row>
    <row r="5" spans="1:17" s="166" customFormat="1" ht="14.4" customHeight="1" x14ac:dyDescent="0.3">
      <c r="A5" s="240"/>
      <c r="B5" s="162" t="s">
        <v>18</v>
      </c>
      <c r="C5" s="171">
        <v>75939</v>
      </c>
      <c r="D5" s="171">
        <v>58654</v>
      </c>
      <c r="E5" s="171">
        <v>50860</v>
      </c>
      <c r="F5" s="171">
        <v>66316</v>
      </c>
      <c r="G5" s="171">
        <v>47360</v>
      </c>
      <c r="H5" s="171">
        <v>42133</v>
      </c>
      <c r="I5" s="167">
        <v>31860</v>
      </c>
      <c r="J5" s="167">
        <v>43399</v>
      </c>
      <c r="K5" s="167">
        <v>55360</v>
      </c>
      <c r="L5" s="167">
        <v>47149</v>
      </c>
      <c r="M5" s="167">
        <v>35760</v>
      </c>
      <c r="N5" s="167">
        <v>58775</v>
      </c>
      <c r="O5" s="173">
        <f>SUM(C5:N5)</f>
        <v>613565</v>
      </c>
      <c r="P5" s="165">
        <v>613565</v>
      </c>
    </row>
    <row r="6" spans="1:17" s="166" customFormat="1" ht="15" thickBot="1" x14ac:dyDescent="0.35">
      <c r="A6" s="241"/>
      <c r="B6" s="174" t="s">
        <v>19</v>
      </c>
      <c r="C6" s="175">
        <f>SUMIFS(C$11:C969,$B$11:$B969,"Actual")</f>
        <v>48578.52</v>
      </c>
      <c r="D6" s="175">
        <f>SUMIFS(D$11:D969,$B$11:$B969,"Actual")</f>
        <v>47324.93</v>
      </c>
      <c r="E6" s="175">
        <f>SUMIFS(E$11:E969,$B$11:$B969,"Actual")</f>
        <v>43482.71</v>
      </c>
      <c r="F6" s="175">
        <f>SUMIFS(F$11:F969,$B$11:$B969,"Actual")</f>
        <v>73020.92</v>
      </c>
      <c r="G6" s="175">
        <f>SUMIFS(G$11:G969,$B$11:$B969,"Actual")</f>
        <v>35157.549999999996</v>
      </c>
      <c r="H6" s="175">
        <f>SUMIFS(H$11:H969,$B$11:$B969,"Actual")</f>
        <v>57157.04</v>
      </c>
      <c r="I6" s="177">
        <f>SUMIFS(I$11:I969,$B$11:$B969,"Actual")</f>
        <v>37818.82</v>
      </c>
      <c r="J6" s="177">
        <f>SUMIFS(J$11:J969,$B$11:$B969,"Actual")</f>
        <v>50222.33</v>
      </c>
      <c r="K6" s="177">
        <f>SUMIFS(K$11:K969,$B$11:$B969,"Actual")</f>
        <v>47988.46</v>
      </c>
      <c r="L6" s="177">
        <f>SUMIFS(L$11:L969,$B$11:$B969,"Actual")</f>
        <v>51220.909999999996</v>
      </c>
      <c r="M6" s="177">
        <f>SUMIFS(M$11:M969,$B$11:$B969,"Actual")</f>
        <v>0</v>
      </c>
      <c r="N6" s="177">
        <f>SUMIFS(N$11:N969,$B$11:$B969,"Actual")</f>
        <v>0</v>
      </c>
      <c r="O6" s="176">
        <f>SUMIFS(O$11:O969,$B$11:$B969,"Actual")</f>
        <v>491972.18999999989</v>
      </c>
      <c r="P6" s="180"/>
      <c r="Q6" s="180">
        <f>O6-P6</f>
        <v>491972.18999999989</v>
      </c>
    </row>
    <row r="7" spans="1:17" s="64" customFormat="1" ht="15" thickTop="1" x14ac:dyDescent="0.3">
      <c r="A7" s="134"/>
      <c r="B7" s="70" t="s">
        <v>21</v>
      </c>
      <c r="C7" s="60">
        <f t="shared" ref="C7:I7" si="0">C5-C6</f>
        <v>27360.480000000003</v>
      </c>
      <c r="D7" s="60">
        <f t="shared" si="0"/>
        <v>11329.07</v>
      </c>
      <c r="E7" s="60">
        <f t="shared" si="0"/>
        <v>7377.2900000000009</v>
      </c>
      <c r="F7" s="60">
        <f t="shared" si="0"/>
        <v>-6704.9199999999983</v>
      </c>
      <c r="G7" s="60">
        <f t="shared" si="0"/>
        <v>12202.450000000004</v>
      </c>
      <c r="H7" s="60">
        <f t="shared" si="0"/>
        <v>-15024.04</v>
      </c>
      <c r="I7" s="60">
        <f t="shared" si="0"/>
        <v>-5958.82</v>
      </c>
      <c r="J7" s="60">
        <f t="shared" ref="J7:N7" si="1">J5-J6</f>
        <v>-6823.3300000000017</v>
      </c>
      <c r="K7" s="60">
        <f t="shared" si="1"/>
        <v>7371.5400000000009</v>
      </c>
      <c r="L7" s="60">
        <f t="shared" si="1"/>
        <v>-4071.9099999999962</v>
      </c>
      <c r="M7" s="60">
        <f t="shared" si="1"/>
        <v>35760</v>
      </c>
      <c r="N7" s="60">
        <f t="shared" si="1"/>
        <v>58775</v>
      </c>
      <c r="O7" s="75">
        <f>O5-O6</f>
        <v>121592.81000000011</v>
      </c>
    </row>
    <row r="8" spans="1:17" s="142" customFormat="1" x14ac:dyDescent="0.3">
      <c r="A8" s="138"/>
      <c r="B8" s="139" t="s">
        <v>23</v>
      </c>
      <c r="C8" s="140">
        <f>SUM($C6:C6)</f>
        <v>48578.52</v>
      </c>
      <c r="D8" s="140">
        <f>SUM($C6:D6)</f>
        <v>95903.45</v>
      </c>
      <c r="E8" s="140">
        <f>SUM($C6:E6)</f>
        <v>139386.16</v>
      </c>
      <c r="F8" s="140">
        <f>SUM($C6:F6)</f>
        <v>212407.08000000002</v>
      </c>
      <c r="G8" s="140">
        <f>SUM($C6:G6)</f>
        <v>247564.63</v>
      </c>
      <c r="H8" s="140">
        <f>SUM($C6:H6)</f>
        <v>304721.67</v>
      </c>
      <c r="I8" s="140">
        <f>SUM($C6:I6)</f>
        <v>342540.49</v>
      </c>
      <c r="J8" s="140">
        <f>SUM($C6:J6)</f>
        <v>392762.82</v>
      </c>
      <c r="K8" s="140">
        <f>SUM($C6:K6)</f>
        <v>440751.28</v>
      </c>
      <c r="L8" s="140">
        <f>SUM($C6:L6)</f>
        <v>491972.19</v>
      </c>
      <c r="M8" s="140">
        <f>SUM($C6:M6)</f>
        <v>491972.19</v>
      </c>
      <c r="N8" s="140">
        <f>SUM($C6:N6)</f>
        <v>491972.19</v>
      </c>
      <c r="O8" s="141">
        <f>O6</f>
        <v>491972.18999999989</v>
      </c>
    </row>
    <row r="9" spans="1:17" s="142" customFormat="1" x14ac:dyDescent="0.3">
      <c r="A9" s="143"/>
      <c r="B9" s="144" t="s">
        <v>25</v>
      </c>
      <c r="C9" s="145">
        <f>SUM($C5:C5)-C8</f>
        <v>27360.480000000003</v>
      </c>
      <c r="D9" s="145">
        <f>SUM($C5:D5)-D8</f>
        <v>38689.550000000003</v>
      </c>
      <c r="E9" s="145">
        <f>SUM($C5:E5)-E8</f>
        <v>46066.84</v>
      </c>
      <c r="F9" s="145">
        <f>SUM($C5:F5)-F8</f>
        <v>39361.919999999984</v>
      </c>
      <c r="G9" s="145">
        <f>SUM($C5:G5)-G8</f>
        <v>51564.369999999995</v>
      </c>
      <c r="H9" s="145">
        <f>SUM($C5:H5)-H8</f>
        <v>36540.330000000016</v>
      </c>
      <c r="I9" s="145">
        <f>SUM($C5:I5)-I8</f>
        <v>30581.510000000009</v>
      </c>
      <c r="J9" s="145">
        <f>SUM($C5:J5)-J8</f>
        <v>23758.179999999993</v>
      </c>
      <c r="K9" s="145">
        <f>SUM($C5:K5)-K8</f>
        <v>31129.719999999972</v>
      </c>
      <c r="L9" s="145">
        <f>SUM($C5:L5)-L8</f>
        <v>27057.809999999998</v>
      </c>
      <c r="M9" s="145">
        <f>SUM($C5:M5)-M8</f>
        <v>62817.81</v>
      </c>
      <c r="N9" s="145">
        <f>SUM($C5:N5)-N8</f>
        <v>121592.81</v>
      </c>
      <c r="O9" s="146"/>
    </row>
    <row r="10" spans="1:17" x14ac:dyDescent="0.3"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7" s="102" customFormat="1" ht="12" x14ac:dyDescent="0.25">
      <c r="A11" s="235" t="s">
        <v>151</v>
      </c>
      <c r="B11" s="99" t="s">
        <v>16</v>
      </c>
      <c r="C11" s="100">
        <v>44302</v>
      </c>
      <c r="D11" s="100">
        <v>32940</v>
      </c>
      <c r="E11" s="100">
        <v>27857</v>
      </c>
      <c r="F11" s="100">
        <v>33380</v>
      </c>
      <c r="G11" s="100">
        <v>27856.53</v>
      </c>
      <c r="H11" s="100">
        <v>33380</v>
      </c>
      <c r="I11" s="100">
        <v>27857</v>
      </c>
      <c r="J11" s="100">
        <v>33380</v>
      </c>
      <c r="K11" s="100">
        <v>27857</v>
      </c>
      <c r="L11" s="100">
        <v>33380.089999999997</v>
      </c>
      <c r="M11" s="100">
        <v>27856.53</v>
      </c>
      <c r="N11" s="100">
        <v>56044.4</v>
      </c>
      <c r="O11" s="103">
        <f t="shared" ref="O11:O37" si="2">SUM(C11:N11)</f>
        <v>406090.55000000005</v>
      </c>
    </row>
    <row r="12" spans="1:17" s="102" customFormat="1" ht="12" x14ac:dyDescent="0.25">
      <c r="A12" s="235"/>
      <c r="B12" s="99" t="s">
        <v>29</v>
      </c>
      <c r="C12" s="100">
        <v>45639</v>
      </c>
      <c r="D12" s="100">
        <v>41293</v>
      </c>
      <c r="E12" s="100">
        <v>29260</v>
      </c>
      <c r="F12" s="100">
        <v>34783</v>
      </c>
      <c r="G12" s="100">
        <v>29260</v>
      </c>
      <c r="H12" s="100">
        <v>34783</v>
      </c>
      <c r="I12" s="100">
        <v>29260</v>
      </c>
      <c r="J12" s="100">
        <v>34783</v>
      </c>
      <c r="K12" s="100">
        <v>29260</v>
      </c>
      <c r="L12" s="100">
        <v>34783</v>
      </c>
      <c r="M12" s="100">
        <v>29260</v>
      </c>
      <c r="N12" s="100">
        <v>46509</v>
      </c>
      <c r="O12" s="103">
        <f>SUM(C12:N12)</f>
        <v>418873</v>
      </c>
    </row>
    <row r="13" spans="1:17" s="67" customFormat="1" ht="12.6" customHeight="1" x14ac:dyDescent="0.3">
      <c r="A13" s="155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66">
        <f t="shared" si="2"/>
        <v>0</v>
      </c>
    </row>
    <row r="14" spans="1:17" s="67" customFormat="1" ht="12.6" customHeight="1" x14ac:dyDescent="0.3">
      <c r="A14" s="156"/>
      <c r="B14" s="116" t="s">
        <v>32</v>
      </c>
      <c r="C14" s="117">
        <v>39146.58</v>
      </c>
      <c r="D14" s="117">
        <v>29277.48</v>
      </c>
      <c r="E14" s="117">
        <v>28753.919999999998</v>
      </c>
      <c r="F14" s="117">
        <v>46267</v>
      </c>
      <c r="G14" s="117">
        <v>29259.67</v>
      </c>
      <c r="H14" s="122">
        <v>34783.230000000003</v>
      </c>
      <c r="I14" s="199">
        <f>29259.67</f>
        <v>29259.67</v>
      </c>
      <c r="J14" s="117">
        <v>34783.230000000003</v>
      </c>
      <c r="K14" s="117">
        <v>37147.629999999997</v>
      </c>
      <c r="L14" s="117">
        <v>37173.81</v>
      </c>
      <c r="M14" s="117"/>
      <c r="N14" s="117"/>
      <c r="O14" s="118">
        <f>SUM(C14:N14)</f>
        <v>345852.22</v>
      </c>
    </row>
    <row r="15" spans="1:17" s="102" customFormat="1" ht="12" x14ac:dyDescent="0.25">
      <c r="A15" s="236" t="s">
        <v>152</v>
      </c>
      <c r="B15" s="99" t="s">
        <v>16</v>
      </c>
      <c r="C15" s="100">
        <v>10383.24</v>
      </c>
      <c r="D15" s="100">
        <v>19113.61</v>
      </c>
      <c r="E15" s="100">
        <v>19113.61</v>
      </c>
      <c r="F15" s="100">
        <v>25942.2</v>
      </c>
      <c r="G15" s="100">
        <v>22342.400000000001</v>
      </c>
      <c r="H15" s="100">
        <v>104.71</v>
      </c>
      <c r="I15" s="100">
        <v>104.71</v>
      </c>
      <c r="J15" s="100">
        <v>9688.85</v>
      </c>
      <c r="K15" s="100">
        <v>18291.259999999998</v>
      </c>
      <c r="L15" s="100">
        <v>5549.74</v>
      </c>
      <c r="M15" s="100">
        <v>4149.74</v>
      </c>
      <c r="N15" s="100">
        <v>6364.92</v>
      </c>
      <c r="O15" s="103">
        <f t="shared" si="2"/>
        <v>141148.99000000002</v>
      </c>
    </row>
    <row r="16" spans="1:17" s="102" customFormat="1" ht="12" x14ac:dyDescent="0.25">
      <c r="A16" s="235"/>
      <c r="B16" s="99" t="s">
        <v>29</v>
      </c>
      <c r="C16" s="100">
        <v>11000</v>
      </c>
      <c r="D16" s="100">
        <v>16000</v>
      </c>
      <c r="E16" s="100">
        <v>15000</v>
      </c>
      <c r="F16" s="100">
        <v>25000</v>
      </c>
      <c r="G16" s="100">
        <v>15000</v>
      </c>
      <c r="H16" s="100">
        <v>0</v>
      </c>
      <c r="I16" s="100">
        <v>0</v>
      </c>
      <c r="J16" s="100">
        <v>8016</v>
      </c>
      <c r="K16" s="100">
        <v>22000</v>
      </c>
      <c r="L16" s="100">
        <v>6766</v>
      </c>
      <c r="M16" s="100">
        <v>5900</v>
      </c>
      <c r="N16" s="100">
        <v>11666</v>
      </c>
      <c r="O16" s="103">
        <f>SUM(C16:N16)</f>
        <v>136348</v>
      </c>
    </row>
    <row r="17" spans="1:15" s="67" customFormat="1" ht="12.6" customHeight="1" x14ac:dyDescent="0.3">
      <c r="A17" s="155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>
        <f t="shared" si="2"/>
        <v>0</v>
      </c>
    </row>
    <row r="18" spans="1:15" s="67" customFormat="1" ht="12.6" customHeight="1" x14ac:dyDescent="0.3">
      <c r="A18" s="156"/>
      <c r="B18" s="116" t="s">
        <v>32</v>
      </c>
      <c r="C18" s="117">
        <v>837.7</v>
      </c>
      <c r="D18" s="117">
        <v>16037.69</v>
      </c>
      <c r="E18" s="117">
        <v>8184.29</v>
      </c>
      <c r="F18" s="117">
        <f>73020.92-46267</f>
        <v>26753.919999999998</v>
      </c>
      <c r="G18" s="117">
        <v>5897.88</v>
      </c>
      <c r="H18" s="122">
        <v>19283.75</v>
      </c>
      <c r="I18" s="117">
        <f>8559.15</f>
        <v>8559.15</v>
      </c>
      <c r="J18" s="117">
        <v>0</v>
      </c>
      <c r="K18" s="117">
        <v>8647.1200000000008</v>
      </c>
      <c r="L18" s="117">
        <v>9847.1</v>
      </c>
      <c r="M18" s="117"/>
      <c r="N18" s="117"/>
      <c r="O18" s="118">
        <f t="shared" si="2"/>
        <v>104048.59999999999</v>
      </c>
    </row>
    <row r="19" spans="1:15" s="102" customFormat="1" ht="14.4" customHeight="1" x14ac:dyDescent="0.25">
      <c r="A19" s="236" t="s">
        <v>153</v>
      </c>
      <c r="B19" s="99" t="s">
        <v>16</v>
      </c>
      <c r="C19" s="100"/>
      <c r="D19" s="100"/>
      <c r="E19" s="100">
        <v>6750</v>
      </c>
      <c r="F19" s="100"/>
      <c r="G19" s="100"/>
      <c r="H19" s="100"/>
      <c r="I19" s="100"/>
      <c r="J19" s="100"/>
      <c r="K19" s="100"/>
      <c r="L19" s="100"/>
      <c r="M19" s="100"/>
      <c r="N19" s="100"/>
      <c r="O19" s="103">
        <f t="shared" ref="O19:O26" si="3">SUM(C19:N19)</f>
        <v>6750</v>
      </c>
    </row>
    <row r="20" spans="1:15" s="102" customFormat="1" ht="12" x14ac:dyDescent="0.25">
      <c r="A20" s="235"/>
      <c r="B20" s="99" t="s">
        <v>29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6750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3">
        <f>SUM(C20:N20)</f>
        <v>6750</v>
      </c>
    </row>
    <row r="21" spans="1:15" s="67" customFormat="1" ht="12.6" customHeight="1" x14ac:dyDescent="0.3">
      <c r="A21" s="154"/>
      <c r="B21" s="65" t="s">
        <v>31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66">
        <f t="shared" si="3"/>
        <v>0</v>
      </c>
    </row>
    <row r="22" spans="1:15" s="67" customFormat="1" ht="12.6" customHeight="1" x14ac:dyDescent="0.3">
      <c r="A22" s="157"/>
      <c r="B22" s="116" t="s">
        <v>32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8">
        <f t="shared" si="3"/>
        <v>0</v>
      </c>
    </row>
    <row r="23" spans="1:15" s="102" customFormat="1" ht="24" customHeight="1" x14ac:dyDescent="0.25">
      <c r="A23" s="236" t="s">
        <v>154</v>
      </c>
      <c r="B23" s="99" t="s">
        <v>16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3">
        <f t="shared" si="3"/>
        <v>0</v>
      </c>
    </row>
    <row r="24" spans="1:15" s="102" customFormat="1" ht="12" x14ac:dyDescent="0.25">
      <c r="A24" s="235"/>
      <c r="B24" s="99" t="s">
        <v>29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>
        <v>0</v>
      </c>
      <c r="N24" s="100">
        <v>0</v>
      </c>
      <c r="O24" s="103">
        <f>SUM(C24:N24)</f>
        <v>0</v>
      </c>
    </row>
    <row r="25" spans="1:15" s="67" customFormat="1" ht="12.6" customHeight="1" x14ac:dyDescent="0.3">
      <c r="A25" s="154"/>
      <c r="B25" s="65" t="s">
        <v>31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66">
        <f t="shared" si="3"/>
        <v>0</v>
      </c>
    </row>
    <row r="26" spans="1:15" s="67" customFormat="1" ht="12.6" customHeight="1" x14ac:dyDescent="0.3">
      <c r="A26" s="157"/>
      <c r="B26" s="116" t="s">
        <v>32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8">
        <f t="shared" si="3"/>
        <v>0</v>
      </c>
    </row>
    <row r="27" spans="1:15" s="102" customFormat="1" ht="12" x14ac:dyDescent="0.25">
      <c r="A27" s="236" t="s">
        <v>155</v>
      </c>
      <c r="B27" s="99" t="s">
        <v>16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3">
        <f t="shared" si="2"/>
        <v>0</v>
      </c>
    </row>
    <row r="28" spans="1:15" s="102" customFormat="1" ht="12" x14ac:dyDescent="0.25">
      <c r="A28" s="235"/>
      <c r="B28" s="99" t="s">
        <v>29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100">
        <v>0</v>
      </c>
      <c r="N28" s="100">
        <v>0</v>
      </c>
      <c r="O28" s="103">
        <f>SUM(C28:N28)</f>
        <v>0</v>
      </c>
    </row>
    <row r="29" spans="1:15" s="67" customFormat="1" ht="12.6" customHeight="1" x14ac:dyDescent="0.3">
      <c r="A29" s="155"/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66">
        <f t="shared" si="2"/>
        <v>0</v>
      </c>
    </row>
    <row r="30" spans="1:15" s="67" customFormat="1" ht="12.6" customHeight="1" x14ac:dyDescent="0.3">
      <c r="A30" s="156"/>
      <c r="B30" s="116" t="s">
        <v>32</v>
      </c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8">
        <f t="shared" si="2"/>
        <v>0</v>
      </c>
    </row>
    <row r="31" spans="1:15" s="102" customFormat="1" ht="12" x14ac:dyDescent="0.25">
      <c r="A31" s="236" t="s">
        <v>156</v>
      </c>
      <c r="B31" s="99" t="s">
        <v>16</v>
      </c>
      <c r="C31" s="100">
        <v>17.350000000000001</v>
      </c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3">
        <f t="shared" si="2"/>
        <v>17.350000000000001</v>
      </c>
    </row>
    <row r="32" spans="1:15" s="102" customFormat="1" ht="12" x14ac:dyDescent="0.25">
      <c r="A32" s="235"/>
      <c r="B32" s="99" t="s">
        <v>29</v>
      </c>
      <c r="C32" s="100">
        <f t="shared" ref="C32:N32" si="4">IF(ISBLANK(C34),C33,C34)</f>
        <v>0</v>
      </c>
      <c r="D32" s="100">
        <f t="shared" si="4"/>
        <v>0</v>
      </c>
      <c r="E32" s="100">
        <f t="shared" si="4"/>
        <v>0</v>
      </c>
      <c r="F32" s="100">
        <f t="shared" si="4"/>
        <v>0</v>
      </c>
      <c r="G32" s="100">
        <f t="shared" si="4"/>
        <v>0</v>
      </c>
      <c r="H32" s="100">
        <f t="shared" si="4"/>
        <v>0</v>
      </c>
      <c r="I32" s="100">
        <f t="shared" si="4"/>
        <v>0</v>
      </c>
      <c r="J32" s="100">
        <f t="shared" si="4"/>
        <v>0</v>
      </c>
      <c r="K32" s="100">
        <f t="shared" si="4"/>
        <v>0</v>
      </c>
      <c r="L32" s="100">
        <f t="shared" si="4"/>
        <v>0</v>
      </c>
      <c r="M32" s="100">
        <f t="shared" si="4"/>
        <v>0</v>
      </c>
      <c r="N32" s="100">
        <f t="shared" si="4"/>
        <v>0</v>
      </c>
      <c r="O32" s="103">
        <f>SUM(C32:N32)</f>
        <v>0</v>
      </c>
    </row>
    <row r="33" spans="1:15" s="67" customFormat="1" ht="12.6" customHeight="1" x14ac:dyDescent="0.3">
      <c r="A33" s="154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 t="shared" si="2"/>
        <v>0</v>
      </c>
    </row>
    <row r="34" spans="1:15" s="67" customFormat="1" ht="12.6" customHeight="1" x14ac:dyDescent="0.3">
      <c r="A34" s="157"/>
      <c r="B34" s="116" t="s">
        <v>32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8">
        <f t="shared" si="2"/>
        <v>0</v>
      </c>
    </row>
    <row r="35" spans="1:15" s="102" customFormat="1" ht="12" x14ac:dyDescent="0.25">
      <c r="A35" s="236" t="s">
        <v>157</v>
      </c>
      <c r="B35" s="99" t="s">
        <v>16</v>
      </c>
      <c r="C35" s="100">
        <v>258.75</v>
      </c>
      <c r="D35" s="100">
        <v>250</v>
      </c>
      <c r="E35" s="100">
        <v>250</v>
      </c>
      <c r="F35" s="100">
        <v>250</v>
      </c>
      <c r="G35" s="100">
        <v>250</v>
      </c>
      <c r="H35" s="100">
        <v>250</v>
      </c>
      <c r="I35" s="100">
        <v>250</v>
      </c>
      <c r="J35" s="100">
        <v>250</v>
      </c>
      <c r="K35" s="100">
        <v>250</v>
      </c>
      <c r="L35" s="100">
        <v>250</v>
      </c>
      <c r="M35" s="100">
        <v>250</v>
      </c>
      <c r="N35" s="100">
        <v>250</v>
      </c>
      <c r="O35" s="103">
        <f t="shared" si="2"/>
        <v>3008.75</v>
      </c>
    </row>
    <row r="36" spans="1:15" s="102" customFormat="1" ht="12" x14ac:dyDescent="0.25">
      <c r="A36" s="235"/>
      <c r="B36" s="99" t="s">
        <v>29</v>
      </c>
      <c r="C36" s="100">
        <f t="shared" ref="C36:N36" si="5">IF(ISBLANK(C38),C37,C38)</f>
        <v>0</v>
      </c>
      <c r="D36" s="100">
        <f t="shared" si="5"/>
        <v>0</v>
      </c>
      <c r="E36" s="100">
        <f t="shared" si="5"/>
        <v>0</v>
      </c>
      <c r="F36" s="100">
        <f t="shared" si="5"/>
        <v>0</v>
      </c>
      <c r="G36" s="100">
        <f t="shared" si="5"/>
        <v>0</v>
      </c>
      <c r="H36" s="100">
        <f t="shared" si="5"/>
        <v>0</v>
      </c>
      <c r="I36" s="100">
        <f t="shared" si="5"/>
        <v>0</v>
      </c>
      <c r="J36" s="100">
        <f t="shared" si="5"/>
        <v>0</v>
      </c>
      <c r="K36" s="100">
        <f t="shared" si="5"/>
        <v>0</v>
      </c>
      <c r="L36" s="100">
        <f t="shared" si="5"/>
        <v>0</v>
      </c>
      <c r="M36" s="100">
        <f t="shared" si="5"/>
        <v>0</v>
      </c>
      <c r="N36" s="100">
        <f t="shared" si="5"/>
        <v>0</v>
      </c>
      <c r="O36" s="103">
        <f>SUM(C36:N36)</f>
        <v>0</v>
      </c>
    </row>
    <row r="37" spans="1:15" s="67" customFormat="1" ht="12.6" customHeight="1" x14ac:dyDescent="0.3">
      <c r="A37" s="154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 t="shared" si="2"/>
        <v>0</v>
      </c>
    </row>
    <row r="38" spans="1:15" s="67" customFormat="1" ht="12.6" customHeight="1" x14ac:dyDescent="0.3">
      <c r="A38" s="157"/>
      <c r="B38" s="116" t="s">
        <v>32</v>
      </c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>
        <f>SUM(C38:N38)</f>
        <v>0</v>
      </c>
    </row>
    <row r="39" spans="1:15" s="102" customFormat="1" ht="12" x14ac:dyDescent="0.25">
      <c r="A39" s="236" t="s">
        <v>158</v>
      </c>
      <c r="B39" s="99" t="s">
        <v>16</v>
      </c>
      <c r="C39" s="100"/>
      <c r="D39" s="100"/>
      <c r="E39" s="100"/>
      <c r="F39" s="100"/>
      <c r="G39" s="100"/>
      <c r="H39" s="100"/>
      <c r="I39" s="100">
        <v>375</v>
      </c>
      <c r="J39" s="100"/>
      <c r="K39" s="100"/>
      <c r="L39" s="100"/>
      <c r="M39" s="100"/>
      <c r="N39" s="100"/>
      <c r="O39" s="103">
        <f t="shared" ref="O39:O50" si="6">SUM(C39:N39)</f>
        <v>375</v>
      </c>
    </row>
    <row r="40" spans="1:15" s="102" customFormat="1" ht="12" x14ac:dyDescent="0.25">
      <c r="A40" s="235"/>
      <c r="B40" s="99" t="s">
        <v>29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100">
        <v>0</v>
      </c>
      <c r="N40" s="100">
        <v>0</v>
      </c>
      <c r="O40" s="103">
        <f>SUM(C40:N40)</f>
        <v>0</v>
      </c>
    </row>
    <row r="41" spans="1:15" s="64" customFormat="1" ht="12.6" customHeight="1" x14ac:dyDescent="0.3">
      <c r="A41" s="154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 t="shared" si="6"/>
        <v>0</v>
      </c>
    </row>
    <row r="42" spans="1:15" s="64" customFormat="1" ht="12.6" customHeight="1" x14ac:dyDescent="0.3">
      <c r="A42" s="157"/>
      <c r="B42" s="7" t="s">
        <v>32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24">
        <f t="shared" si="6"/>
        <v>0</v>
      </c>
    </row>
    <row r="43" spans="1:15" s="102" customFormat="1" ht="12" x14ac:dyDescent="0.25">
      <c r="A43" s="236" t="s">
        <v>159</v>
      </c>
      <c r="B43" s="99" t="s">
        <v>16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>
        <v>2787.2</v>
      </c>
      <c r="M43" s="100"/>
      <c r="N43" s="100"/>
      <c r="O43" s="103">
        <f t="shared" si="6"/>
        <v>2787.2</v>
      </c>
    </row>
    <row r="44" spans="1:15" s="102" customFormat="1" ht="12" x14ac:dyDescent="0.25">
      <c r="A44" s="235"/>
      <c r="B44" s="99" t="s">
        <v>29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100">
        <v>0</v>
      </c>
      <c r="N44" s="100">
        <v>0</v>
      </c>
      <c r="O44" s="103">
        <f>SUM(C44:N44)</f>
        <v>0</v>
      </c>
    </row>
    <row r="45" spans="1:15" s="64" customFormat="1" ht="12.6" customHeight="1" x14ac:dyDescent="0.3">
      <c r="A45" s="154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 t="shared" si="6"/>
        <v>0</v>
      </c>
    </row>
    <row r="46" spans="1:15" s="64" customFormat="1" ht="12.6" customHeight="1" x14ac:dyDescent="0.3">
      <c r="A46" s="157"/>
      <c r="B46" s="7" t="s">
        <v>32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24">
        <f t="shared" si="6"/>
        <v>0</v>
      </c>
    </row>
    <row r="47" spans="1:15" s="102" customFormat="1" ht="12" x14ac:dyDescent="0.25">
      <c r="A47" s="236" t="s">
        <v>160</v>
      </c>
      <c r="B47" s="99" t="s">
        <v>16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>
        <v>2094.2399999999998</v>
      </c>
      <c r="N47" s="100">
        <v>2094.2399999999998</v>
      </c>
      <c r="O47" s="103">
        <f t="shared" si="6"/>
        <v>4188.4799999999996</v>
      </c>
    </row>
    <row r="48" spans="1:15" s="102" customFormat="1" ht="12" x14ac:dyDescent="0.25">
      <c r="A48" s="235"/>
      <c r="B48" s="99" t="s">
        <v>29</v>
      </c>
      <c r="C48" s="100">
        <v>6300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3">
        <f>SUM(C48:N48)</f>
        <v>6300</v>
      </c>
    </row>
    <row r="49" spans="1:21" s="64" customFormat="1" ht="12.6" customHeight="1" x14ac:dyDescent="0.3">
      <c r="A49" s="155"/>
      <c r="B49" s="5" t="s">
        <v>31</v>
      </c>
      <c r="C49" s="12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 t="shared" si="6"/>
        <v>0</v>
      </c>
    </row>
    <row r="50" spans="1:21" s="64" customFormat="1" ht="12.6" customHeight="1" x14ac:dyDescent="0.3">
      <c r="A50" s="156"/>
      <c r="B50" s="7" t="s">
        <v>32</v>
      </c>
      <c r="C50" s="114">
        <v>2094.2399999999998</v>
      </c>
      <c r="D50" s="114">
        <v>732.98</v>
      </c>
      <c r="E50" s="114"/>
      <c r="F50" s="114"/>
      <c r="G50" s="114"/>
      <c r="H50" s="114"/>
      <c r="I50" s="114"/>
      <c r="J50" s="114">
        <v>1701.57</v>
      </c>
      <c r="K50" s="114">
        <v>1701.57</v>
      </c>
      <c r="L50" s="114"/>
      <c r="M50" s="114"/>
      <c r="N50" s="114"/>
      <c r="O50" s="24">
        <f t="shared" si="6"/>
        <v>6230.36</v>
      </c>
    </row>
    <row r="51" spans="1:21" s="102" customFormat="1" ht="12" x14ac:dyDescent="0.25">
      <c r="A51" s="236" t="s">
        <v>161</v>
      </c>
      <c r="B51" s="99" t="s">
        <v>16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3">
        <f t="shared" ref="O51:O54" si="7">SUM(C51:N51)</f>
        <v>0</v>
      </c>
    </row>
    <row r="52" spans="1:21" s="102" customFormat="1" ht="12" x14ac:dyDescent="0.25">
      <c r="A52" s="235"/>
      <c r="B52" s="99" t="s">
        <v>29</v>
      </c>
      <c r="C52" s="100">
        <v>4200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0</v>
      </c>
      <c r="N52" s="100">
        <v>0</v>
      </c>
      <c r="O52" s="103">
        <f>SUM(C52:N52)</f>
        <v>4200</v>
      </c>
    </row>
    <row r="53" spans="1:21" s="64" customFormat="1" ht="12.6" customHeight="1" x14ac:dyDescent="0.3">
      <c r="A53" s="155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 t="shared" si="7"/>
        <v>0</v>
      </c>
    </row>
    <row r="54" spans="1:21" s="64" customFormat="1" ht="12.6" customHeight="1" x14ac:dyDescent="0.3">
      <c r="A54" s="156"/>
      <c r="B54" s="7" t="s">
        <v>32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24">
        <f t="shared" si="7"/>
        <v>0</v>
      </c>
    </row>
    <row r="55" spans="1:21" s="102" customFormat="1" ht="14.4" customHeight="1" x14ac:dyDescent="0.25">
      <c r="A55" s="236" t="s">
        <v>162</v>
      </c>
      <c r="B55" s="99" t="s">
        <v>16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>
        <v>1570.68</v>
      </c>
      <c r="O55" s="103">
        <f t="shared" ref="O55:O58" si="8">SUM(C55:N55)</f>
        <v>1570.68</v>
      </c>
    </row>
    <row r="56" spans="1:21" s="102" customFormat="1" ht="12" x14ac:dyDescent="0.25">
      <c r="A56" s="235"/>
      <c r="B56" s="99" t="s">
        <v>29</v>
      </c>
      <c r="C56" s="100">
        <v>6200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3">
        <f>SUM(C56:N56)</f>
        <v>6200</v>
      </c>
    </row>
    <row r="57" spans="1:21" s="64" customFormat="1" ht="12.6" customHeight="1" x14ac:dyDescent="0.3">
      <c r="A57" s="155"/>
      <c r="B57" s="5" t="s">
        <v>31</v>
      </c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7">
        <f t="shared" si="8"/>
        <v>0</v>
      </c>
    </row>
    <row r="58" spans="1:21" s="64" customFormat="1" ht="12.6" customHeight="1" x14ac:dyDescent="0.3">
      <c r="A58" s="156"/>
      <c r="B58" s="7" t="s">
        <v>32</v>
      </c>
      <c r="C58" s="114"/>
      <c r="D58" s="114"/>
      <c r="E58" s="114">
        <v>6282.72</v>
      </c>
      <c r="F58" s="114"/>
      <c r="G58" s="114"/>
      <c r="H58" s="114"/>
      <c r="I58" s="114"/>
      <c r="J58" s="114"/>
      <c r="K58" s="114"/>
      <c r="L58" s="114"/>
      <c r="M58" s="114"/>
      <c r="N58" s="114"/>
      <c r="O58" s="24">
        <f t="shared" si="8"/>
        <v>6282.72</v>
      </c>
    </row>
    <row r="59" spans="1:21" s="102" customFormat="1" ht="12" x14ac:dyDescent="0.25">
      <c r="A59" s="236" t="s">
        <v>163</v>
      </c>
      <c r="B59" s="99" t="s">
        <v>16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3">
        <f t="shared" ref="O59:O62" si="9">SUM(C59:N59)</f>
        <v>0</v>
      </c>
    </row>
    <row r="60" spans="1:21" s="102" customFormat="1" ht="12" x14ac:dyDescent="0.25">
      <c r="A60" s="235"/>
      <c r="B60" s="99" t="s">
        <v>29</v>
      </c>
      <c r="C60" s="100">
        <v>0</v>
      </c>
      <c r="D60" s="100">
        <v>0</v>
      </c>
      <c r="E60" s="100">
        <v>0</v>
      </c>
      <c r="F60" s="100">
        <v>0</v>
      </c>
      <c r="G60" s="100">
        <v>1500</v>
      </c>
      <c r="H60" s="100">
        <v>0</v>
      </c>
      <c r="I60" s="100">
        <v>0</v>
      </c>
      <c r="J60" s="100">
        <v>0</v>
      </c>
      <c r="K60" s="100">
        <v>0</v>
      </c>
      <c r="L60" s="100">
        <v>1500</v>
      </c>
      <c r="M60" s="100">
        <v>0</v>
      </c>
      <c r="N60" s="100">
        <v>0</v>
      </c>
      <c r="O60" s="103">
        <f>SUM(C60:N60)</f>
        <v>3000</v>
      </c>
    </row>
    <row r="61" spans="1:21" s="64" customFormat="1" ht="12.6" customHeight="1" x14ac:dyDescent="0.3">
      <c r="A61" s="154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 t="shared" si="9"/>
        <v>0</v>
      </c>
      <c r="U61" s="200"/>
    </row>
    <row r="62" spans="1:21" s="64" customFormat="1" ht="12.6" customHeight="1" x14ac:dyDescent="0.3">
      <c r="A62" s="157"/>
      <c r="B62" s="7" t="s">
        <v>32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24">
        <f t="shared" si="9"/>
        <v>0</v>
      </c>
      <c r="U62" s="200"/>
    </row>
    <row r="63" spans="1:21" s="102" customFormat="1" ht="15.6" x14ac:dyDescent="0.3">
      <c r="A63" s="236" t="s">
        <v>164</v>
      </c>
      <c r="B63" s="99" t="s">
        <v>16</v>
      </c>
      <c r="C63" s="100"/>
      <c r="D63" s="100"/>
      <c r="E63" s="100"/>
      <c r="F63" s="100"/>
      <c r="G63" s="100"/>
      <c r="H63" s="100"/>
      <c r="I63" s="100"/>
      <c r="J63" s="100"/>
      <c r="K63" s="100">
        <v>1645.89</v>
      </c>
      <c r="L63" s="100">
        <v>1349.72</v>
      </c>
      <c r="M63" s="100"/>
      <c r="N63" s="100"/>
      <c r="O63" s="103">
        <f t="shared" ref="O63:O98" si="10">SUM(C63:N63)</f>
        <v>2995.61</v>
      </c>
      <c r="U63" s="200"/>
    </row>
    <row r="64" spans="1:21" s="102" customFormat="1" ht="15.6" x14ac:dyDescent="0.3">
      <c r="A64" s="235"/>
      <c r="B64" s="99" t="s">
        <v>29</v>
      </c>
      <c r="C64" s="100">
        <v>0</v>
      </c>
      <c r="D64" s="100">
        <v>0</v>
      </c>
      <c r="E64" s="100">
        <v>0</v>
      </c>
      <c r="F64" s="100">
        <v>0</v>
      </c>
      <c r="G64" s="100">
        <v>0</v>
      </c>
      <c r="H64" s="100">
        <v>0</v>
      </c>
      <c r="I64" s="100">
        <v>0</v>
      </c>
      <c r="J64" s="100">
        <v>0</v>
      </c>
      <c r="K64" s="100">
        <v>3500</v>
      </c>
      <c r="L64" s="100">
        <v>1500</v>
      </c>
      <c r="M64" s="100">
        <v>0</v>
      </c>
      <c r="N64" s="100">
        <v>0</v>
      </c>
      <c r="O64" s="103">
        <f>SUM(C64:N64)</f>
        <v>5000</v>
      </c>
      <c r="U64" s="200"/>
    </row>
    <row r="65" spans="1:21" s="64" customFormat="1" ht="12.6" customHeight="1" x14ac:dyDescent="0.3">
      <c r="A65" s="154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 t="shared" si="10"/>
        <v>0</v>
      </c>
      <c r="U65" s="200"/>
    </row>
    <row r="66" spans="1:21" s="64" customFormat="1" ht="12.6" customHeight="1" x14ac:dyDescent="0.3">
      <c r="A66" s="157"/>
      <c r="B66" s="7" t="s">
        <v>32</v>
      </c>
      <c r="C66" s="114"/>
      <c r="D66" s="114"/>
      <c r="E66" s="114"/>
      <c r="F66" s="114"/>
      <c r="G66" s="114"/>
      <c r="H66" s="114">
        <f>856.02+406.81+556.02+614.66+656.55</f>
        <v>3090.0599999999995</v>
      </c>
      <c r="I66" s="198"/>
      <c r="J66" s="114">
        <f>4751.83+485.7</f>
        <v>5237.53</v>
      </c>
      <c r="K66" s="114">
        <v>492.14</v>
      </c>
      <c r="L66" s="114"/>
      <c r="M66" s="114"/>
      <c r="N66" s="114"/>
      <c r="O66" s="24">
        <f t="shared" si="10"/>
        <v>8819.73</v>
      </c>
      <c r="U66" s="200"/>
    </row>
    <row r="67" spans="1:21" s="102" customFormat="1" ht="12.6" customHeight="1" x14ac:dyDescent="0.3">
      <c r="A67" s="236" t="s">
        <v>165</v>
      </c>
      <c r="B67" s="99" t="s">
        <v>16</v>
      </c>
      <c r="C67" s="100"/>
      <c r="D67" s="100"/>
      <c r="E67" s="100"/>
      <c r="F67" s="100"/>
      <c r="G67" s="100"/>
      <c r="H67" s="100"/>
      <c r="I67" s="100">
        <v>1570.68</v>
      </c>
      <c r="J67" s="100"/>
      <c r="K67" s="100"/>
      <c r="L67" s="100"/>
      <c r="M67" s="100"/>
      <c r="N67" s="100"/>
      <c r="O67" s="101">
        <f t="shared" si="10"/>
        <v>1570.68</v>
      </c>
      <c r="U67" s="200"/>
    </row>
    <row r="68" spans="1:21" s="102" customFormat="1" ht="15.6" x14ac:dyDescent="0.3">
      <c r="A68" s="235"/>
      <c r="B68" s="99" t="s">
        <v>29</v>
      </c>
      <c r="C68" s="100">
        <v>0</v>
      </c>
      <c r="D68" s="100">
        <v>761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3">
        <f>SUM(C68:N68)</f>
        <v>761</v>
      </c>
      <c r="U68" s="200"/>
    </row>
    <row r="69" spans="1:21" s="64" customFormat="1" ht="15.6" x14ac:dyDescent="0.3">
      <c r="A69" s="154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 t="shared" si="10"/>
        <v>0</v>
      </c>
      <c r="U69" s="200"/>
    </row>
    <row r="70" spans="1:21" s="64" customFormat="1" ht="15.6" x14ac:dyDescent="0.3">
      <c r="A70" s="157"/>
      <c r="B70" s="7" t="s">
        <v>32</v>
      </c>
      <c r="C70" s="114"/>
      <c r="D70" s="114">
        <v>261.77999999999997</v>
      </c>
      <c r="E70" s="114">
        <v>261.77999999999997</v>
      </c>
      <c r="F70" s="114"/>
      <c r="G70" s="114"/>
      <c r="H70" s="114"/>
      <c r="I70" s="114"/>
      <c r="J70" s="114"/>
      <c r="K70" s="114"/>
      <c r="L70" s="114"/>
      <c r="M70" s="114"/>
      <c r="N70" s="114"/>
      <c r="O70" s="24">
        <f t="shared" si="10"/>
        <v>523.55999999999995</v>
      </c>
      <c r="U70" s="200"/>
    </row>
    <row r="71" spans="1:21" s="102" customFormat="1" ht="15.6" x14ac:dyDescent="0.3">
      <c r="A71" s="236" t="s">
        <v>166</v>
      </c>
      <c r="B71" s="99" t="s">
        <v>16</v>
      </c>
      <c r="C71" s="100"/>
      <c r="D71" s="100"/>
      <c r="E71" s="100"/>
      <c r="F71" s="100">
        <v>2954</v>
      </c>
      <c r="G71" s="100"/>
      <c r="H71" s="100"/>
      <c r="I71" s="100"/>
      <c r="J71" s="100"/>
      <c r="K71" s="100"/>
      <c r="L71" s="100"/>
      <c r="M71" s="100"/>
      <c r="N71" s="100"/>
      <c r="O71" s="103">
        <f t="shared" si="10"/>
        <v>2954</v>
      </c>
      <c r="U71" s="200"/>
    </row>
    <row r="72" spans="1:21" s="102" customFormat="1" ht="15.6" x14ac:dyDescent="0.3">
      <c r="A72" s="235"/>
      <c r="B72" s="99" t="s">
        <v>29</v>
      </c>
      <c r="C72" s="100">
        <v>0</v>
      </c>
      <c r="D72" s="100">
        <v>0</v>
      </c>
      <c r="E72" s="100">
        <v>0</v>
      </c>
      <c r="F72" s="100">
        <v>3933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3">
        <f>SUM(C72:N72)</f>
        <v>3933</v>
      </c>
      <c r="U72" s="200"/>
    </row>
    <row r="73" spans="1:21" s="64" customFormat="1" ht="15.6" x14ac:dyDescent="0.3">
      <c r="A73" s="154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 t="shared" si="10"/>
        <v>0</v>
      </c>
      <c r="U73" s="200"/>
    </row>
    <row r="74" spans="1:21" s="64" customFormat="1" ht="15.6" x14ac:dyDescent="0.3">
      <c r="A74" s="157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24">
        <f t="shared" si="10"/>
        <v>0</v>
      </c>
      <c r="U74" s="200"/>
    </row>
    <row r="75" spans="1:21" s="102" customFormat="1" ht="15.6" x14ac:dyDescent="0.3">
      <c r="A75" s="236" t="s">
        <v>167</v>
      </c>
      <c r="B75" s="99" t="s">
        <v>16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3">
        <f t="shared" si="10"/>
        <v>0</v>
      </c>
      <c r="U75" s="200"/>
    </row>
    <row r="76" spans="1:21" s="102" customFormat="1" ht="15.6" x14ac:dyDescent="0.3">
      <c r="A76" s="235"/>
      <c r="B76" s="99" t="s">
        <v>29</v>
      </c>
      <c r="C76" s="100">
        <v>0</v>
      </c>
      <c r="D76" s="100">
        <v>0</v>
      </c>
      <c r="E76" s="100">
        <v>0</v>
      </c>
      <c r="F76" s="100">
        <v>0</v>
      </c>
      <c r="G76" s="100">
        <v>1000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3">
        <f>SUM(C76:N76)</f>
        <v>1000</v>
      </c>
      <c r="U76" s="200"/>
    </row>
    <row r="77" spans="1:21" s="64" customFormat="1" ht="15.6" x14ac:dyDescent="0.3">
      <c r="A77" s="154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7">
        <f t="shared" si="10"/>
        <v>0</v>
      </c>
      <c r="U77" s="200"/>
    </row>
    <row r="78" spans="1:21" s="64" customFormat="1" ht="15.6" x14ac:dyDescent="0.3">
      <c r="A78" s="157"/>
      <c r="B78" s="7" t="s">
        <v>32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24">
        <f t="shared" si="10"/>
        <v>0</v>
      </c>
      <c r="U78" s="200"/>
    </row>
    <row r="79" spans="1:21" s="102" customFormat="1" ht="15.6" x14ac:dyDescent="0.3">
      <c r="A79" s="236" t="s">
        <v>168</v>
      </c>
      <c r="B79" s="99" t="s">
        <v>16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3">
        <f t="shared" si="10"/>
        <v>0</v>
      </c>
      <c r="U79" s="200"/>
    </row>
    <row r="80" spans="1:21" s="102" customFormat="1" ht="15.6" x14ac:dyDescent="0.3">
      <c r="A80" s="235"/>
      <c r="B80" s="99" t="s">
        <v>29</v>
      </c>
      <c r="C80" s="100">
        <v>600</v>
      </c>
      <c r="D80" s="100">
        <v>600</v>
      </c>
      <c r="E80" s="100">
        <v>600</v>
      </c>
      <c r="F80" s="100">
        <v>600</v>
      </c>
      <c r="G80" s="100">
        <v>600</v>
      </c>
      <c r="H80" s="100">
        <v>600</v>
      </c>
      <c r="I80" s="100">
        <v>600</v>
      </c>
      <c r="J80" s="100">
        <v>600</v>
      </c>
      <c r="K80" s="100">
        <v>600</v>
      </c>
      <c r="L80" s="100">
        <v>600</v>
      </c>
      <c r="M80" s="100">
        <v>600</v>
      </c>
      <c r="N80" s="100">
        <v>600</v>
      </c>
      <c r="O80" s="103">
        <f>SUM(C80:N80)</f>
        <v>7200</v>
      </c>
      <c r="U80" s="200"/>
    </row>
    <row r="81" spans="1:15" s="64" customFormat="1" x14ac:dyDescent="0.3">
      <c r="A81" s="154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7">
        <f t="shared" si="10"/>
        <v>0</v>
      </c>
    </row>
    <row r="82" spans="1:15" s="64" customFormat="1" x14ac:dyDescent="0.3">
      <c r="A82" s="157"/>
      <c r="B82" s="7" t="s">
        <v>32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24">
        <f t="shared" si="10"/>
        <v>0</v>
      </c>
    </row>
    <row r="83" spans="1:15" s="102" customFormat="1" ht="12" x14ac:dyDescent="0.25">
      <c r="A83" s="236" t="s">
        <v>169</v>
      </c>
      <c r="B83" s="99" t="s">
        <v>16</v>
      </c>
      <c r="C83" s="100"/>
      <c r="D83" s="100"/>
      <c r="E83" s="100"/>
      <c r="F83" s="100"/>
      <c r="G83" s="100"/>
      <c r="H83" s="100"/>
      <c r="I83" s="100">
        <v>6000</v>
      </c>
      <c r="J83" s="100"/>
      <c r="K83" s="100"/>
      <c r="L83" s="100"/>
      <c r="M83" s="100"/>
      <c r="N83" s="100"/>
      <c r="O83" s="101">
        <f t="shared" si="10"/>
        <v>6000</v>
      </c>
    </row>
    <row r="84" spans="1:15" s="102" customFormat="1" ht="12" x14ac:dyDescent="0.25">
      <c r="A84" s="235"/>
      <c r="B84" s="99" t="s">
        <v>29</v>
      </c>
      <c r="C84" s="100">
        <v>0</v>
      </c>
      <c r="D84" s="100">
        <v>0</v>
      </c>
      <c r="E84" s="100">
        <v>6000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3">
        <f>SUM(C84:N84)</f>
        <v>6000</v>
      </c>
    </row>
    <row r="85" spans="1:15" s="64" customFormat="1" x14ac:dyDescent="0.3">
      <c r="A85" s="154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7">
        <f t="shared" si="10"/>
        <v>0</v>
      </c>
    </row>
    <row r="86" spans="1:15" s="64" customFormat="1" x14ac:dyDescent="0.3">
      <c r="A86" s="157"/>
      <c r="B86" s="7" t="s">
        <v>32</v>
      </c>
      <c r="C86" s="114"/>
      <c r="D86" s="114"/>
      <c r="E86" s="114"/>
      <c r="F86" s="114"/>
      <c r="G86" s="114"/>
      <c r="H86" s="114"/>
      <c r="I86" s="114"/>
      <c r="J86" s="114">
        <v>8500</v>
      </c>
      <c r="K86" s="114"/>
      <c r="L86" s="114"/>
      <c r="M86" s="114"/>
      <c r="N86" s="114"/>
      <c r="O86" s="24">
        <f t="shared" si="10"/>
        <v>8500</v>
      </c>
    </row>
    <row r="87" spans="1:15" s="102" customFormat="1" ht="12" x14ac:dyDescent="0.25">
      <c r="A87" s="236" t="s">
        <v>170</v>
      </c>
      <c r="B87" s="99" t="s">
        <v>16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3">
        <f t="shared" si="10"/>
        <v>0</v>
      </c>
    </row>
    <row r="88" spans="1:15" s="102" customFormat="1" ht="12" x14ac:dyDescent="0.25">
      <c r="A88" s="235"/>
      <c r="B88" s="99" t="s">
        <v>29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3">
        <f>SUM(C88:N88)</f>
        <v>0</v>
      </c>
    </row>
    <row r="89" spans="1:15" s="64" customFormat="1" x14ac:dyDescent="0.3">
      <c r="A89" s="154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7">
        <f t="shared" si="10"/>
        <v>0</v>
      </c>
    </row>
    <row r="90" spans="1:15" s="64" customFormat="1" x14ac:dyDescent="0.3">
      <c r="A90" s="157"/>
      <c r="B90" s="7" t="s">
        <v>32</v>
      </c>
      <c r="C90" s="114">
        <v>6500</v>
      </c>
      <c r="D90" s="114">
        <v>1000</v>
      </c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24">
        <f t="shared" si="10"/>
        <v>7500</v>
      </c>
    </row>
    <row r="91" spans="1:15" s="102" customFormat="1" ht="12" x14ac:dyDescent="0.25">
      <c r="A91" s="236" t="s">
        <v>171</v>
      </c>
      <c r="B91" s="99" t="s">
        <v>16</v>
      </c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3">
        <f t="shared" si="10"/>
        <v>0</v>
      </c>
    </row>
    <row r="92" spans="1:15" s="102" customFormat="1" ht="12" x14ac:dyDescent="0.25">
      <c r="A92" s="235"/>
      <c r="B92" s="99" t="s">
        <v>29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100">
        <v>0</v>
      </c>
      <c r="N92" s="100">
        <v>0</v>
      </c>
      <c r="O92" s="103">
        <f>SUM(C92:N92)</f>
        <v>0</v>
      </c>
    </row>
    <row r="93" spans="1:15" s="64" customFormat="1" x14ac:dyDescent="0.3">
      <c r="A93" s="155"/>
      <c r="B93" s="5" t="s">
        <v>31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7">
        <f t="shared" si="10"/>
        <v>0</v>
      </c>
    </row>
    <row r="94" spans="1:15" s="64" customFormat="1" x14ac:dyDescent="0.3">
      <c r="A94" s="156"/>
      <c r="B94" s="7" t="s">
        <v>32</v>
      </c>
      <c r="C94" s="114"/>
      <c r="D94" s="114">
        <v>15</v>
      </c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24">
        <f t="shared" si="10"/>
        <v>15</v>
      </c>
    </row>
    <row r="95" spans="1:15" s="102" customFormat="1" ht="12" x14ac:dyDescent="0.25">
      <c r="A95" s="236" t="s">
        <v>172</v>
      </c>
      <c r="B95" s="99" t="s">
        <v>16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3">
        <f t="shared" si="10"/>
        <v>0</v>
      </c>
    </row>
    <row r="96" spans="1:15" s="102" customFormat="1" ht="12" x14ac:dyDescent="0.25">
      <c r="A96" s="235"/>
      <c r="B96" s="99" t="s">
        <v>29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100">
        <v>0</v>
      </c>
      <c r="N96" s="100">
        <v>0</v>
      </c>
      <c r="O96" s="103">
        <f>SUM(C96:N96)</f>
        <v>0</v>
      </c>
    </row>
    <row r="97" spans="1:15" s="64" customFormat="1" ht="24" x14ac:dyDescent="0.3">
      <c r="A97" s="228" t="s">
        <v>173</v>
      </c>
      <c r="B97" s="5" t="s">
        <v>31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7">
        <f t="shared" si="10"/>
        <v>0</v>
      </c>
    </row>
    <row r="98" spans="1:15" s="64" customFormat="1" x14ac:dyDescent="0.3">
      <c r="A98" s="156"/>
      <c r="B98" s="7" t="s">
        <v>32</v>
      </c>
      <c r="C98" s="114"/>
      <c r="D98" s="114"/>
      <c r="E98" s="114"/>
      <c r="F98" s="114"/>
      <c r="G98" s="114"/>
      <c r="H98" s="114"/>
      <c r="I98" s="114"/>
      <c r="J98" s="114"/>
      <c r="L98" s="114">
        <v>4200</v>
      </c>
      <c r="M98" s="114"/>
      <c r="N98" s="114"/>
      <c r="O98" s="24">
        <f t="shared" si="10"/>
        <v>4200</v>
      </c>
    </row>
    <row r="99" spans="1:15" s="102" customFormat="1" ht="12" x14ac:dyDescent="0.25">
      <c r="A99" s="243"/>
    </row>
    <row r="100" spans="1:15" s="102" customFormat="1" ht="12" x14ac:dyDescent="0.25">
      <c r="A100" s="237"/>
    </row>
    <row r="101" spans="1:15" s="64" customFormat="1" x14ac:dyDescent="0.3">
      <c r="A101" s="158"/>
    </row>
    <row r="102" spans="1:15" s="64" customFormat="1" x14ac:dyDescent="0.3">
      <c r="A102" s="158"/>
    </row>
    <row r="103" spans="1:15" s="102" customFormat="1" ht="12" x14ac:dyDescent="0.25">
      <c r="A103" s="237"/>
    </row>
    <row r="104" spans="1:15" s="102" customFormat="1" ht="12" x14ac:dyDescent="0.25">
      <c r="A104" s="237"/>
    </row>
    <row r="105" spans="1:15" s="64" customFormat="1" x14ac:dyDescent="0.3">
      <c r="A105" s="158"/>
    </row>
    <row r="106" spans="1:15" s="64" customFormat="1" x14ac:dyDescent="0.3">
      <c r="A106" s="158"/>
    </row>
    <row r="107" spans="1:15" s="102" customFormat="1" ht="12" x14ac:dyDescent="0.25">
      <c r="A107" s="237"/>
    </row>
    <row r="108" spans="1:15" s="102" customFormat="1" ht="12" x14ac:dyDescent="0.25">
      <c r="A108" s="237"/>
    </row>
    <row r="109" spans="1:15" s="64" customFormat="1" x14ac:dyDescent="0.3">
      <c r="A109" s="158"/>
    </row>
    <row r="110" spans="1:15" s="64" customFormat="1" x14ac:dyDescent="0.3">
      <c r="A110" s="158"/>
    </row>
    <row r="111" spans="1:15" s="102" customFormat="1" ht="12" x14ac:dyDescent="0.25">
      <c r="A111" s="237"/>
    </row>
    <row r="112" spans="1:15" s="102" customFormat="1" ht="12" x14ac:dyDescent="0.25">
      <c r="A112" s="237"/>
    </row>
    <row r="113" spans="1:1" s="64" customFormat="1" x14ac:dyDescent="0.3">
      <c r="A113" s="158"/>
    </row>
    <row r="114" spans="1:1" s="64" customFormat="1" x14ac:dyDescent="0.3">
      <c r="A114" s="158"/>
    </row>
    <row r="115" spans="1:1" s="102" customFormat="1" ht="12" x14ac:dyDescent="0.25">
      <c r="A115" s="237"/>
    </row>
    <row r="116" spans="1:1" s="102" customFormat="1" ht="12" x14ac:dyDescent="0.25">
      <c r="A116" s="237"/>
    </row>
    <row r="117" spans="1:1" s="64" customFormat="1" x14ac:dyDescent="0.3">
      <c r="A117" s="158"/>
    </row>
    <row r="118" spans="1:1" s="64" customFormat="1" x14ac:dyDescent="0.3">
      <c r="A118" s="158"/>
    </row>
    <row r="119" spans="1:1" s="102" customFormat="1" ht="12" x14ac:dyDescent="0.25">
      <c r="A119" s="237"/>
    </row>
    <row r="120" spans="1:1" s="102" customFormat="1" ht="12" x14ac:dyDescent="0.25">
      <c r="A120" s="237"/>
    </row>
    <row r="121" spans="1:1" s="64" customFormat="1" x14ac:dyDescent="0.3">
      <c r="A121" s="158"/>
    </row>
    <row r="122" spans="1:1" s="64" customFormat="1" x14ac:dyDescent="0.3">
      <c r="A122" s="158"/>
    </row>
    <row r="123" spans="1:1" s="102" customFormat="1" ht="12" x14ac:dyDescent="0.25">
      <c r="A123" s="237"/>
    </row>
    <row r="124" spans="1:1" s="102" customFormat="1" ht="12" x14ac:dyDescent="0.25">
      <c r="A124" s="237"/>
    </row>
    <row r="125" spans="1:1" s="64" customFormat="1" ht="11.4" customHeight="1" x14ac:dyDescent="0.3">
      <c r="A125" s="158"/>
    </row>
    <row r="126" spans="1:1" s="64" customFormat="1" x14ac:dyDescent="0.3">
      <c r="A126" s="158"/>
    </row>
    <row r="127" spans="1:1" s="102" customFormat="1" ht="12" x14ac:dyDescent="0.25">
      <c r="A127" s="237"/>
    </row>
    <row r="128" spans="1:1" s="102" customFormat="1" ht="12" x14ac:dyDescent="0.25">
      <c r="A128" s="237"/>
    </row>
    <row r="129" spans="1:1" s="64" customFormat="1" x14ac:dyDescent="0.3">
      <c r="A129" s="158"/>
    </row>
    <row r="130" spans="1:1" s="64" customFormat="1" x14ac:dyDescent="0.3">
      <c r="A130" s="158"/>
    </row>
    <row r="131" spans="1:1" s="102" customFormat="1" ht="12" x14ac:dyDescent="0.25">
      <c r="A131" s="237"/>
    </row>
    <row r="132" spans="1:1" s="102" customFormat="1" ht="12" x14ac:dyDescent="0.25">
      <c r="A132" s="237"/>
    </row>
    <row r="133" spans="1:1" s="64" customFormat="1" x14ac:dyDescent="0.3">
      <c r="A133" s="158"/>
    </row>
    <row r="134" spans="1:1" s="64" customFormat="1" x14ac:dyDescent="0.3">
      <c r="A134" s="158"/>
    </row>
    <row r="135" spans="1:1" s="102" customFormat="1" ht="12" x14ac:dyDescent="0.25">
      <c r="A135" s="237"/>
    </row>
    <row r="136" spans="1:1" s="102" customFormat="1" ht="12" x14ac:dyDescent="0.25">
      <c r="A136" s="237"/>
    </row>
    <row r="137" spans="1:1" s="64" customFormat="1" x14ac:dyDescent="0.3">
      <c r="A137" s="158"/>
    </row>
    <row r="138" spans="1:1" s="64" customFormat="1" x14ac:dyDescent="0.3">
      <c r="A138" s="158"/>
    </row>
    <row r="139" spans="1:1" s="102" customFormat="1" ht="12" x14ac:dyDescent="0.25">
      <c r="A139" s="237"/>
    </row>
    <row r="140" spans="1:1" s="102" customFormat="1" ht="12" x14ac:dyDescent="0.25">
      <c r="A140" s="237"/>
    </row>
    <row r="141" spans="1:1" s="64" customFormat="1" x14ac:dyDescent="0.3">
      <c r="A141" s="158"/>
    </row>
    <row r="142" spans="1:1" s="64" customFormat="1" x14ac:dyDescent="0.3">
      <c r="A142" s="158"/>
    </row>
    <row r="143" spans="1:1" s="102" customFormat="1" ht="12" x14ac:dyDescent="0.25">
      <c r="A143" s="237"/>
    </row>
    <row r="144" spans="1:1" s="102" customFormat="1" ht="12" x14ac:dyDescent="0.25">
      <c r="A144" s="237"/>
    </row>
    <row r="145" spans="1:1" s="64" customFormat="1" x14ac:dyDescent="0.3">
      <c r="A145" s="158"/>
    </row>
    <row r="146" spans="1:1" s="64" customFormat="1" x14ac:dyDescent="0.3">
      <c r="A146" s="158"/>
    </row>
    <row r="147" spans="1:1" s="102" customFormat="1" ht="12" x14ac:dyDescent="0.25">
      <c r="A147" s="237"/>
    </row>
    <row r="148" spans="1:1" s="102" customFormat="1" ht="12" x14ac:dyDescent="0.25">
      <c r="A148" s="237"/>
    </row>
    <row r="149" spans="1:1" s="64" customFormat="1" x14ac:dyDescent="0.3">
      <c r="A149" s="158"/>
    </row>
    <row r="150" spans="1:1" s="64" customFormat="1" x14ac:dyDescent="0.3">
      <c r="A150" s="158"/>
    </row>
    <row r="151" spans="1:1" s="102" customFormat="1" ht="12" x14ac:dyDescent="0.25">
      <c r="A151" s="237"/>
    </row>
    <row r="152" spans="1:1" s="102" customFormat="1" ht="12" x14ac:dyDescent="0.25">
      <c r="A152" s="237"/>
    </row>
    <row r="153" spans="1:1" s="64" customFormat="1" x14ac:dyDescent="0.3">
      <c r="A153" s="158"/>
    </row>
    <row r="154" spans="1:1" s="64" customFormat="1" x14ac:dyDescent="0.3">
      <c r="A154" s="158"/>
    </row>
    <row r="155" spans="1:1" s="102" customFormat="1" ht="12" x14ac:dyDescent="0.25">
      <c r="A155" s="237"/>
    </row>
    <row r="156" spans="1:1" s="102" customFormat="1" ht="12" x14ac:dyDescent="0.25">
      <c r="A156" s="237"/>
    </row>
    <row r="157" spans="1:1" s="64" customFormat="1" x14ac:dyDescent="0.3">
      <c r="A157" s="158"/>
    </row>
    <row r="158" spans="1:1" s="64" customFormat="1" x14ac:dyDescent="0.3">
      <c r="A158" s="158"/>
    </row>
    <row r="159" spans="1:1" s="102" customFormat="1" ht="12" x14ac:dyDescent="0.25">
      <c r="A159" s="237"/>
    </row>
    <row r="160" spans="1:1" s="102" customFormat="1" ht="12" x14ac:dyDescent="0.25">
      <c r="A160" s="237"/>
    </row>
    <row r="161" spans="1:1" s="64" customFormat="1" x14ac:dyDescent="0.3">
      <c r="A161" s="158"/>
    </row>
    <row r="162" spans="1:1" s="64" customFormat="1" x14ac:dyDescent="0.3">
      <c r="A162" s="158"/>
    </row>
    <row r="163" spans="1:1" s="102" customFormat="1" ht="12" x14ac:dyDescent="0.25">
      <c r="A163" s="237"/>
    </row>
    <row r="164" spans="1:1" s="102" customFormat="1" ht="12" x14ac:dyDescent="0.25">
      <c r="A164" s="237"/>
    </row>
    <row r="165" spans="1:1" s="64" customFormat="1" x14ac:dyDescent="0.3">
      <c r="A165" s="158"/>
    </row>
    <row r="166" spans="1:1" s="64" customFormat="1" x14ac:dyDescent="0.3">
      <c r="A166" s="158"/>
    </row>
    <row r="167" spans="1:1" s="102" customFormat="1" ht="12" x14ac:dyDescent="0.25">
      <c r="A167" s="237"/>
    </row>
    <row r="168" spans="1:1" s="102" customFormat="1" ht="12" x14ac:dyDescent="0.25">
      <c r="A168" s="237"/>
    </row>
    <row r="169" spans="1:1" s="64" customFormat="1" x14ac:dyDescent="0.3">
      <c r="A169" s="158"/>
    </row>
    <row r="170" spans="1:1" s="64" customFormat="1" x14ac:dyDescent="0.3">
      <c r="A170" s="158"/>
    </row>
    <row r="171" spans="1:1" s="102" customFormat="1" ht="12" x14ac:dyDescent="0.25">
      <c r="A171" s="237"/>
    </row>
    <row r="172" spans="1:1" s="102" customFormat="1" ht="12" x14ac:dyDescent="0.25">
      <c r="A172" s="237"/>
    </row>
    <row r="173" spans="1:1" s="64" customFormat="1" x14ac:dyDescent="0.3">
      <c r="A173" s="158"/>
    </row>
    <row r="174" spans="1:1" s="64" customFormat="1" x14ac:dyDescent="0.3">
      <c r="A174" s="158"/>
    </row>
    <row r="175" spans="1:1" s="102" customFormat="1" ht="12" x14ac:dyDescent="0.25">
      <c r="A175" s="237"/>
    </row>
    <row r="176" spans="1:1" s="102" customFormat="1" ht="12" x14ac:dyDescent="0.25">
      <c r="A176" s="237"/>
    </row>
    <row r="177" spans="1:1" s="64" customFormat="1" x14ac:dyDescent="0.3">
      <c r="A177" s="158"/>
    </row>
    <row r="178" spans="1:1" s="64" customFormat="1" x14ac:dyDescent="0.3">
      <c r="A178" s="158"/>
    </row>
    <row r="179" spans="1:1" s="102" customFormat="1" ht="12" x14ac:dyDescent="0.25">
      <c r="A179" s="237"/>
    </row>
    <row r="180" spans="1:1" s="102" customFormat="1" ht="12" x14ac:dyDescent="0.25">
      <c r="A180" s="237"/>
    </row>
    <row r="181" spans="1:1" s="64" customFormat="1" x14ac:dyDescent="0.3">
      <c r="A181" s="158"/>
    </row>
    <row r="182" spans="1:1" s="64" customFormat="1" x14ac:dyDescent="0.3">
      <c r="A182" s="158"/>
    </row>
    <row r="183" spans="1:1" s="102" customFormat="1" ht="12" x14ac:dyDescent="0.25">
      <c r="A183" s="237"/>
    </row>
    <row r="184" spans="1:1" s="102" customFormat="1" ht="12" x14ac:dyDescent="0.25">
      <c r="A184" s="237"/>
    </row>
    <row r="185" spans="1:1" s="64" customFormat="1" x14ac:dyDescent="0.3">
      <c r="A185" s="158"/>
    </row>
    <row r="186" spans="1:1" s="64" customFormat="1" x14ac:dyDescent="0.3">
      <c r="A186" s="158"/>
    </row>
    <row r="187" spans="1:1" s="102" customFormat="1" ht="12" x14ac:dyDescent="0.25">
      <c r="A187" s="237"/>
    </row>
    <row r="188" spans="1:1" s="102" customFormat="1" ht="12" x14ac:dyDescent="0.25">
      <c r="A188" s="237"/>
    </row>
    <row r="189" spans="1:1" s="64" customFormat="1" x14ac:dyDescent="0.3">
      <c r="A189" s="158"/>
    </row>
    <row r="190" spans="1:1" s="64" customFormat="1" x14ac:dyDescent="0.3">
      <c r="A190" s="158"/>
    </row>
    <row r="191" spans="1:1" s="102" customFormat="1" ht="12" x14ac:dyDescent="0.25">
      <c r="A191" s="237"/>
    </row>
    <row r="192" spans="1:1" s="102" customFormat="1" ht="12" x14ac:dyDescent="0.25">
      <c r="A192" s="237"/>
    </row>
    <row r="193" spans="1:1" s="64" customFormat="1" x14ac:dyDescent="0.3">
      <c r="A193" s="158"/>
    </row>
    <row r="194" spans="1:1" s="64" customFormat="1" x14ac:dyDescent="0.3">
      <c r="A194" s="158"/>
    </row>
    <row r="195" spans="1:1" s="102" customFormat="1" ht="12" x14ac:dyDescent="0.25">
      <c r="A195" s="237"/>
    </row>
    <row r="196" spans="1:1" s="102" customFormat="1" ht="12" x14ac:dyDescent="0.25">
      <c r="A196" s="237"/>
    </row>
    <row r="197" spans="1:1" s="64" customFormat="1" x14ac:dyDescent="0.3">
      <c r="A197" s="158"/>
    </row>
    <row r="198" spans="1:1" s="64" customFormat="1" x14ac:dyDescent="0.3">
      <c r="A198" s="158"/>
    </row>
    <row r="199" spans="1:1" s="102" customFormat="1" ht="12" x14ac:dyDescent="0.25">
      <c r="A199" s="237"/>
    </row>
    <row r="200" spans="1:1" s="102" customFormat="1" ht="12" x14ac:dyDescent="0.25">
      <c r="A200" s="237"/>
    </row>
    <row r="201" spans="1:1" s="64" customFormat="1" x14ac:dyDescent="0.3">
      <c r="A201" s="158"/>
    </row>
    <row r="202" spans="1:1" s="64" customFormat="1" x14ac:dyDescent="0.3">
      <c r="A202" s="158"/>
    </row>
    <row r="203" spans="1:1" s="102" customFormat="1" ht="12" x14ac:dyDescent="0.25">
      <c r="A203" s="237"/>
    </row>
    <row r="204" spans="1:1" s="102" customFormat="1" ht="12" x14ac:dyDescent="0.25">
      <c r="A204" s="237"/>
    </row>
    <row r="205" spans="1:1" s="64" customFormat="1" x14ac:dyDescent="0.3">
      <c r="A205" s="158"/>
    </row>
    <row r="206" spans="1:1" s="64" customFormat="1" x14ac:dyDescent="0.3">
      <c r="A206" s="158"/>
    </row>
    <row r="207" spans="1:1" s="102" customFormat="1" ht="12" x14ac:dyDescent="0.25">
      <c r="A207" s="237"/>
    </row>
    <row r="208" spans="1:1" s="102" customFormat="1" ht="12" x14ac:dyDescent="0.25">
      <c r="A208" s="237"/>
    </row>
    <row r="209" spans="1:1" s="64" customFormat="1" x14ac:dyDescent="0.3">
      <c r="A209" s="158"/>
    </row>
    <row r="210" spans="1:1" s="64" customFormat="1" x14ac:dyDescent="0.3">
      <c r="A210" s="158"/>
    </row>
    <row r="211" spans="1:1" s="102" customFormat="1" ht="12" x14ac:dyDescent="0.25">
      <c r="A211" s="237"/>
    </row>
    <row r="212" spans="1:1" s="102" customFormat="1" ht="12" x14ac:dyDescent="0.25">
      <c r="A212" s="237"/>
    </row>
    <row r="213" spans="1:1" s="64" customFormat="1" x14ac:dyDescent="0.3">
      <c r="A213" s="158"/>
    </row>
    <row r="214" spans="1:1" s="64" customFormat="1" x14ac:dyDescent="0.3">
      <c r="A214" s="158"/>
    </row>
    <row r="215" spans="1:1" s="102" customFormat="1" ht="12" x14ac:dyDescent="0.25">
      <c r="A215" s="237"/>
    </row>
    <row r="216" spans="1:1" s="102" customFormat="1" ht="12" x14ac:dyDescent="0.25">
      <c r="A216" s="237"/>
    </row>
    <row r="217" spans="1:1" s="64" customFormat="1" x14ac:dyDescent="0.3">
      <c r="A217" s="108"/>
    </row>
    <row r="218" spans="1:1" s="64" customFormat="1" x14ac:dyDescent="0.3">
      <c r="A218" s="108"/>
    </row>
  </sheetData>
  <mergeCells count="54">
    <mergeCell ref="A207:A208"/>
    <mergeCell ref="A211:A212"/>
    <mergeCell ref="A215:A216"/>
    <mergeCell ref="A3:A6"/>
    <mergeCell ref="A187:A188"/>
    <mergeCell ref="A191:A192"/>
    <mergeCell ref="A195:A196"/>
    <mergeCell ref="A199:A200"/>
    <mergeCell ref="A203:A204"/>
    <mergeCell ref="A167:A168"/>
    <mergeCell ref="A171:A172"/>
    <mergeCell ref="A175:A176"/>
    <mergeCell ref="A179:A180"/>
    <mergeCell ref="A183:A184"/>
    <mergeCell ref="A147:A148"/>
    <mergeCell ref="A151:A152"/>
    <mergeCell ref="A159:A160"/>
    <mergeCell ref="A163:A164"/>
    <mergeCell ref="A127:A128"/>
    <mergeCell ref="A131:A132"/>
    <mergeCell ref="A135:A136"/>
    <mergeCell ref="A139:A140"/>
    <mergeCell ref="A143:A144"/>
    <mergeCell ref="A111:A112"/>
    <mergeCell ref="A115:A116"/>
    <mergeCell ref="A119:A120"/>
    <mergeCell ref="A123:A124"/>
    <mergeCell ref="A155:A156"/>
    <mergeCell ref="A43:A44"/>
    <mergeCell ref="A47:A48"/>
    <mergeCell ref="A107:A108"/>
    <mergeCell ref="A71:A72"/>
    <mergeCell ref="A75:A76"/>
    <mergeCell ref="A87:A88"/>
    <mergeCell ref="A91:A92"/>
    <mergeCell ref="A95:A96"/>
    <mergeCell ref="A99:A100"/>
    <mergeCell ref="A103:A104"/>
    <mergeCell ref="A1:O1"/>
    <mergeCell ref="A79:A80"/>
    <mergeCell ref="A83:A84"/>
    <mergeCell ref="A51:A52"/>
    <mergeCell ref="A55:A56"/>
    <mergeCell ref="A59:A60"/>
    <mergeCell ref="A63:A64"/>
    <mergeCell ref="A67:A68"/>
    <mergeCell ref="A11:A12"/>
    <mergeCell ref="A15:A16"/>
    <mergeCell ref="A19:A20"/>
    <mergeCell ref="A23:A24"/>
    <mergeCell ref="A27:A28"/>
    <mergeCell ref="A31:A32"/>
    <mergeCell ref="A35:A36"/>
    <mergeCell ref="A39:A40"/>
  </mergeCells>
  <conditionalFormatting sqref="C6:N6">
    <cfRule type="cellIs" dxfId="23" priority="1" operator="greaterThan">
      <formula>C5*1.15</formula>
    </cfRule>
    <cfRule type="cellIs" dxfId="22" priority="2" operator="lessThan">
      <formula>C5*0.85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C9A5E-E4BD-41A8-8E40-85B962056F45}">
  <sheetPr codeName="Sheet6"/>
  <dimension ref="A1:X217"/>
  <sheetViews>
    <sheetView zoomScale="70" zoomScaleNormal="70" workbookViewId="0">
      <pane xSplit="1" ySplit="2" topLeftCell="P16" activePane="bottomRight" state="frozen"/>
      <selection pane="topRight" activeCell="M13" sqref="M13"/>
      <selection pane="bottomLeft" activeCell="M13" sqref="M13"/>
      <selection pane="bottomRight" activeCell="U22" sqref="U22"/>
    </sheetView>
  </sheetViews>
  <sheetFormatPr defaultColWidth="9.109375" defaultRowHeight="14.4" x14ac:dyDescent="0.3"/>
  <cols>
    <col min="1" max="1" width="31.5546875" style="54" customWidth="1"/>
    <col min="2" max="2" width="22.88671875" style="52" bestFit="1" customWidth="1"/>
    <col min="3" max="3" width="12" style="52" customWidth="1"/>
    <col min="4" max="4" width="14.5546875" style="52" customWidth="1"/>
    <col min="5" max="6" width="12" style="52" customWidth="1"/>
    <col min="7" max="7" width="12.5546875" style="52" customWidth="1"/>
    <col min="8" max="14" width="12" style="52" customWidth="1"/>
    <col min="15" max="15" width="13.109375" style="52" customWidth="1"/>
    <col min="16" max="16" width="10.88671875" style="52" bestFit="1" customWidth="1"/>
    <col min="17" max="17" width="13" style="52" customWidth="1"/>
    <col min="18" max="16384" width="9.109375" style="52"/>
  </cols>
  <sheetData>
    <row r="1" spans="1:24" ht="41.25" customHeight="1" x14ac:dyDescent="0.6">
      <c r="A1" s="232" t="s">
        <v>174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24" x14ac:dyDescent="0.3">
      <c r="A2" s="55"/>
      <c r="B2" s="56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56" t="s">
        <v>7</v>
      </c>
      <c r="J2" s="56" t="s">
        <v>8</v>
      </c>
      <c r="K2" s="56" t="s">
        <v>9</v>
      </c>
      <c r="L2" s="56" t="s">
        <v>10</v>
      </c>
      <c r="M2" s="56" t="s">
        <v>11</v>
      </c>
      <c r="N2" s="56" t="s">
        <v>12</v>
      </c>
      <c r="O2" s="56" t="s">
        <v>13</v>
      </c>
    </row>
    <row r="3" spans="1:24" s="102" customFormat="1" ht="9.75" customHeight="1" x14ac:dyDescent="0.25">
      <c r="A3" s="249" t="s">
        <v>15</v>
      </c>
      <c r="B3" s="186" t="s">
        <v>16</v>
      </c>
      <c r="C3" s="182">
        <f>SUMIFS(C$11:C991,$B$11:$B991,"Actual 2024")</f>
        <v>30663.22</v>
      </c>
      <c r="D3" s="182">
        <f>SUMIFS(D$11:D991,$B$11:$B991,"Actual 2024")</f>
        <v>34061.61</v>
      </c>
      <c r="E3" s="182">
        <f>SUMIFS(E$11:E991,$B$11:$B991,"Actual 2024")</f>
        <v>48123.82</v>
      </c>
      <c r="F3" s="182">
        <f>SUMIFS(F$11:F991,$B$11:$B991,"Actual 2024")</f>
        <v>35442.910000000003</v>
      </c>
      <c r="G3" s="182">
        <f>SUMIFS(G$11:G991,$B$11:$B991,"Actual 2024")</f>
        <v>57806.73</v>
      </c>
      <c r="H3" s="182">
        <f>SUMIFS(H$11:H991,$B$11:$B991,"Actual 2024")</f>
        <v>42091.03</v>
      </c>
      <c r="I3" s="182">
        <f>SUMIFS(I$11:I991,$B$11:$B991,"Actual 2024")</f>
        <v>39212.950000000004</v>
      </c>
      <c r="J3" s="182">
        <f>SUMIFS(J$11:J991,$B$11:$B991,"Actual 2024")</f>
        <v>38385.770000000004</v>
      </c>
      <c r="K3" s="182">
        <f>SUMIFS(K$11:K991,$B$11:$B991,"Actual 2024")</f>
        <v>38132.100000000006</v>
      </c>
      <c r="L3" s="182">
        <f>SUMIFS(L$11:L991,$B$11:$B991,"Actual 2024")</f>
        <v>41412.85</v>
      </c>
      <c r="M3" s="182">
        <f>SUMIFS(M$11:M991,$B$11:$B991,"Actual 2024")</f>
        <v>40440.990000000005</v>
      </c>
      <c r="N3" s="182">
        <f>SUMIFS(N$11:N991,$B$11:$B991,"Actual 2024")</f>
        <v>43343.27</v>
      </c>
      <c r="O3" s="187">
        <f>SUMIFS(O$11:O991,$B$11:$B991,"Actual 2024")</f>
        <v>489117.24999999994</v>
      </c>
    </row>
    <row r="4" spans="1:24" s="102" customFormat="1" ht="10.5" customHeight="1" x14ac:dyDescent="0.25">
      <c r="A4" s="250"/>
      <c r="B4" s="188" t="s">
        <v>27</v>
      </c>
      <c r="C4" s="189">
        <f>SUMIFS(C$11:C991,$B$11:$B991,"Estimated")</f>
        <v>67567</v>
      </c>
      <c r="D4" s="189">
        <f>SUMIFS(D$11:D991,$B$11:$B991,"Estimated")</f>
        <v>97522</v>
      </c>
      <c r="E4" s="189">
        <f>SUMIFS(E$11:E991,$B$11:$B991,"Estimated")</f>
        <v>58826</v>
      </c>
      <c r="F4" s="189">
        <f>SUMIFS(F$11:F991,$B$11:$B991,"Estimated")</f>
        <v>51522</v>
      </c>
      <c r="G4" s="189">
        <f>SUMIFS(G$11:G991,$B$11:$B991,"Estimated")</f>
        <v>65022</v>
      </c>
      <c r="H4" s="189">
        <f>SUMIFS(H$11:H991,$B$11:$B991,"Estimated")</f>
        <v>49022</v>
      </c>
      <c r="I4" s="189">
        <f>SUMIFS(I$11:I991,$B$11:$B991,"Estimated")</f>
        <v>47085</v>
      </c>
      <c r="J4" s="189">
        <f>SUMIFS(J$11:J991,$B$11:$B991,"Estimated")</f>
        <v>47022</v>
      </c>
      <c r="K4" s="189">
        <f>SUMIFS(K$11:K991,$B$11:$B991,"Estimated")</f>
        <v>47522</v>
      </c>
      <c r="L4" s="189">
        <f>SUMIFS(L$11:L991,$B$11:$B991,"Estimated")</f>
        <v>56022</v>
      </c>
      <c r="M4" s="189">
        <f>SUMIFS(M$11:M991,$B$11:$B991,"Estimated")</f>
        <v>57522</v>
      </c>
      <c r="N4" s="189">
        <f>SUMIFS(N$11:N991,$B$11:$B991,"Estimated")</f>
        <v>52522</v>
      </c>
      <c r="O4" s="190">
        <f>SUMIFS(O$11:O991,$B$11:$B991,"Estimated")</f>
        <v>697176</v>
      </c>
      <c r="Q4" s="131">
        <f>O4-O3</f>
        <v>208058.75000000006</v>
      </c>
    </row>
    <row r="5" spans="1:24" s="166" customFormat="1" ht="14.4" customHeight="1" x14ac:dyDescent="0.3">
      <c r="A5" s="250"/>
      <c r="B5" s="172" t="s">
        <v>18</v>
      </c>
      <c r="C5" s="163">
        <v>67567</v>
      </c>
      <c r="D5" s="171">
        <v>97522</v>
      </c>
      <c r="E5" s="171">
        <v>58826</v>
      </c>
      <c r="F5" s="171">
        <v>51522</v>
      </c>
      <c r="G5" s="171">
        <v>65022</v>
      </c>
      <c r="H5" s="171">
        <v>49022</v>
      </c>
      <c r="I5" s="163">
        <v>47085</v>
      </c>
      <c r="J5" s="163">
        <v>47022</v>
      </c>
      <c r="K5" s="163">
        <v>47522</v>
      </c>
      <c r="L5" s="163">
        <v>56022</v>
      </c>
      <c r="M5" s="163">
        <v>57522</v>
      </c>
      <c r="N5" s="163">
        <v>52522</v>
      </c>
      <c r="O5" s="168">
        <f t="shared" ref="O5" si="0">SUM(C5:N5)</f>
        <v>697176</v>
      </c>
      <c r="P5" s="165">
        <v>697176</v>
      </c>
    </row>
    <row r="6" spans="1:24" s="166" customFormat="1" ht="15" thickBot="1" x14ac:dyDescent="0.35">
      <c r="A6" s="251"/>
      <c r="B6" s="178" t="s">
        <v>19</v>
      </c>
      <c r="C6" s="175">
        <f>SUMIFS(C$11:C996,$B$11:$B996,"Actual")</f>
        <v>51418.499999999993</v>
      </c>
      <c r="D6" s="175">
        <f>SUMIFS(D$11:D996,$B$11:$B996,"Actual")</f>
        <v>59616.700000000004</v>
      </c>
      <c r="E6" s="175">
        <f>SUMIFS(E$11:E996,$B$11:$B996,"Actual")</f>
        <v>47803.15</v>
      </c>
      <c r="F6" s="175">
        <f>SUMIFS(F$11:F996,$B$11:$B996,"Actual")</f>
        <v>54958.579999999994</v>
      </c>
      <c r="G6" s="175">
        <f>SUMIFS(G$11:G996,$B$11:$B996,"Actual")</f>
        <v>55320.829999999994</v>
      </c>
      <c r="H6" s="175">
        <f>SUMIFS(H$11:H996,$B$11:$B996,"Actual")</f>
        <v>58388.509999999995</v>
      </c>
      <c r="I6" s="175">
        <f>SUMIFS(I$11:I996,$B$11:$B996,"Actual")</f>
        <v>63125.88</v>
      </c>
      <c r="J6" s="175">
        <f>SUMIFS(J$11:J996,$B$11:$B996,"Actual")</f>
        <v>59393.07</v>
      </c>
      <c r="K6" s="175">
        <f>SUMIFS(K$11:K996,$B$11:$B996,"Actual")</f>
        <v>55454.37</v>
      </c>
      <c r="L6" s="175">
        <f>SUMIFS(L$11:L996,$B$11:$B996,"Actual")</f>
        <v>23340.07</v>
      </c>
      <c r="M6" s="175">
        <f>SUMIFS(M$11:M996,$B$11:$B996,"Actual")</f>
        <v>0</v>
      </c>
      <c r="N6" s="175">
        <f>SUMIFS(N$11:N996,$B$11:$B996,"Actual")</f>
        <v>0</v>
      </c>
      <c r="O6" s="179">
        <f>SUMIFS(O$11:O996,$B$11:$B996,"Actual")</f>
        <v>528819.66</v>
      </c>
    </row>
    <row r="7" spans="1:24" s="64" customFormat="1" ht="15" thickTop="1" x14ac:dyDescent="0.3">
      <c r="A7" s="136"/>
      <c r="B7" s="49" t="s">
        <v>21</v>
      </c>
      <c r="C7" s="60">
        <f t="shared" ref="C7:I7" si="1">C5-C6</f>
        <v>16148.500000000007</v>
      </c>
      <c r="D7" s="60">
        <f t="shared" si="1"/>
        <v>37905.299999999996</v>
      </c>
      <c r="E7" s="60">
        <f t="shared" si="1"/>
        <v>11022.849999999999</v>
      </c>
      <c r="F7" s="60">
        <f t="shared" si="1"/>
        <v>-3436.5799999999945</v>
      </c>
      <c r="G7" s="60">
        <f t="shared" si="1"/>
        <v>9701.1700000000055</v>
      </c>
      <c r="H7" s="60">
        <f t="shared" si="1"/>
        <v>-9366.5099999999948</v>
      </c>
      <c r="I7" s="60">
        <f t="shared" si="1"/>
        <v>-16040.879999999997</v>
      </c>
      <c r="J7" s="60">
        <f t="shared" ref="J7:N7" si="2">J5-J6</f>
        <v>-12371.07</v>
      </c>
      <c r="K7" s="60">
        <f t="shared" si="2"/>
        <v>-7932.3700000000026</v>
      </c>
      <c r="L7" s="60">
        <f t="shared" si="2"/>
        <v>32681.93</v>
      </c>
      <c r="M7" s="60">
        <f t="shared" si="2"/>
        <v>57522</v>
      </c>
      <c r="N7" s="60">
        <f t="shared" si="2"/>
        <v>52522</v>
      </c>
      <c r="O7" s="61">
        <f>O5-O6</f>
        <v>168356.33999999997</v>
      </c>
    </row>
    <row r="8" spans="1:24" s="142" customFormat="1" x14ac:dyDescent="0.3">
      <c r="A8" s="149"/>
      <c r="B8" s="140" t="s">
        <v>23</v>
      </c>
      <c r="C8" s="140">
        <f>SUM($C6:C6)</f>
        <v>51418.499999999993</v>
      </c>
      <c r="D8" s="140">
        <f>SUM($C6:D6)</f>
        <v>111035.2</v>
      </c>
      <c r="E8" s="140">
        <f>SUM($C6:E6)</f>
        <v>158838.35</v>
      </c>
      <c r="F8" s="140">
        <f>SUM($C6:F6)</f>
        <v>213796.93</v>
      </c>
      <c r="G8" s="140">
        <f>SUM($C6:G6)</f>
        <v>269117.76</v>
      </c>
      <c r="H8" s="140">
        <f>SUM($C6:H6)</f>
        <v>327506.27</v>
      </c>
      <c r="I8" s="140">
        <f>SUM($C6:I6)</f>
        <v>390632.15</v>
      </c>
      <c r="J8" s="140">
        <f>SUM($C6:J6)</f>
        <v>450025.22000000003</v>
      </c>
      <c r="K8" s="140">
        <f>SUM($C6:K6)</f>
        <v>505479.59</v>
      </c>
      <c r="L8" s="140">
        <f>SUM($C6:L6)</f>
        <v>528819.66</v>
      </c>
      <c r="M8" s="140">
        <f>SUM($C6:M6)</f>
        <v>528819.66</v>
      </c>
      <c r="N8" s="140">
        <f>SUM($C6:N6)</f>
        <v>528819.66</v>
      </c>
      <c r="O8" s="150">
        <f>O6</f>
        <v>528819.66</v>
      </c>
    </row>
    <row r="9" spans="1:24" s="142" customFormat="1" x14ac:dyDescent="0.3">
      <c r="A9" s="151"/>
      <c r="B9" s="145" t="s">
        <v>25</v>
      </c>
      <c r="C9" s="145">
        <f>SUM($C5:C5)-C8</f>
        <v>16148.500000000007</v>
      </c>
      <c r="D9" s="145">
        <f>SUM($C5:D5)-D8</f>
        <v>54053.8</v>
      </c>
      <c r="E9" s="145">
        <f>SUM($C5:E5)-E8</f>
        <v>65076.649999999994</v>
      </c>
      <c r="F9" s="145">
        <f>SUM($C5:F5)-F8</f>
        <v>61640.070000000007</v>
      </c>
      <c r="G9" s="145">
        <f>SUM($C5:G5)-G8</f>
        <v>71341.239999999991</v>
      </c>
      <c r="H9" s="145">
        <f>SUM($C5:H5)-H8</f>
        <v>61974.729999999981</v>
      </c>
      <c r="I9" s="145">
        <f>SUM($C5:I5)-I8</f>
        <v>45933.849999999977</v>
      </c>
      <c r="J9" s="145">
        <f>SUM($C5:J5)-J8</f>
        <v>33562.77999999997</v>
      </c>
      <c r="K9" s="145">
        <f>SUM($C5:K5)-K8</f>
        <v>25630.409999999974</v>
      </c>
      <c r="L9" s="145">
        <f>SUM($C5:L5)-L8</f>
        <v>58312.339999999967</v>
      </c>
      <c r="M9" s="145">
        <f>SUM($C5:M5)-M8</f>
        <v>115834.33999999997</v>
      </c>
      <c r="N9" s="145">
        <f>SUM($C5:N5)-N8</f>
        <v>168356.33999999997</v>
      </c>
      <c r="O9" s="152"/>
    </row>
    <row r="10" spans="1:24" x14ac:dyDescent="0.3"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24" s="102" customFormat="1" ht="15" customHeight="1" x14ac:dyDescent="0.25">
      <c r="A11" s="236" t="s">
        <v>175</v>
      </c>
      <c r="B11" s="99" t="s">
        <v>16</v>
      </c>
      <c r="C11" s="104">
        <v>8000</v>
      </c>
      <c r="D11" s="104">
        <v>8000</v>
      </c>
      <c r="E11" s="104">
        <v>8000</v>
      </c>
      <c r="F11" s="104">
        <v>8000</v>
      </c>
      <c r="G11" s="104">
        <v>8000</v>
      </c>
      <c r="H11" s="104">
        <v>8000</v>
      </c>
      <c r="I11" s="104">
        <v>8000</v>
      </c>
      <c r="J11" s="104">
        <v>8000</v>
      </c>
      <c r="K11" s="104">
        <v>8000</v>
      </c>
      <c r="L11" s="104">
        <v>8000</v>
      </c>
      <c r="M11" s="104">
        <v>8000</v>
      </c>
      <c r="N11" s="104">
        <v>8000</v>
      </c>
      <c r="O11" s="101">
        <f t="shared" ref="O11:O39" si="3">SUM(C11:N11)</f>
        <v>96000</v>
      </c>
    </row>
    <row r="12" spans="1:24" s="102" customFormat="1" ht="46.8" x14ac:dyDescent="0.3">
      <c r="A12" s="235"/>
      <c r="B12" s="99" t="s">
        <v>29</v>
      </c>
      <c r="C12" s="100">
        <v>8000</v>
      </c>
      <c r="D12" s="100">
        <v>10500</v>
      </c>
      <c r="E12" s="100">
        <v>10500</v>
      </c>
      <c r="F12" s="100">
        <v>10500</v>
      </c>
      <c r="G12" s="100">
        <v>10500</v>
      </c>
      <c r="H12" s="100">
        <v>10500</v>
      </c>
      <c r="I12" s="100">
        <v>10500</v>
      </c>
      <c r="J12" s="100">
        <v>10500</v>
      </c>
      <c r="K12" s="100">
        <v>10500</v>
      </c>
      <c r="L12" s="100">
        <v>10500</v>
      </c>
      <c r="M12" s="100">
        <v>10500</v>
      </c>
      <c r="N12" s="100">
        <v>10500</v>
      </c>
      <c r="O12" s="103">
        <f>SUM(C12:N12)</f>
        <v>123500</v>
      </c>
      <c r="U12" s="200" t="s">
        <v>176</v>
      </c>
      <c r="X12" s="200" t="s">
        <v>177</v>
      </c>
    </row>
    <row r="13" spans="1:24" s="67" customFormat="1" ht="12.6" customHeight="1" x14ac:dyDescent="0.3">
      <c r="A13" s="155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66">
        <f>SUM(C13:N13)</f>
        <v>0</v>
      </c>
      <c r="U13" s="200" t="s">
        <v>178</v>
      </c>
      <c r="X13" s="200" t="s">
        <v>179</v>
      </c>
    </row>
    <row r="14" spans="1:24" s="67" customFormat="1" ht="12.6" customHeight="1" x14ac:dyDescent="0.3">
      <c r="A14" s="156"/>
      <c r="B14" s="116" t="s">
        <v>32</v>
      </c>
      <c r="C14" s="117">
        <v>8000</v>
      </c>
      <c r="D14" s="117">
        <v>10500</v>
      </c>
      <c r="E14" s="117">
        <v>10500</v>
      </c>
      <c r="F14" s="117">
        <v>10500</v>
      </c>
      <c r="G14" s="117">
        <v>10500</v>
      </c>
      <c r="H14" s="117">
        <v>10500</v>
      </c>
      <c r="I14" s="117">
        <v>10500</v>
      </c>
      <c r="J14" s="67">
        <f>10500+1650</f>
        <v>12150</v>
      </c>
      <c r="K14" s="117"/>
      <c r="L14" s="117"/>
      <c r="M14" s="117"/>
      <c r="N14" s="117"/>
      <c r="O14" s="118">
        <f>SUM(C14:N14)</f>
        <v>83150</v>
      </c>
      <c r="U14" s="200" t="s">
        <v>180</v>
      </c>
      <c r="X14" s="200" t="s">
        <v>181</v>
      </c>
    </row>
    <row r="15" spans="1:24" s="102" customFormat="1" ht="62.4" x14ac:dyDescent="0.3">
      <c r="A15" s="244" t="s">
        <v>182</v>
      </c>
      <c r="B15" s="124" t="s">
        <v>16</v>
      </c>
      <c r="C15" s="100"/>
      <c r="D15" s="100"/>
      <c r="E15" s="100"/>
      <c r="F15" s="100"/>
      <c r="G15" s="100"/>
      <c r="H15" s="100"/>
      <c r="I15" s="100"/>
      <c r="J15" s="117"/>
      <c r="K15" s="100"/>
      <c r="L15" s="100"/>
      <c r="M15" s="100"/>
      <c r="N15" s="100"/>
      <c r="O15" s="103"/>
      <c r="U15" s="200" t="s">
        <v>183</v>
      </c>
      <c r="X15" s="200" t="s">
        <v>184</v>
      </c>
    </row>
    <row r="16" spans="1:24" s="102" customFormat="1" ht="31.2" x14ac:dyDescent="0.3">
      <c r="A16" s="245"/>
      <c r="B16" s="99" t="s">
        <v>27</v>
      </c>
      <c r="C16" s="125">
        <v>5000</v>
      </c>
      <c r="D16" s="125">
        <v>5000</v>
      </c>
      <c r="E16" s="125">
        <v>5000</v>
      </c>
      <c r="F16" s="125">
        <v>5000</v>
      </c>
      <c r="G16" s="125">
        <v>5000</v>
      </c>
      <c r="H16" s="125">
        <v>5000</v>
      </c>
      <c r="I16" s="125">
        <v>5000</v>
      </c>
      <c r="J16" s="125">
        <v>5000</v>
      </c>
      <c r="K16" s="125">
        <v>5000</v>
      </c>
      <c r="L16" s="125">
        <v>5000</v>
      </c>
      <c r="M16" s="125">
        <v>5000</v>
      </c>
      <c r="N16" s="125">
        <v>5000</v>
      </c>
      <c r="O16" s="103">
        <f t="shared" ref="O16:O22" si="4">SUM(C16:N16)</f>
        <v>60000</v>
      </c>
      <c r="U16" s="200" t="s">
        <v>185</v>
      </c>
      <c r="X16" s="200" t="s">
        <v>186</v>
      </c>
    </row>
    <row r="17" spans="1:24" s="67" customFormat="1" ht="12.6" customHeight="1" x14ac:dyDescent="0.3">
      <c r="A17" s="155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/>
      <c r="U17" s="200" t="s">
        <v>187</v>
      </c>
      <c r="X17" s="200" t="s">
        <v>188</v>
      </c>
    </row>
    <row r="18" spans="1:24" s="67" customFormat="1" ht="12.6" customHeight="1" x14ac:dyDescent="0.3">
      <c r="A18" s="156"/>
      <c r="B18" s="116" t="s">
        <v>32</v>
      </c>
      <c r="C18" s="117"/>
      <c r="D18" s="117">
        <v>5000</v>
      </c>
      <c r="E18" s="117">
        <v>5000</v>
      </c>
      <c r="F18" s="117">
        <v>5000</v>
      </c>
      <c r="G18" s="117">
        <v>5000</v>
      </c>
      <c r="H18" s="117">
        <v>5000</v>
      </c>
      <c r="I18" s="117">
        <v>5000</v>
      </c>
      <c r="J18" s="117">
        <v>5000</v>
      </c>
      <c r="K18" s="117"/>
      <c r="L18" s="117"/>
      <c r="M18" s="117"/>
      <c r="N18" s="117"/>
      <c r="O18" s="118">
        <f t="shared" si="4"/>
        <v>35000</v>
      </c>
      <c r="U18" s="200" t="s">
        <v>189</v>
      </c>
      <c r="X18" s="200" t="s">
        <v>190</v>
      </c>
    </row>
    <row r="19" spans="1:24" s="102" customFormat="1" ht="31.2" x14ac:dyDescent="0.3">
      <c r="A19" s="236" t="s">
        <v>191</v>
      </c>
      <c r="B19" s="99" t="s">
        <v>16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3">
        <f t="shared" si="4"/>
        <v>0</v>
      </c>
      <c r="U19" s="200" t="s">
        <v>192</v>
      </c>
      <c r="X19" s="200" t="s">
        <v>193</v>
      </c>
    </row>
    <row r="20" spans="1:24" s="102" customFormat="1" ht="46.8" x14ac:dyDescent="0.3">
      <c r="A20" s="235"/>
      <c r="B20" s="99" t="s">
        <v>29</v>
      </c>
      <c r="C20" s="100">
        <v>0</v>
      </c>
      <c r="D20" s="100">
        <v>50000</v>
      </c>
      <c r="E20" s="100">
        <v>0</v>
      </c>
      <c r="F20" s="100">
        <v>0</v>
      </c>
      <c r="G20" s="100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3">
        <f>SUM(C20:N20)</f>
        <v>50000</v>
      </c>
      <c r="U20" s="200" t="s">
        <v>194</v>
      </c>
      <c r="X20" s="200" t="s">
        <v>195</v>
      </c>
    </row>
    <row r="21" spans="1:24" s="67" customFormat="1" ht="12.6" customHeight="1" x14ac:dyDescent="0.3">
      <c r="A21" s="155"/>
      <c r="B21" s="65" t="s">
        <v>31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66">
        <f>SUM(C21:N21)</f>
        <v>0</v>
      </c>
      <c r="U21" s="200" t="s">
        <v>196</v>
      </c>
      <c r="X21" s="200" t="s">
        <v>197</v>
      </c>
    </row>
    <row r="22" spans="1:24" s="67" customFormat="1" ht="12.6" customHeight="1" x14ac:dyDescent="0.3">
      <c r="A22" s="156"/>
      <c r="B22" s="116" t="s">
        <v>32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8">
        <f t="shared" si="4"/>
        <v>0</v>
      </c>
      <c r="U22" s="200" t="s">
        <v>198</v>
      </c>
      <c r="X22" s="200" t="s">
        <v>199</v>
      </c>
    </row>
    <row r="23" spans="1:24" s="102" customFormat="1" ht="156" x14ac:dyDescent="0.3">
      <c r="A23" s="236" t="s">
        <v>200</v>
      </c>
      <c r="B23" s="124" t="s">
        <v>16</v>
      </c>
      <c r="C23" s="104"/>
      <c r="D23" s="104"/>
      <c r="E23" s="104">
        <v>1303.6600000000001</v>
      </c>
      <c r="F23" s="104"/>
      <c r="G23" s="104"/>
      <c r="H23" s="104"/>
      <c r="I23" s="104"/>
      <c r="J23" s="104"/>
      <c r="K23" s="104"/>
      <c r="L23" s="104"/>
      <c r="M23" s="104"/>
      <c r="N23" s="104"/>
      <c r="O23" s="101">
        <f>SUM(C23:N23)</f>
        <v>1303.6600000000001</v>
      </c>
      <c r="U23" s="200" t="s">
        <v>201</v>
      </c>
      <c r="X23" s="200" t="s">
        <v>202</v>
      </c>
    </row>
    <row r="24" spans="1:24" s="102" customFormat="1" ht="46.8" x14ac:dyDescent="0.3">
      <c r="A24" s="235"/>
      <c r="B24" s="99" t="s">
        <v>29</v>
      </c>
      <c r="C24" s="100">
        <v>0</v>
      </c>
      <c r="D24" s="100">
        <v>0</v>
      </c>
      <c r="E24" s="100">
        <v>1304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>
        <v>0</v>
      </c>
      <c r="N24" s="100">
        <v>0</v>
      </c>
      <c r="O24" s="103">
        <f>SUM(C24:N24)</f>
        <v>1304</v>
      </c>
      <c r="U24" s="200" t="s">
        <v>203</v>
      </c>
    </row>
    <row r="25" spans="1:24" s="67" customFormat="1" ht="12.6" customHeight="1" x14ac:dyDescent="0.3">
      <c r="A25" s="155"/>
      <c r="B25" s="65" t="s">
        <v>31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66">
        <f>SUM(C25:N25)</f>
        <v>0</v>
      </c>
      <c r="U25" s="200" t="s">
        <v>204</v>
      </c>
    </row>
    <row r="26" spans="1:24" s="67" customFormat="1" ht="12.6" customHeight="1" x14ac:dyDescent="0.3">
      <c r="A26" s="156"/>
      <c r="B26" s="116" t="s">
        <v>32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8">
        <f>SUM(C26:N26)</f>
        <v>0</v>
      </c>
      <c r="U26" s="200" t="s">
        <v>205</v>
      </c>
    </row>
    <row r="27" spans="1:24" s="102" customFormat="1" ht="46.8" x14ac:dyDescent="0.3">
      <c r="A27" s="246" t="s">
        <v>206</v>
      </c>
      <c r="B27" s="99" t="s">
        <v>16</v>
      </c>
      <c r="C27" s="100">
        <v>2000</v>
      </c>
      <c r="D27" s="100">
        <v>2000</v>
      </c>
      <c r="E27" s="100">
        <v>2000</v>
      </c>
      <c r="F27" s="100">
        <v>2000</v>
      </c>
      <c r="G27" s="100">
        <v>2000</v>
      </c>
      <c r="H27" s="100">
        <v>2000</v>
      </c>
      <c r="I27" s="100">
        <v>2000</v>
      </c>
      <c r="J27" s="100">
        <v>2000</v>
      </c>
      <c r="K27" s="100">
        <v>2000</v>
      </c>
      <c r="L27" s="100">
        <v>2000</v>
      </c>
      <c r="M27" s="100">
        <v>2000</v>
      </c>
      <c r="N27" s="100">
        <v>2000</v>
      </c>
      <c r="O27" s="101">
        <f t="shared" si="3"/>
        <v>24000</v>
      </c>
      <c r="U27" s="200" t="s">
        <v>207</v>
      </c>
    </row>
    <row r="28" spans="1:24" s="102" customFormat="1" ht="31.2" x14ac:dyDescent="0.3">
      <c r="A28" s="247"/>
      <c r="B28" s="99" t="s">
        <v>29</v>
      </c>
      <c r="C28" s="100">
        <v>2000</v>
      </c>
      <c r="D28" s="100">
        <v>2000</v>
      </c>
      <c r="E28" s="100">
        <v>2000</v>
      </c>
      <c r="F28" s="100">
        <v>2000</v>
      </c>
      <c r="G28" s="100">
        <v>2000</v>
      </c>
      <c r="H28" s="100">
        <v>2000</v>
      </c>
      <c r="I28" s="100">
        <v>2000</v>
      </c>
      <c r="J28" s="100">
        <v>2000</v>
      </c>
      <c r="K28" s="100">
        <v>2000</v>
      </c>
      <c r="L28" s="100">
        <v>2000</v>
      </c>
      <c r="M28" s="100">
        <v>2000</v>
      </c>
      <c r="N28" s="100">
        <v>2000</v>
      </c>
      <c r="O28" s="103">
        <f>SUM(C28:N28)</f>
        <v>24000</v>
      </c>
      <c r="U28" s="200" t="s">
        <v>208</v>
      </c>
    </row>
    <row r="29" spans="1:24" s="67" customFormat="1" ht="12.6" customHeight="1" x14ac:dyDescent="0.3">
      <c r="A29" s="155" t="s">
        <v>209</v>
      </c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N29" s="115"/>
      <c r="O29" s="66">
        <f>SUM(C29:N29)</f>
        <v>0</v>
      </c>
      <c r="U29" s="200" t="s">
        <v>210</v>
      </c>
    </row>
    <row r="30" spans="1:24" s="67" customFormat="1" ht="12.6" customHeight="1" x14ac:dyDescent="0.3">
      <c r="A30" s="156"/>
      <c r="B30" s="116" t="s">
        <v>32</v>
      </c>
      <c r="C30" s="117">
        <v>2000</v>
      </c>
      <c r="D30" s="117">
        <v>2000</v>
      </c>
      <c r="E30" s="117">
        <v>2000</v>
      </c>
      <c r="F30" s="117">
        <v>2000</v>
      </c>
      <c r="G30" s="117">
        <v>2000</v>
      </c>
      <c r="H30" s="117">
        <v>2000</v>
      </c>
      <c r="I30" s="117">
        <v>2000</v>
      </c>
      <c r="J30" s="117">
        <v>2000</v>
      </c>
      <c r="K30" s="117">
        <v>2000</v>
      </c>
      <c r="L30" s="115">
        <v>2000</v>
      </c>
      <c r="M30" s="115"/>
      <c r="N30" s="117"/>
      <c r="O30" s="118">
        <f t="shared" si="3"/>
        <v>20000</v>
      </c>
      <c r="U30" s="200" t="s">
        <v>211</v>
      </c>
    </row>
    <row r="31" spans="1:24" s="102" customFormat="1" ht="31.2" x14ac:dyDescent="0.3">
      <c r="A31" s="236" t="s">
        <v>212</v>
      </c>
      <c r="B31" s="99" t="s">
        <v>16</v>
      </c>
      <c r="C31" s="100">
        <v>7283.77</v>
      </c>
      <c r="D31" s="100">
        <v>7283.77</v>
      </c>
      <c r="E31" s="100">
        <v>7283.77</v>
      </c>
      <c r="F31" s="100">
        <v>7283.77</v>
      </c>
      <c r="G31" s="100">
        <v>7283.77</v>
      </c>
      <c r="H31" s="100">
        <v>7283.77</v>
      </c>
      <c r="I31" s="100">
        <v>7283.77</v>
      </c>
      <c r="J31" s="100">
        <v>7283.77</v>
      </c>
      <c r="K31" s="100">
        <v>7283.77</v>
      </c>
      <c r="L31" s="100">
        <v>7283.77</v>
      </c>
      <c r="M31" s="100">
        <v>7283.77</v>
      </c>
      <c r="N31" s="100">
        <v>7283.77</v>
      </c>
      <c r="O31" s="101">
        <f t="shared" si="3"/>
        <v>87405.240000000034</v>
      </c>
      <c r="U31" s="200" t="s">
        <v>213</v>
      </c>
    </row>
    <row r="32" spans="1:24" s="102" customFormat="1" ht="12" x14ac:dyDescent="0.25">
      <c r="A32" s="235"/>
      <c r="B32" s="99" t="s">
        <v>29</v>
      </c>
      <c r="C32" s="100">
        <v>8625</v>
      </c>
      <c r="D32" s="100">
        <v>8625</v>
      </c>
      <c r="E32" s="100">
        <v>8625</v>
      </c>
      <c r="F32" s="100">
        <v>8625</v>
      </c>
      <c r="G32" s="100">
        <v>8625</v>
      </c>
      <c r="H32" s="100">
        <v>8625</v>
      </c>
      <c r="I32" s="100">
        <v>8625</v>
      </c>
      <c r="J32" s="100">
        <v>8625</v>
      </c>
      <c r="K32" s="100">
        <v>8625</v>
      </c>
      <c r="L32" s="100">
        <v>8625</v>
      </c>
      <c r="M32" s="100">
        <v>8625</v>
      </c>
      <c r="N32" s="100">
        <v>8625</v>
      </c>
      <c r="O32" s="103">
        <f>SUM(C32:N32)</f>
        <v>103500</v>
      </c>
    </row>
    <row r="33" spans="1:15" s="67" customFormat="1" ht="12.6" customHeight="1" x14ac:dyDescent="0.3">
      <c r="A33" s="155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>SUM(C33:N33)</f>
        <v>0</v>
      </c>
    </row>
    <row r="34" spans="1:15" s="67" customFormat="1" ht="12.6" customHeight="1" x14ac:dyDescent="0.3">
      <c r="A34" s="156"/>
      <c r="B34" s="116" t="s">
        <v>32</v>
      </c>
      <c r="C34" s="117">
        <v>9031.41</v>
      </c>
      <c r="D34" s="117">
        <v>9031.41</v>
      </c>
      <c r="E34" s="117">
        <v>9031.41</v>
      </c>
      <c r="F34" s="117">
        <v>9031.41</v>
      </c>
      <c r="G34" s="117">
        <v>9031.41</v>
      </c>
      <c r="H34" s="121">
        <v>9031.41</v>
      </c>
      <c r="I34" s="117">
        <f>9031.41</f>
        <v>9031.41</v>
      </c>
      <c r="J34" s="117">
        <f>9031.41</f>
        <v>9031.41</v>
      </c>
      <c r="K34" s="117">
        <f>9031.41</f>
        <v>9031.41</v>
      </c>
      <c r="L34" s="117">
        <v>9031.41</v>
      </c>
      <c r="M34" s="117"/>
      <c r="N34" s="117"/>
      <c r="O34" s="118">
        <f t="shared" si="3"/>
        <v>90314.10000000002</v>
      </c>
    </row>
    <row r="35" spans="1:15" s="102" customFormat="1" ht="12" x14ac:dyDescent="0.25">
      <c r="A35" s="236" t="s">
        <v>214</v>
      </c>
      <c r="B35" s="99" t="s">
        <v>16</v>
      </c>
      <c r="C35" s="100">
        <v>4462.82</v>
      </c>
      <c r="D35" s="100">
        <v>4211.46</v>
      </c>
      <c r="E35" s="100">
        <v>13958.01</v>
      </c>
      <c r="F35" s="100">
        <v>4450.26</v>
      </c>
      <c r="G35" s="100">
        <v>26013.08</v>
      </c>
      <c r="H35" s="100">
        <v>10241.879999999999</v>
      </c>
      <c r="I35" s="100">
        <v>5919.36</v>
      </c>
      <c r="J35" s="100">
        <v>9637.1200000000008</v>
      </c>
      <c r="K35" s="100">
        <v>8813.4500000000007</v>
      </c>
      <c r="L35" s="100">
        <v>13923.55</v>
      </c>
      <c r="M35" s="100">
        <v>13156.34</v>
      </c>
      <c r="N35" s="100">
        <v>15187.12</v>
      </c>
      <c r="O35" s="101">
        <f t="shared" ref="O35:O38" si="5">SUM(C35:N35)</f>
        <v>129974.44999999998</v>
      </c>
    </row>
    <row r="36" spans="1:15" s="102" customFormat="1" ht="12" x14ac:dyDescent="0.25">
      <c r="A36" s="235"/>
      <c r="B36" s="99" t="s">
        <v>29</v>
      </c>
      <c r="C36" s="100">
        <v>5000</v>
      </c>
      <c r="D36" s="100">
        <v>5000</v>
      </c>
      <c r="E36" s="100">
        <v>15000</v>
      </c>
      <c r="F36" s="100">
        <v>5000</v>
      </c>
      <c r="G36" s="100">
        <v>27000</v>
      </c>
      <c r="H36" s="100">
        <v>11000</v>
      </c>
      <c r="I36" s="100">
        <v>6000</v>
      </c>
      <c r="J36" s="100">
        <v>11000</v>
      </c>
      <c r="K36" s="100">
        <v>10000</v>
      </c>
      <c r="L36" s="100">
        <v>15000</v>
      </c>
      <c r="M36" s="100">
        <v>14000</v>
      </c>
      <c r="N36" s="100">
        <v>14000</v>
      </c>
      <c r="O36" s="103">
        <f>SUM(C36:N36)</f>
        <v>138000</v>
      </c>
    </row>
    <row r="37" spans="1:15" s="67" customFormat="1" ht="12.6" customHeight="1" x14ac:dyDescent="0.3">
      <c r="A37" s="155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>SUM(C37:N37)</f>
        <v>0</v>
      </c>
    </row>
    <row r="38" spans="1:15" s="67" customFormat="1" ht="12.6" customHeight="1" x14ac:dyDescent="0.3">
      <c r="A38" s="156"/>
      <c r="B38" s="116" t="s">
        <v>32</v>
      </c>
      <c r="C38" s="117">
        <v>19336.71</v>
      </c>
      <c r="D38" s="117">
        <v>14493.1</v>
      </c>
      <c r="E38" s="117">
        <v>4581.1499999999996</v>
      </c>
      <c r="F38" s="117">
        <v>12237.69</v>
      </c>
      <c r="G38" s="121">
        <v>10465.44</v>
      </c>
      <c r="H38" s="121">
        <v>14566.22</v>
      </c>
      <c r="I38" s="117">
        <f>16659.15</f>
        <v>16659.150000000001</v>
      </c>
      <c r="J38" s="117">
        <v>11471.28</v>
      </c>
      <c r="K38" s="117">
        <v>24445.58</v>
      </c>
      <c r="L38" s="117">
        <v>7436.28</v>
      </c>
      <c r="M38" s="117"/>
      <c r="N38" s="117"/>
      <c r="O38" s="118">
        <f t="shared" si="5"/>
        <v>135692.6</v>
      </c>
    </row>
    <row r="39" spans="1:15" s="102" customFormat="1" ht="12" x14ac:dyDescent="0.25">
      <c r="A39" s="236" t="s">
        <v>215</v>
      </c>
      <c r="B39" s="99" t="s">
        <v>16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1">
        <f t="shared" si="3"/>
        <v>0</v>
      </c>
    </row>
    <row r="40" spans="1:15" s="102" customFormat="1" ht="12" x14ac:dyDescent="0.25">
      <c r="A40" s="235"/>
      <c r="B40" s="99" t="s">
        <v>29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100">
        <v>0</v>
      </c>
      <c r="N40" s="100">
        <v>0</v>
      </c>
      <c r="O40" s="103">
        <f>SUM(C40:N40)</f>
        <v>0</v>
      </c>
    </row>
    <row r="41" spans="1:15" s="64" customFormat="1" ht="12.6" customHeight="1" x14ac:dyDescent="0.3">
      <c r="A41" s="155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>SUM(C41:N41)</f>
        <v>0</v>
      </c>
    </row>
    <row r="42" spans="1:15" s="64" customFormat="1" ht="12.6" customHeight="1" x14ac:dyDescent="0.3">
      <c r="A42" s="156"/>
      <c r="B42" s="7" t="s">
        <v>32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24">
        <f t="shared" ref="O42:O51" si="6">SUM(C42:N42)</f>
        <v>0</v>
      </c>
    </row>
    <row r="43" spans="1:15" s="102" customFormat="1" ht="12" x14ac:dyDescent="0.25">
      <c r="A43" s="236" t="s">
        <v>216</v>
      </c>
      <c r="B43" s="99" t="s">
        <v>16</v>
      </c>
      <c r="C43" s="100">
        <v>497.38</v>
      </c>
      <c r="D43" s="100">
        <v>497.38</v>
      </c>
      <c r="E43" s="100">
        <v>497.38</v>
      </c>
      <c r="F43" s="100">
        <v>497.38</v>
      </c>
      <c r="G43" s="100">
        <v>497.38</v>
      </c>
      <c r="H43" s="100">
        <v>497.38</v>
      </c>
      <c r="I43" s="100">
        <v>497.38</v>
      </c>
      <c r="J43" s="100">
        <v>497.38</v>
      </c>
      <c r="K43" s="100">
        <v>497.38</v>
      </c>
      <c r="L43" s="100">
        <v>497.38</v>
      </c>
      <c r="M43" s="100">
        <v>497.38</v>
      </c>
      <c r="N43" s="100">
        <v>497.38</v>
      </c>
      <c r="O43" s="101">
        <f t="shared" si="6"/>
        <v>5968.56</v>
      </c>
    </row>
    <row r="44" spans="1:15" s="102" customFormat="1" ht="12" x14ac:dyDescent="0.25">
      <c r="A44" s="235"/>
      <c r="B44" s="99" t="s">
        <v>29</v>
      </c>
      <c r="C44" s="100">
        <v>497</v>
      </c>
      <c r="D44" s="100">
        <v>497</v>
      </c>
      <c r="E44" s="100">
        <v>497</v>
      </c>
      <c r="F44" s="100">
        <v>497</v>
      </c>
      <c r="G44" s="100">
        <v>497</v>
      </c>
      <c r="H44" s="100">
        <v>497</v>
      </c>
      <c r="I44" s="100">
        <v>497</v>
      </c>
      <c r="J44" s="100">
        <v>497</v>
      </c>
      <c r="K44" s="100">
        <v>497</v>
      </c>
      <c r="L44" s="100">
        <v>497</v>
      </c>
      <c r="M44" s="100">
        <v>497</v>
      </c>
      <c r="N44" s="100">
        <v>497</v>
      </c>
      <c r="O44" s="103">
        <f>SUM(C44:N44)</f>
        <v>5964</v>
      </c>
    </row>
    <row r="45" spans="1:15" s="64" customFormat="1" ht="12.6" customHeight="1" x14ac:dyDescent="0.3">
      <c r="A45" s="154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>SUM(C45:N45)</f>
        <v>0</v>
      </c>
    </row>
    <row r="46" spans="1:15" s="64" customFormat="1" ht="12.6" customHeight="1" x14ac:dyDescent="0.3">
      <c r="A46" s="157"/>
      <c r="B46" s="7" t="s">
        <v>32</v>
      </c>
      <c r="C46" s="114">
        <v>497.38</v>
      </c>
      <c r="D46" s="114">
        <v>497.38</v>
      </c>
      <c r="E46" s="114">
        <v>497.38</v>
      </c>
      <c r="F46" s="114">
        <v>497.38</v>
      </c>
      <c r="G46" s="114">
        <v>497.38</v>
      </c>
      <c r="H46" s="114">
        <v>497.38</v>
      </c>
      <c r="I46" s="114">
        <v>497.38</v>
      </c>
      <c r="J46" s="114">
        <v>497.38</v>
      </c>
      <c r="K46" s="114">
        <v>497.38</v>
      </c>
      <c r="L46" s="114">
        <v>497.38</v>
      </c>
      <c r="M46" s="114"/>
      <c r="N46" s="114"/>
      <c r="O46" s="24">
        <f t="shared" si="6"/>
        <v>4973.8</v>
      </c>
    </row>
    <row r="47" spans="1:15" s="102" customFormat="1" ht="12" x14ac:dyDescent="0.25">
      <c r="A47" s="236" t="s">
        <v>217</v>
      </c>
      <c r="B47" s="99" t="s">
        <v>16</v>
      </c>
      <c r="C47" s="100">
        <v>4375</v>
      </c>
      <c r="D47" s="100">
        <v>4375</v>
      </c>
      <c r="E47" s="100">
        <v>4375</v>
      </c>
      <c r="F47" s="100">
        <v>4375</v>
      </c>
      <c r="G47" s="100">
        <v>4375</v>
      </c>
      <c r="H47" s="100">
        <v>4375</v>
      </c>
      <c r="I47" s="100">
        <v>4375</v>
      </c>
      <c r="J47" s="100">
        <v>4375</v>
      </c>
      <c r="K47" s="100">
        <v>4375</v>
      </c>
      <c r="L47" s="100">
        <v>4375</v>
      </c>
      <c r="M47" s="100">
        <v>4375</v>
      </c>
      <c r="N47" s="100">
        <v>4375</v>
      </c>
      <c r="O47" s="101">
        <f t="shared" si="6"/>
        <v>52500</v>
      </c>
    </row>
    <row r="48" spans="1:15" s="102" customFormat="1" ht="12" x14ac:dyDescent="0.25">
      <c r="A48" s="235"/>
      <c r="B48" s="99" t="s">
        <v>29</v>
      </c>
      <c r="C48" s="100">
        <v>4400</v>
      </c>
      <c r="D48" s="100">
        <v>4400</v>
      </c>
      <c r="E48" s="100">
        <v>4400</v>
      </c>
      <c r="F48" s="100">
        <v>4400</v>
      </c>
      <c r="G48" s="100">
        <v>4400</v>
      </c>
      <c r="H48" s="100">
        <v>4400</v>
      </c>
      <c r="I48" s="100">
        <v>4400</v>
      </c>
      <c r="J48" s="100">
        <v>4400</v>
      </c>
      <c r="K48" s="100">
        <v>4400</v>
      </c>
      <c r="L48" s="100">
        <v>4400</v>
      </c>
      <c r="M48" s="100">
        <v>4400</v>
      </c>
      <c r="N48" s="100">
        <v>4400</v>
      </c>
      <c r="O48" s="103">
        <f>SUM(C48:N48)</f>
        <v>52800</v>
      </c>
    </row>
    <row r="49" spans="1:15" s="64" customFormat="1" ht="12.6" customHeight="1" x14ac:dyDescent="0.3">
      <c r="A49" s="154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>SUM(C49:N49)</f>
        <v>0</v>
      </c>
    </row>
    <row r="50" spans="1:15" s="64" customFormat="1" ht="12.6" customHeight="1" x14ac:dyDescent="0.3">
      <c r="A50" s="157"/>
      <c r="B50" s="7" t="s">
        <v>32</v>
      </c>
      <c r="C50" s="114">
        <v>4375</v>
      </c>
      <c r="D50" s="114">
        <v>4374.9399999999996</v>
      </c>
      <c r="E50" s="114">
        <v>4375</v>
      </c>
      <c r="F50" s="114">
        <v>6363.6</v>
      </c>
      <c r="G50" s="114">
        <v>6363.6</v>
      </c>
      <c r="H50" s="114">
        <v>4375</v>
      </c>
      <c r="I50" s="114">
        <v>4375</v>
      </c>
      <c r="J50" s="114">
        <v>4375</v>
      </c>
      <c r="K50" s="114">
        <v>4375</v>
      </c>
      <c r="L50" s="114">
        <v>4375</v>
      </c>
      <c r="M50" s="114"/>
      <c r="N50" s="114"/>
      <c r="O50" s="24">
        <f t="shared" si="6"/>
        <v>47727.14</v>
      </c>
    </row>
    <row r="51" spans="1:15" s="102" customFormat="1" ht="12" customHeight="1" x14ac:dyDescent="0.25">
      <c r="A51" s="236" t="s">
        <v>218</v>
      </c>
      <c r="B51" s="99" t="s">
        <v>16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3">
        <f t="shared" si="6"/>
        <v>0</v>
      </c>
    </row>
    <row r="52" spans="1:15" s="102" customFormat="1" ht="12" x14ac:dyDescent="0.25">
      <c r="A52" s="235"/>
      <c r="B52" s="99" t="s">
        <v>29</v>
      </c>
      <c r="D52" s="100"/>
      <c r="E52" s="100"/>
      <c r="F52" s="100">
        <v>4500</v>
      </c>
      <c r="G52" s="100"/>
      <c r="H52" s="100"/>
      <c r="I52" s="100">
        <v>4500</v>
      </c>
      <c r="J52" s="100"/>
      <c r="K52" s="100"/>
      <c r="L52" s="100"/>
      <c r="M52" s="100"/>
      <c r="N52" s="100"/>
      <c r="O52" s="103">
        <f>SUM(D52:N52)</f>
        <v>9000</v>
      </c>
    </row>
    <row r="53" spans="1:15" s="64" customFormat="1" ht="12.6" customHeight="1" x14ac:dyDescent="0.3">
      <c r="A53" s="154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>SUM(C53:N53)</f>
        <v>0</v>
      </c>
    </row>
    <row r="54" spans="1:15" s="64" customFormat="1" ht="12.6" customHeight="1" x14ac:dyDescent="0.3">
      <c r="A54" s="157"/>
      <c r="B54" s="7" t="s">
        <v>32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24">
        <f t="shared" ref="O54:O84" si="7">SUM(C54:N54)</f>
        <v>0</v>
      </c>
    </row>
    <row r="55" spans="1:15" s="102" customFormat="1" ht="12" x14ac:dyDescent="0.25">
      <c r="A55" s="236" t="s">
        <v>219</v>
      </c>
      <c r="B55" s="99" t="s">
        <v>16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3">
        <f t="shared" si="7"/>
        <v>0</v>
      </c>
    </row>
    <row r="56" spans="1:15" s="102" customFormat="1" ht="12" x14ac:dyDescent="0.25">
      <c r="A56" s="235"/>
      <c r="B56" s="99" t="s">
        <v>29</v>
      </c>
      <c r="C56" s="100">
        <v>12000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3">
        <f>SUM(C56:N56)</f>
        <v>12000</v>
      </c>
    </row>
    <row r="57" spans="1:15" s="64" customFormat="1" ht="12.6" customHeight="1" x14ac:dyDescent="0.3">
      <c r="A57" s="154"/>
      <c r="B57" s="5" t="s">
        <v>31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7">
        <f>SUM(C57:N57)</f>
        <v>0</v>
      </c>
    </row>
    <row r="58" spans="1:15" s="64" customFormat="1" ht="12.6" customHeight="1" x14ac:dyDescent="0.3">
      <c r="A58" s="157"/>
      <c r="B58" s="7" t="s">
        <v>32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24">
        <f t="shared" si="7"/>
        <v>0</v>
      </c>
    </row>
    <row r="59" spans="1:15" s="102" customFormat="1" ht="12" x14ac:dyDescent="0.25">
      <c r="A59" s="236" t="s">
        <v>220</v>
      </c>
      <c r="B59" s="99" t="s">
        <v>16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3">
        <f t="shared" si="7"/>
        <v>0</v>
      </c>
    </row>
    <row r="60" spans="1:15" s="102" customFormat="1" ht="12" x14ac:dyDescent="0.25">
      <c r="A60" s="235"/>
      <c r="B60" s="99" t="s">
        <v>29</v>
      </c>
      <c r="C60" s="100">
        <v>2500</v>
      </c>
      <c r="D60" s="100">
        <v>2500</v>
      </c>
      <c r="E60" s="100">
        <v>2500</v>
      </c>
      <c r="F60" s="100">
        <v>2500</v>
      </c>
      <c r="G60" s="100">
        <v>2500</v>
      </c>
      <c r="H60" s="100">
        <v>2500</v>
      </c>
      <c r="I60" s="100">
        <v>2500</v>
      </c>
      <c r="J60" s="100">
        <v>2500</v>
      </c>
      <c r="K60" s="100">
        <v>2500</v>
      </c>
      <c r="L60" s="100">
        <v>2500</v>
      </c>
      <c r="M60" s="100">
        <v>2500</v>
      </c>
      <c r="N60" s="100">
        <v>2500</v>
      </c>
      <c r="O60" s="103">
        <f t="shared" si="7"/>
        <v>30000</v>
      </c>
    </row>
    <row r="61" spans="1:15" s="64" customFormat="1" ht="12.6" customHeight="1" x14ac:dyDescent="0.3">
      <c r="A61" s="154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>SUM(C61:N61)</f>
        <v>0</v>
      </c>
    </row>
    <row r="62" spans="1:15" s="64" customFormat="1" ht="12.6" customHeight="1" x14ac:dyDescent="0.3">
      <c r="A62" s="157"/>
      <c r="B62" s="7" t="s">
        <v>32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24">
        <f t="shared" si="7"/>
        <v>0</v>
      </c>
    </row>
    <row r="63" spans="1:15" s="102" customFormat="1" ht="12" x14ac:dyDescent="0.25">
      <c r="A63" s="236" t="s">
        <v>221</v>
      </c>
      <c r="B63" s="99" t="s">
        <v>16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3">
        <f t="shared" si="7"/>
        <v>0</v>
      </c>
    </row>
    <row r="64" spans="1:15" s="102" customFormat="1" ht="12" x14ac:dyDescent="0.25">
      <c r="A64" s="235"/>
      <c r="B64" s="99" t="s">
        <v>29</v>
      </c>
      <c r="C64" s="100">
        <v>0</v>
      </c>
      <c r="D64" s="100">
        <v>0</v>
      </c>
      <c r="E64" s="100">
        <v>0</v>
      </c>
      <c r="F64" s="100">
        <v>0</v>
      </c>
      <c r="G64" s="100">
        <v>0</v>
      </c>
      <c r="H64" s="100">
        <v>0</v>
      </c>
      <c r="I64" s="100">
        <v>0</v>
      </c>
      <c r="J64" s="100">
        <v>0</v>
      </c>
      <c r="K64" s="100">
        <v>0</v>
      </c>
      <c r="L64" s="100">
        <v>0</v>
      </c>
      <c r="M64" s="100">
        <v>0</v>
      </c>
      <c r="N64" s="100">
        <v>0</v>
      </c>
      <c r="O64" s="103">
        <f t="shared" si="7"/>
        <v>0</v>
      </c>
    </row>
    <row r="65" spans="1:22" s="64" customFormat="1" ht="12.6" customHeight="1" x14ac:dyDescent="0.3">
      <c r="A65" s="154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>SUM(C65:N65)</f>
        <v>0</v>
      </c>
    </row>
    <row r="66" spans="1:22" s="64" customFormat="1" ht="12.6" customHeight="1" x14ac:dyDescent="0.3">
      <c r="A66" s="157"/>
      <c r="B66" s="7" t="s">
        <v>32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24">
        <f t="shared" si="7"/>
        <v>0</v>
      </c>
    </row>
    <row r="67" spans="1:22" s="102" customFormat="1" ht="12.6" customHeight="1" x14ac:dyDescent="0.25">
      <c r="A67" s="236" t="s">
        <v>222</v>
      </c>
      <c r="B67" s="99" t="s">
        <v>16</v>
      </c>
      <c r="C67" s="100">
        <v>4044.25</v>
      </c>
      <c r="D67" s="100">
        <v>7694</v>
      </c>
      <c r="E67" s="100">
        <v>10706</v>
      </c>
      <c r="F67" s="100">
        <v>8836.5</v>
      </c>
      <c r="G67" s="100">
        <v>9637.5</v>
      </c>
      <c r="H67" s="100">
        <v>9693</v>
      </c>
      <c r="I67" s="100">
        <v>10572</v>
      </c>
      <c r="J67" s="100">
        <v>6592.5</v>
      </c>
      <c r="K67" s="100">
        <v>7162.5</v>
      </c>
      <c r="L67" s="100">
        <v>5333.15</v>
      </c>
      <c r="M67" s="100">
        <v>5128.5</v>
      </c>
      <c r="N67" s="100">
        <v>6000</v>
      </c>
      <c r="O67" s="103">
        <f t="shared" si="7"/>
        <v>91399.9</v>
      </c>
    </row>
    <row r="68" spans="1:22" s="102" customFormat="1" ht="12" x14ac:dyDescent="0.25">
      <c r="A68" s="235"/>
      <c r="B68" s="99" t="s">
        <v>29</v>
      </c>
      <c r="C68" s="100">
        <f>50*150</f>
        <v>7500</v>
      </c>
      <c r="D68" s="100">
        <f t="shared" ref="D68:N68" si="8">50*150</f>
        <v>7500</v>
      </c>
      <c r="E68" s="100">
        <f t="shared" si="8"/>
        <v>7500</v>
      </c>
      <c r="F68" s="100">
        <f t="shared" si="8"/>
        <v>7500</v>
      </c>
      <c r="G68" s="100">
        <f t="shared" si="8"/>
        <v>7500</v>
      </c>
      <c r="H68" s="100">
        <f t="shared" si="8"/>
        <v>7500</v>
      </c>
      <c r="I68" s="100">
        <f t="shared" si="8"/>
        <v>7500</v>
      </c>
      <c r="J68" s="100">
        <f t="shared" si="8"/>
        <v>7500</v>
      </c>
      <c r="K68" s="100">
        <f t="shared" si="8"/>
        <v>7500</v>
      </c>
      <c r="L68" s="100">
        <f t="shared" si="8"/>
        <v>7500</v>
      </c>
      <c r="M68" s="100">
        <f t="shared" si="8"/>
        <v>7500</v>
      </c>
      <c r="N68" s="100">
        <f t="shared" si="8"/>
        <v>7500</v>
      </c>
      <c r="O68" s="103">
        <f t="shared" si="7"/>
        <v>90000</v>
      </c>
    </row>
    <row r="69" spans="1:22" s="64" customFormat="1" x14ac:dyDescent="0.3">
      <c r="A69" s="154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>SUM(C69:N69)</f>
        <v>0</v>
      </c>
    </row>
    <row r="70" spans="1:22" s="64" customFormat="1" x14ac:dyDescent="0.3">
      <c r="A70" s="217"/>
      <c r="B70" s="7" t="s">
        <v>32</v>
      </c>
      <c r="C70" s="114">
        <v>8178</v>
      </c>
      <c r="D70" s="114">
        <v>9345</v>
      </c>
      <c r="E70" s="114">
        <v>11769</v>
      </c>
      <c r="F70" s="114">
        <v>9328.5</v>
      </c>
      <c r="G70" s="112">
        <v>11463</v>
      </c>
      <c r="H70" s="114">
        <v>12418.5</v>
      </c>
      <c r="I70" s="114">
        <v>14497.5</v>
      </c>
      <c r="J70" s="114">
        <v>14868</v>
      </c>
      <c r="K70" s="114">
        <v>15006</v>
      </c>
      <c r="L70" s="114"/>
      <c r="M70" s="114"/>
      <c r="N70" s="114"/>
      <c r="O70" s="24">
        <f t="shared" si="7"/>
        <v>106873.5</v>
      </c>
    </row>
    <row r="71" spans="1:22" s="102" customFormat="1" ht="12" x14ac:dyDescent="0.25">
      <c r="A71" s="236" t="s">
        <v>223</v>
      </c>
      <c r="B71" s="99" t="s">
        <v>16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3">
        <f t="shared" si="7"/>
        <v>0</v>
      </c>
    </row>
    <row r="72" spans="1:22" s="102" customFormat="1" ht="12" x14ac:dyDescent="0.25">
      <c r="A72" s="235"/>
      <c r="B72" s="99" t="s">
        <v>29</v>
      </c>
      <c r="C72" s="100">
        <v>0</v>
      </c>
      <c r="D72" s="100">
        <v>0</v>
      </c>
      <c r="E72" s="100">
        <v>0</v>
      </c>
      <c r="F72" s="100">
        <v>2000</v>
      </c>
      <c r="G72" s="100">
        <v>2000</v>
      </c>
      <c r="H72" s="100">
        <v>2000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3">
        <f t="shared" si="7"/>
        <v>6000</v>
      </c>
    </row>
    <row r="73" spans="1:22" s="64" customFormat="1" x14ac:dyDescent="0.3">
      <c r="A73" s="154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>SUM(C73:N73)</f>
        <v>0</v>
      </c>
    </row>
    <row r="74" spans="1:22" s="64" customFormat="1" x14ac:dyDescent="0.3">
      <c r="A74" s="157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24">
        <f t="shared" si="7"/>
        <v>0</v>
      </c>
    </row>
    <row r="75" spans="1:22" s="102" customFormat="1" ht="12" x14ac:dyDescent="0.25">
      <c r="A75" s="236" t="s">
        <v>224</v>
      </c>
      <c r="B75" s="99" t="s">
        <v>16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3">
        <f t="shared" si="7"/>
        <v>0</v>
      </c>
    </row>
    <row r="76" spans="1:22" s="102" customFormat="1" ht="12" x14ac:dyDescent="0.25">
      <c r="A76" s="235"/>
      <c r="B76" s="99" t="s">
        <v>29</v>
      </c>
      <c r="C76" s="100">
        <v>2000</v>
      </c>
      <c r="D76" s="100">
        <v>2000</v>
      </c>
      <c r="E76" s="100">
        <v>2000</v>
      </c>
      <c r="F76" s="100">
        <v>0</v>
      </c>
      <c r="G76" s="100">
        <v>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3">
        <f t="shared" si="7"/>
        <v>6000</v>
      </c>
    </row>
    <row r="77" spans="1:22" s="64" customFormat="1" x14ac:dyDescent="0.3">
      <c r="A77" s="154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7">
        <f>SUM(C77:N77)</f>
        <v>0</v>
      </c>
    </row>
    <row r="78" spans="1:22" s="64" customFormat="1" ht="15.6" x14ac:dyDescent="0.3">
      <c r="A78" s="157"/>
      <c r="B78" s="7" t="s">
        <v>32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24">
        <f t="shared" si="7"/>
        <v>0</v>
      </c>
      <c r="V78" s="200"/>
    </row>
    <row r="79" spans="1:22" s="102" customFormat="1" ht="15.6" x14ac:dyDescent="0.3">
      <c r="A79" s="236" t="s">
        <v>225</v>
      </c>
      <c r="B79" s="99" t="s">
        <v>16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3">
        <f t="shared" si="7"/>
        <v>0</v>
      </c>
      <c r="V79" s="200"/>
    </row>
    <row r="80" spans="1:22" s="102" customFormat="1" ht="15.6" x14ac:dyDescent="0.3">
      <c r="A80" s="235"/>
      <c r="B80" s="99" t="s">
        <v>29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2000</v>
      </c>
      <c r="M80" s="100">
        <v>2000</v>
      </c>
      <c r="N80" s="100">
        <v>2000</v>
      </c>
      <c r="O80" s="103">
        <f t="shared" si="7"/>
        <v>6000</v>
      </c>
      <c r="V80" s="200"/>
    </row>
    <row r="81" spans="1:22" s="64" customFormat="1" ht="15.6" x14ac:dyDescent="0.3">
      <c r="A81" s="154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7">
        <f>SUM(C81:N81)</f>
        <v>0</v>
      </c>
      <c r="V81" s="200"/>
    </row>
    <row r="82" spans="1:22" s="64" customFormat="1" ht="15.6" x14ac:dyDescent="0.3">
      <c r="A82" s="157"/>
      <c r="B82" s="7" t="s">
        <v>32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24">
        <f t="shared" si="7"/>
        <v>0</v>
      </c>
      <c r="V82" s="200"/>
    </row>
    <row r="83" spans="1:22" s="102" customFormat="1" ht="15.6" x14ac:dyDescent="0.3">
      <c r="A83" s="236" t="s">
        <v>226</v>
      </c>
      <c r="B83" s="99" t="s">
        <v>16</v>
      </c>
      <c r="C83" s="100"/>
      <c r="D83" s="100"/>
      <c r="E83" s="100"/>
      <c r="F83" s="100"/>
      <c r="G83" s="100"/>
      <c r="H83" s="100"/>
      <c r="I83" s="100">
        <v>565.44000000000005</v>
      </c>
      <c r="J83" s="100"/>
      <c r="K83" s="100"/>
      <c r="L83" s="100"/>
      <c r="M83" s="100"/>
      <c r="N83" s="100"/>
      <c r="O83" s="101">
        <f t="shared" si="7"/>
        <v>565.44000000000005</v>
      </c>
      <c r="V83" s="200"/>
    </row>
    <row r="84" spans="1:22" s="102" customFormat="1" ht="15.6" x14ac:dyDescent="0.3">
      <c r="A84" s="235"/>
      <c r="B84" s="99" t="s">
        <v>29</v>
      </c>
      <c r="C84" s="100">
        <v>0</v>
      </c>
      <c r="D84" s="100">
        <v>0</v>
      </c>
      <c r="E84" s="100">
        <v>0</v>
      </c>
      <c r="F84" s="100">
        <v>0</v>
      </c>
      <c r="G84" s="100">
        <v>0</v>
      </c>
      <c r="H84" s="100">
        <v>0</v>
      </c>
      <c r="I84" s="100">
        <v>563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3">
        <f t="shared" si="7"/>
        <v>563</v>
      </c>
      <c r="V84" s="200"/>
    </row>
    <row r="85" spans="1:22" s="64" customFormat="1" ht="15.6" x14ac:dyDescent="0.3">
      <c r="A85" s="154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7">
        <f>SUM(C85:N85)</f>
        <v>0</v>
      </c>
      <c r="V85" s="200"/>
    </row>
    <row r="86" spans="1:22" s="64" customFormat="1" ht="15.6" x14ac:dyDescent="0.3">
      <c r="A86" s="157"/>
      <c r="B86" s="7" t="s">
        <v>32</v>
      </c>
      <c r="C86" s="114"/>
      <c r="D86" s="114"/>
      <c r="E86" s="114"/>
      <c r="F86" s="114"/>
      <c r="G86" s="114"/>
      <c r="H86" s="114"/>
      <c r="I86" s="114">
        <v>565.44000000000005</v>
      </c>
      <c r="J86" s="114"/>
      <c r="K86" s="114"/>
      <c r="L86" s="114"/>
      <c r="M86" s="114"/>
      <c r="N86" s="114"/>
      <c r="O86" s="24">
        <f t="shared" ref="O86:O116" si="9">SUM(C86:N86)</f>
        <v>565.44000000000005</v>
      </c>
      <c r="V86" s="200"/>
    </row>
    <row r="87" spans="1:22" s="102" customFormat="1" ht="15.6" x14ac:dyDescent="0.3">
      <c r="A87" s="236" t="s">
        <v>227</v>
      </c>
      <c r="B87" s="99" t="s">
        <v>16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3">
        <f t="shared" si="9"/>
        <v>0</v>
      </c>
      <c r="V87" s="200"/>
    </row>
    <row r="88" spans="1:22" s="102" customFormat="1" ht="15.6" x14ac:dyDescent="0.3">
      <c r="A88" s="235"/>
      <c r="B88" s="99" t="s">
        <v>29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3">
        <f t="shared" si="9"/>
        <v>0</v>
      </c>
      <c r="V88" s="200"/>
    </row>
    <row r="89" spans="1:22" s="64" customFormat="1" ht="15.6" x14ac:dyDescent="0.3">
      <c r="A89" s="154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7">
        <f>SUM(C89:N89)</f>
        <v>0</v>
      </c>
      <c r="V89" s="200"/>
    </row>
    <row r="90" spans="1:22" s="64" customFormat="1" ht="15.6" x14ac:dyDescent="0.3">
      <c r="A90" s="157"/>
      <c r="B90" s="7" t="s">
        <v>32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24">
        <f t="shared" si="9"/>
        <v>0</v>
      </c>
      <c r="V90" s="200"/>
    </row>
    <row r="91" spans="1:22" s="102" customFormat="1" ht="15.6" x14ac:dyDescent="0.3">
      <c r="A91" s="236" t="s">
        <v>228</v>
      </c>
      <c r="B91" s="99" t="s">
        <v>16</v>
      </c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3">
        <f t="shared" si="9"/>
        <v>0</v>
      </c>
      <c r="V91" s="200"/>
    </row>
    <row r="92" spans="1:22" s="102" customFormat="1" ht="15.6" x14ac:dyDescent="0.3">
      <c r="A92" s="235"/>
      <c r="B92" s="99" t="s">
        <v>29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100">
        <v>0</v>
      </c>
      <c r="N92" s="100">
        <v>0</v>
      </c>
      <c r="O92" s="103">
        <f t="shared" si="9"/>
        <v>0</v>
      </c>
      <c r="V92" s="200"/>
    </row>
    <row r="93" spans="1:22" s="64" customFormat="1" ht="15.6" x14ac:dyDescent="0.3">
      <c r="A93" s="154"/>
      <c r="B93" s="5" t="s">
        <v>31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7">
        <f>SUM(C93:N93)</f>
        <v>0</v>
      </c>
      <c r="V93" s="200"/>
    </row>
    <row r="94" spans="1:22" s="64" customFormat="1" ht="15.6" x14ac:dyDescent="0.3">
      <c r="A94" s="157"/>
      <c r="B94" s="7" t="s">
        <v>32</v>
      </c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24">
        <f t="shared" si="9"/>
        <v>0</v>
      </c>
      <c r="V94" s="200"/>
    </row>
    <row r="95" spans="1:22" s="102" customFormat="1" ht="15.6" x14ac:dyDescent="0.3">
      <c r="A95" s="236" t="s">
        <v>229</v>
      </c>
      <c r="B95" s="99" t="s">
        <v>16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3">
        <f t="shared" si="9"/>
        <v>0</v>
      </c>
      <c r="V95" s="200"/>
    </row>
    <row r="96" spans="1:22" s="102" customFormat="1" ht="16.2" thickBot="1" x14ac:dyDescent="0.35">
      <c r="A96" s="235"/>
      <c r="B96" s="99" t="s">
        <v>29</v>
      </c>
      <c r="C96" s="100">
        <v>9000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100">
        <v>0</v>
      </c>
      <c r="N96" s="100">
        <v>0</v>
      </c>
      <c r="O96" s="103">
        <f t="shared" si="9"/>
        <v>9000</v>
      </c>
      <c r="V96" s="200"/>
    </row>
    <row r="97" spans="1:22" s="64" customFormat="1" ht="30.6" thickBot="1" x14ac:dyDescent="0.35">
      <c r="A97" s="221" t="s">
        <v>230</v>
      </c>
      <c r="B97" s="5" t="s">
        <v>31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7">
        <f>SUM(C97:N97)</f>
        <v>0</v>
      </c>
      <c r="V97" s="200"/>
    </row>
    <row r="98" spans="1:22" s="64" customFormat="1" x14ac:dyDescent="0.3">
      <c r="A98" s="157" t="s">
        <v>231</v>
      </c>
      <c r="B98" s="7" t="s">
        <v>32</v>
      </c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24">
        <f t="shared" si="9"/>
        <v>0</v>
      </c>
    </row>
    <row r="99" spans="1:22" s="102" customFormat="1" ht="12" x14ac:dyDescent="0.25">
      <c r="A99" s="236" t="s">
        <v>232</v>
      </c>
      <c r="B99" s="99" t="s">
        <v>16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3">
        <f t="shared" si="9"/>
        <v>0</v>
      </c>
    </row>
    <row r="100" spans="1:22" s="102" customFormat="1" ht="12" x14ac:dyDescent="0.25">
      <c r="A100" s="235"/>
      <c r="B100" s="99" t="s">
        <v>29</v>
      </c>
      <c r="C100" s="100">
        <v>1500</v>
      </c>
      <c r="D100" s="100">
        <v>0</v>
      </c>
      <c r="E100" s="100">
        <v>0</v>
      </c>
      <c r="F100" s="100">
        <v>1500</v>
      </c>
      <c r="G100" s="100">
        <v>0</v>
      </c>
      <c r="H100" s="100">
        <v>0</v>
      </c>
      <c r="I100" s="100">
        <v>0</v>
      </c>
      <c r="J100" s="100">
        <v>0</v>
      </c>
      <c r="K100" s="100">
        <v>1500</v>
      </c>
      <c r="L100" s="100">
        <v>0</v>
      </c>
      <c r="M100" s="100">
        <v>0</v>
      </c>
      <c r="N100" s="100">
        <v>0</v>
      </c>
      <c r="O100" s="103">
        <f t="shared" si="9"/>
        <v>4500</v>
      </c>
    </row>
    <row r="101" spans="1:22" s="64" customFormat="1" x14ac:dyDescent="0.3">
      <c r="A101" s="154"/>
      <c r="B101" s="5" t="s">
        <v>31</v>
      </c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7">
        <f>SUM(C101:N101)</f>
        <v>0</v>
      </c>
    </row>
    <row r="102" spans="1:22" s="64" customFormat="1" x14ac:dyDescent="0.3">
      <c r="A102" s="157"/>
      <c r="B102" s="7" t="s">
        <v>32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24">
        <f t="shared" si="9"/>
        <v>0</v>
      </c>
    </row>
    <row r="103" spans="1:22" s="102" customFormat="1" ht="12" x14ac:dyDescent="0.25">
      <c r="A103" s="236" t="s">
        <v>233</v>
      </c>
      <c r="B103" s="99" t="s">
        <v>16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3">
        <f t="shared" si="9"/>
        <v>0</v>
      </c>
    </row>
    <row r="104" spans="1:22" s="102" customFormat="1" ht="12" x14ac:dyDescent="0.25">
      <c r="A104" s="235"/>
      <c r="B104" s="99" t="s">
        <v>29</v>
      </c>
      <c r="C104" s="100">
        <v>0</v>
      </c>
      <c r="D104" s="100">
        <v>0</v>
      </c>
      <c r="E104" s="100">
        <v>0</v>
      </c>
      <c r="F104" s="100">
        <v>2500</v>
      </c>
      <c r="G104" s="100">
        <v>0</v>
      </c>
      <c r="H104" s="100">
        <v>0</v>
      </c>
      <c r="I104" s="100">
        <v>0</v>
      </c>
      <c r="J104" s="100">
        <v>0</v>
      </c>
      <c r="K104" s="100">
        <v>0</v>
      </c>
      <c r="L104" s="100">
        <v>2500</v>
      </c>
      <c r="M104" s="100">
        <v>0</v>
      </c>
      <c r="N104" s="100">
        <v>0</v>
      </c>
      <c r="O104" s="103">
        <f t="shared" si="9"/>
        <v>5000</v>
      </c>
    </row>
    <row r="105" spans="1:22" s="64" customFormat="1" x14ac:dyDescent="0.3">
      <c r="A105" s="216"/>
      <c r="B105" s="5" t="s">
        <v>31</v>
      </c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7">
        <f>SUM(C105:N105)</f>
        <v>0</v>
      </c>
    </row>
    <row r="106" spans="1:22" s="64" customFormat="1" x14ac:dyDescent="0.3">
      <c r="A106" s="217"/>
      <c r="B106" s="7" t="s">
        <v>32</v>
      </c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24">
        <f t="shared" si="9"/>
        <v>0</v>
      </c>
    </row>
    <row r="107" spans="1:22" s="102" customFormat="1" ht="12" x14ac:dyDescent="0.25">
      <c r="A107" s="236" t="s">
        <v>234</v>
      </c>
      <c r="B107" s="99" t="s">
        <v>16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3">
        <f t="shared" si="9"/>
        <v>0</v>
      </c>
    </row>
    <row r="108" spans="1:22" s="102" customFormat="1" ht="12" x14ac:dyDescent="0.25">
      <c r="A108" s="235"/>
      <c r="B108" s="99" t="s">
        <v>29</v>
      </c>
      <c r="C108" s="100">
        <v>45</v>
      </c>
      <c r="D108" s="100">
        <v>0</v>
      </c>
      <c r="E108" s="100">
        <v>0</v>
      </c>
      <c r="F108" s="100">
        <v>0</v>
      </c>
      <c r="G108" s="100">
        <v>0</v>
      </c>
      <c r="H108" s="100">
        <v>0</v>
      </c>
      <c r="I108" s="100">
        <v>0</v>
      </c>
      <c r="J108" s="100">
        <v>0</v>
      </c>
      <c r="K108" s="100">
        <v>0</v>
      </c>
      <c r="L108" s="100">
        <v>0</v>
      </c>
      <c r="M108" s="100">
        <v>5000</v>
      </c>
      <c r="N108" s="100">
        <v>0</v>
      </c>
      <c r="O108" s="103">
        <f t="shared" si="9"/>
        <v>5045</v>
      </c>
    </row>
    <row r="109" spans="1:22" s="64" customFormat="1" x14ac:dyDescent="0.3">
      <c r="A109" s="216"/>
      <c r="B109" s="5" t="s">
        <v>31</v>
      </c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7">
        <f>SUM(C109:N109)</f>
        <v>0</v>
      </c>
    </row>
    <row r="110" spans="1:22" s="64" customFormat="1" x14ac:dyDescent="0.3">
      <c r="A110" s="216"/>
      <c r="B110" s="7" t="s">
        <v>32</v>
      </c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24">
        <f t="shared" si="9"/>
        <v>0</v>
      </c>
    </row>
    <row r="111" spans="1:22" s="225" customFormat="1" ht="15" customHeight="1" x14ac:dyDescent="0.25">
      <c r="A111" s="236" t="s">
        <v>235</v>
      </c>
      <c r="B111" s="222" t="s">
        <v>16</v>
      </c>
      <c r="C111" s="223"/>
      <c r="D111" s="223"/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  <c r="O111" s="224">
        <f t="shared" si="9"/>
        <v>0</v>
      </c>
    </row>
    <row r="112" spans="1:22" s="225" customFormat="1" ht="12" x14ac:dyDescent="0.25">
      <c r="A112" s="235"/>
      <c r="B112" s="222" t="s">
        <v>29</v>
      </c>
      <c r="C112" s="223">
        <v>1500</v>
      </c>
      <c r="D112" s="223">
        <v>1500</v>
      </c>
      <c r="E112" s="223">
        <v>1500</v>
      </c>
      <c r="F112" s="223">
        <v>0</v>
      </c>
      <c r="G112" s="223">
        <v>0</v>
      </c>
      <c r="H112" s="223">
        <v>0</v>
      </c>
      <c r="I112" s="223">
        <v>0</v>
      </c>
      <c r="J112" s="223">
        <v>0</v>
      </c>
      <c r="K112" s="223">
        <v>0</v>
      </c>
      <c r="L112" s="223">
        <v>0</v>
      </c>
      <c r="M112" s="223">
        <v>0</v>
      </c>
      <c r="N112" s="223">
        <v>0</v>
      </c>
      <c r="O112" s="224">
        <f t="shared" si="9"/>
        <v>4500</v>
      </c>
    </row>
    <row r="113" spans="1:15" s="64" customFormat="1" x14ac:dyDescent="0.3">
      <c r="B113" s="5" t="s">
        <v>31</v>
      </c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7">
        <f>SUM(C113:N113)</f>
        <v>0</v>
      </c>
    </row>
    <row r="114" spans="1:15" s="64" customFormat="1" ht="12" customHeight="1" x14ac:dyDescent="0.3">
      <c r="A114" s="227" t="s">
        <v>236</v>
      </c>
      <c r="B114" s="7" t="s">
        <v>32</v>
      </c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24">
        <f t="shared" si="9"/>
        <v>0</v>
      </c>
    </row>
    <row r="115" spans="1:15" s="225" customFormat="1" ht="12" customHeight="1" x14ac:dyDescent="0.25">
      <c r="A115" s="236" t="s">
        <v>237</v>
      </c>
      <c r="B115" s="222" t="s">
        <v>16</v>
      </c>
      <c r="C115" s="223"/>
      <c r="D115" s="223"/>
      <c r="E115" s="223"/>
      <c r="F115" s="223"/>
      <c r="G115" s="223"/>
      <c r="H115" s="223"/>
      <c r="I115" s="223"/>
      <c r="J115" s="223"/>
      <c r="K115" s="223"/>
      <c r="L115" s="223"/>
      <c r="M115" s="223"/>
      <c r="N115" s="223"/>
      <c r="O115" s="224">
        <f t="shared" si="9"/>
        <v>0</v>
      </c>
    </row>
    <row r="116" spans="1:15" s="225" customFormat="1" ht="14.4" customHeight="1" x14ac:dyDescent="0.25">
      <c r="A116" s="235"/>
      <c r="B116" s="222" t="s">
        <v>29</v>
      </c>
      <c r="C116" s="223">
        <v>3000</v>
      </c>
      <c r="D116" s="223">
        <v>3000</v>
      </c>
      <c r="E116" s="223">
        <v>3000</v>
      </c>
      <c r="F116" s="223">
        <v>0</v>
      </c>
      <c r="G116" s="223">
        <v>0</v>
      </c>
      <c r="H116" s="223">
        <v>0</v>
      </c>
      <c r="I116" s="223">
        <v>0</v>
      </c>
      <c r="J116" s="223">
        <v>0</v>
      </c>
      <c r="K116" s="223">
        <v>0</v>
      </c>
      <c r="L116" s="223">
        <v>0</v>
      </c>
      <c r="M116" s="223">
        <v>0</v>
      </c>
      <c r="N116" s="223">
        <v>0</v>
      </c>
      <c r="O116" s="224">
        <f t="shared" si="9"/>
        <v>9000</v>
      </c>
    </row>
    <row r="117" spans="1:15" s="64" customFormat="1" ht="14.1" customHeight="1" x14ac:dyDescent="0.3">
      <c r="A117" s="218"/>
      <c r="B117" s="5" t="s">
        <v>31</v>
      </c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7">
        <f>SUM(C117:N117)</f>
        <v>0</v>
      </c>
    </row>
    <row r="118" spans="1:15" s="64" customFormat="1" ht="12" customHeight="1" x14ac:dyDescent="0.3">
      <c r="A118" s="218"/>
      <c r="B118" s="7" t="s">
        <v>32</v>
      </c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24">
        <f t="shared" ref="O118:O149" si="10">SUM(C118:N118)</f>
        <v>0</v>
      </c>
    </row>
    <row r="119" spans="1:15" s="225" customFormat="1" ht="12" customHeight="1" x14ac:dyDescent="0.25">
      <c r="A119" s="236" t="s">
        <v>238</v>
      </c>
      <c r="B119" s="222" t="s">
        <v>16</v>
      </c>
      <c r="C119" s="223"/>
      <c r="D119" s="223"/>
      <c r="E119" s="223"/>
      <c r="F119" s="223"/>
      <c r="G119" s="223"/>
      <c r="H119" s="223"/>
      <c r="I119" s="223"/>
      <c r="J119" s="223"/>
      <c r="K119" s="223"/>
      <c r="L119" s="223"/>
      <c r="M119" s="223"/>
      <c r="N119" s="223"/>
      <c r="O119" s="224">
        <f t="shared" si="10"/>
        <v>0</v>
      </c>
    </row>
    <row r="120" spans="1:15" s="225" customFormat="1" ht="14.4" customHeight="1" x14ac:dyDescent="0.25">
      <c r="A120" s="235"/>
      <c r="B120" s="222" t="s">
        <v>29</v>
      </c>
      <c r="C120" s="223">
        <v>0</v>
      </c>
      <c r="D120" s="223">
        <v>0</v>
      </c>
      <c r="E120" s="223">
        <v>0</v>
      </c>
      <c r="F120" s="223">
        <v>0</v>
      </c>
      <c r="G120" s="223">
        <v>0</v>
      </c>
      <c r="H120" s="223">
        <v>0</v>
      </c>
      <c r="I120" s="223">
        <v>0</v>
      </c>
      <c r="J120" s="223">
        <v>0</v>
      </c>
      <c r="K120" s="223">
        <v>0</v>
      </c>
      <c r="L120" s="223">
        <v>500</v>
      </c>
      <c r="M120" s="223">
        <v>500</v>
      </c>
      <c r="N120" s="223">
        <v>500</v>
      </c>
      <c r="O120" s="224">
        <f t="shared" si="10"/>
        <v>1500</v>
      </c>
    </row>
    <row r="121" spans="1:15" s="64" customFormat="1" ht="14.4" customHeight="1" x14ac:dyDescent="0.3">
      <c r="A121" s="218"/>
      <c r="B121" s="5" t="s">
        <v>31</v>
      </c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7">
        <f>SUM(C121:N121)</f>
        <v>0</v>
      </c>
    </row>
    <row r="122" spans="1:15" s="64" customFormat="1" ht="12" customHeight="1" x14ac:dyDescent="0.3">
      <c r="A122" s="219"/>
      <c r="B122" s="7" t="s">
        <v>32</v>
      </c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24">
        <f t="shared" si="10"/>
        <v>0</v>
      </c>
    </row>
    <row r="123" spans="1:15" s="225" customFormat="1" ht="12" customHeight="1" x14ac:dyDescent="0.25">
      <c r="A123" s="236" t="s">
        <v>239</v>
      </c>
      <c r="B123" s="222" t="s">
        <v>16</v>
      </c>
      <c r="C123" s="223"/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4">
        <f t="shared" si="10"/>
        <v>0</v>
      </c>
    </row>
    <row r="124" spans="1:15" s="225" customFormat="1" ht="11.4" customHeight="1" x14ac:dyDescent="0.25">
      <c r="A124" s="235"/>
      <c r="B124" s="222" t="s">
        <v>29</v>
      </c>
      <c r="C124" s="223">
        <v>0</v>
      </c>
      <c r="D124" s="223">
        <v>0</v>
      </c>
      <c r="E124" s="223">
        <v>0</v>
      </c>
      <c r="F124" s="223">
        <v>0</v>
      </c>
      <c r="G124" s="223">
        <v>0</v>
      </c>
      <c r="H124" s="223">
        <v>0</v>
      </c>
      <c r="I124" s="223">
        <v>0</v>
      </c>
      <c r="J124" s="223">
        <v>0</v>
      </c>
      <c r="K124" s="223">
        <v>0</v>
      </c>
      <c r="L124" s="223">
        <v>0</v>
      </c>
      <c r="M124" s="223">
        <v>0</v>
      </c>
      <c r="N124" s="223">
        <v>0</v>
      </c>
      <c r="O124" s="224">
        <f t="shared" si="10"/>
        <v>0</v>
      </c>
    </row>
    <row r="125" spans="1:15" s="64" customFormat="1" ht="14.4" customHeight="1" x14ac:dyDescent="0.3">
      <c r="A125" s="218"/>
      <c r="B125" s="5" t="s">
        <v>31</v>
      </c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7">
        <f>SUM(C125:N125)</f>
        <v>0</v>
      </c>
    </row>
    <row r="126" spans="1:15" s="64" customFormat="1" ht="12" customHeight="1" x14ac:dyDescent="0.3">
      <c r="A126" s="219"/>
      <c r="B126" s="7" t="s">
        <v>32</v>
      </c>
      <c r="C126" s="114"/>
      <c r="D126" s="114">
        <v>4374.87</v>
      </c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24">
        <f t="shared" si="10"/>
        <v>4374.87</v>
      </c>
    </row>
    <row r="127" spans="1:15" s="225" customFormat="1" ht="12" customHeight="1" x14ac:dyDescent="0.25">
      <c r="A127" s="236" t="s">
        <v>240</v>
      </c>
      <c r="B127" s="222" t="s">
        <v>16</v>
      </c>
      <c r="C127" s="223"/>
      <c r="D127" s="223"/>
      <c r="E127" s="223"/>
      <c r="F127" s="223"/>
      <c r="G127" s="223"/>
      <c r="H127" s="223"/>
      <c r="I127" s="223"/>
      <c r="J127" s="223"/>
      <c r="K127" s="223"/>
      <c r="L127" s="223"/>
      <c r="M127" s="223"/>
      <c r="N127" s="223"/>
      <c r="O127" s="224">
        <f t="shared" si="10"/>
        <v>0</v>
      </c>
    </row>
    <row r="128" spans="1:15" s="225" customFormat="1" ht="12" x14ac:dyDescent="0.25">
      <c r="A128" s="235"/>
      <c r="B128" s="222" t="s">
        <v>29</v>
      </c>
      <c r="C128" s="223">
        <v>0</v>
      </c>
      <c r="D128" s="223">
        <v>0</v>
      </c>
      <c r="E128" s="223">
        <v>0</v>
      </c>
      <c r="F128" s="223">
        <v>0</v>
      </c>
      <c r="G128" s="223">
        <v>0</v>
      </c>
      <c r="H128" s="223">
        <v>0</v>
      </c>
      <c r="I128" s="223">
        <v>0</v>
      </c>
      <c r="J128" s="223">
        <v>0</v>
      </c>
      <c r="K128" s="223">
        <v>0</v>
      </c>
      <c r="L128" s="223">
        <v>0</v>
      </c>
      <c r="M128" s="223">
        <v>0</v>
      </c>
      <c r="N128" s="223">
        <v>0</v>
      </c>
      <c r="O128" s="224">
        <f t="shared" si="10"/>
        <v>0</v>
      </c>
    </row>
    <row r="129" spans="1:15" s="64" customFormat="1" x14ac:dyDescent="0.3">
      <c r="A129" s="220"/>
      <c r="B129" s="5" t="s">
        <v>31</v>
      </c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7">
        <f>SUM(C129:N129)</f>
        <v>0</v>
      </c>
    </row>
    <row r="130" spans="1:15" s="64" customFormat="1" ht="12" customHeight="1" x14ac:dyDescent="0.3">
      <c r="A130" s="219"/>
      <c r="B130" s="7" t="s">
        <v>32</v>
      </c>
      <c r="C130" s="114"/>
      <c r="D130" s="114"/>
      <c r="E130" s="114">
        <v>49.21</v>
      </c>
      <c r="F130" s="114"/>
      <c r="G130" s="114"/>
      <c r="H130" s="114"/>
      <c r="I130" s="114"/>
      <c r="J130" s="114"/>
      <c r="K130" s="114"/>
      <c r="L130" s="114"/>
      <c r="M130" s="114"/>
      <c r="N130" s="114"/>
      <c r="O130" s="24">
        <f t="shared" si="10"/>
        <v>49.21</v>
      </c>
    </row>
    <row r="131" spans="1:15" s="225" customFormat="1" ht="13.35" customHeight="1" x14ac:dyDescent="0.25">
      <c r="A131" s="245" t="s">
        <v>241</v>
      </c>
      <c r="B131" s="222" t="s">
        <v>16</v>
      </c>
      <c r="C131" s="223"/>
      <c r="D131" s="223"/>
      <c r="E131" s="223"/>
      <c r="F131" s="223"/>
      <c r="G131" s="223"/>
      <c r="H131" s="223"/>
      <c r="I131" s="223"/>
      <c r="J131" s="223"/>
      <c r="K131" s="223"/>
      <c r="L131" s="223"/>
      <c r="M131" s="223"/>
      <c r="N131" s="223"/>
      <c r="O131" s="224">
        <f t="shared" si="10"/>
        <v>0</v>
      </c>
    </row>
    <row r="132" spans="1:15" s="225" customFormat="1" ht="12" x14ac:dyDescent="0.25">
      <c r="A132" s="245"/>
      <c r="B132" s="222" t="s">
        <v>29</v>
      </c>
      <c r="C132" s="223">
        <v>0</v>
      </c>
      <c r="D132" s="223">
        <v>0</v>
      </c>
      <c r="E132" s="223">
        <v>0</v>
      </c>
      <c r="F132" s="223">
        <v>0</v>
      </c>
      <c r="G132" s="223">
        <v>0</v>
      </c>
      <c r="H132" s="223">
        <v>0</v>
      </c>
      <c r="I132" s="223">
        <v>0</v>
      </c>
      <c r="J132" s="223">
        <v>0</v>
      </c>
      <c r="K132" s="223">
        <v>0</v>
      </c>
      <c r="L132" s="223">
        <v>0</v>
      </c>
      <c r="M132" s="223">
        <v>0</v>
      </c>
      <c r="N132" s="223">
        <v>0</v>
      </c>
      <c r="O132" s="224">
        <f>SUM(C132:N132)</f>
        <v>0</v>
      </c>
    </row>
    <row r="133" spans="1:15" s="64" customFormat="1" x14ac:dyDescent="0.3">
      <c r="A133" s="220"/>
      <c r="B133" s="5" t="s">
        <v>31</v>
      </c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7">
        <f t="shared" si="10"/>
        <v>0</v>
      </c>
    </row>
    <row r="134" spans="1:15" s="64" customFormat="1" x14ac:dyDescent="0.3">
      <c r="A134" s="245"/>
      <c r="B134" s="7" t="s">
        <v>32</v>
      </c>
      <c r="C134" s="114"/>
      <c r="D134" s="114"/>
      <c r="E134" s="114"/>
      <c r="F134" s="114"/>
      <c r="G134" s="114"/>
      <c r="H134" s="114"/>
      <c r="I134" s="114"/>
      <c r="J134" s="114"/>
      <c r="K134" s="114">
        <v>99</v>
      </c>
      <c r="L134" s="114"/>
      <c r="M134" s="114"/>
      <c r="N134" s="114"/>
      <c r="O134" s="24">
        <f t="shared" si="10"/>
        <v>99</v>
      </c>
    </row>
    <row r="135" spans="1:15" s="225" customFormat="1" ht="13.35" customHeight="1" x14ac:dyDescent="0.25">
      <c r="A135" s="245"/>
      <c r="B135" s="222" t="s">
        <v>16</v>
      </c>
      <c r="C135" s="223"/>
      <c r="D135" s="223"/>
      <c r="E135" s="223"/>
      <c r="F135" s="223"/>
      <c r="G135" s="223"/>
      <c r="H135" s="223"/>
      <c r="I135" s="223"/>
      <c r="J135" s="223"/>
      <c r="K135" s="223"/>
      <c r="L135" s="223"/>
      <c r="M135" s="223"/>
      <c r="N135" s="223"/>
      <c r="O135" s="224">
        <f t="shared" si="10"/>
        <v>0</v>
      </c>
    </row>
    <row r="136" spans="1:15" s="225" customFormat="1" ht="12" x14ac:dyDescent="0.25">
      <c r="A136" s="226"/>
      <c r="B136" s="222" t="s">
        <v>29</v>
      </c>
      <c r="C136" s="223">
        <v>0</v>
      </c>
      <c r="D136" s="223">
        <v>0</v>
      </c>
      <c r="E136" s="223">
        <v>0</v>
      </c>
      <c r="F136" s="223">
        <v>0</v>
      </c>
      <c r="G136" s="223">
        <v>0</v>
      </c>
      <c r="H136" s="223">
        <v>0</v>
      </c>
      <c r="I136" s="223">
        <v>0</v>
      </c>
      <c r="J136" s="223">
        <v>0</v>
      </c>
      <c r="K136" s="223">
        <v>0</v>
      </c>
      <c r="L136" s="223">
        <v>0</v>
      </c>
      <c r="M136" s="223">
        <v>0</v>
      </c>
      <c r="N136" s="223">
        <v>0</v>
      </c>
      <c r="O136" s="224">
        <f>SUM(C136:N136)</f>
        <v>0</v>
      </c>
    </row>
    <row r="137" spans="1:15" s="64" customFormat="1" x14ac:dyDescent="0.3">
      <c r="A137" s="220"/>
      <c r="B137" s="5" t="s">
        <v>31</v>
      </c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7">
        <f t="shared" si="10"/>
        <v>0</v>
      </c>
    </row>
    <row r="138" spans="1:15" s="64" customFormat="1" x14ac:dyDescent="0.3">
      <c r="A138" s="245"/>
      <c r="B138" s="7" t="s">
        <v>32</v>
      </c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24">
        <f t="shared" si="10"/>
        <v>0</v>
      </c>
    </row>
    <row r="139" spans="1:15" s="102" customFormat="1" ht="12" x14ac:dyDescent="0.25">
      <c r="A139" s="248"/>
      <c r="B139" s="99" t="s">
        <v>16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3">
        <f t="shared" si="10"/>
        <v>0</v>
      </c>
    </row>
    <row r="140" spans="1:15" s="225" customFormat="1" ht="12" x14ac:dyDescent="0.25">
      <c r="A140" s="226"/>
      <c r="B140" s="222" t="s">
        <v>29</v>
      </c>
      <c r="C140" s="223">
        <v>0</v>
      </c>
      <c r="D140" s="223">
        <v>0</v>
      </c>
      <c r="E140" s="223">
        <v>0</v>
      </c>
      <c r="F140" s="223">
        <v>0</v>
      </c>
      <c r="G140" s="223">
        <v>0</v>
      </c>
      <c r="H140" s="223">
        <v>0</v>
      </c>
      <c r="I140" s="223">
        <v>0</v>
      </c>
      <c r="J140" s="223">
        <v>0</v>
      </c>
      <c r="K140" s="223">
        <v>0</v>
      </c>
      <c r="L140" s="223">
        <v>0</v>
      </c>
      <c r="M140" s="223">
        <v>0</v>
      </c>
      <c r="N140" s="223">
        <v>0</v>
      </c>
      <c r="O140" s="224">
        <f>SUM(C140:N140)</f>
        <v>0</v>
      </c>
    </row>
    <row r="141" spans="1:15" s="64" customFormat="1" x14ac:dyDescent="0.3">
      <c r="A141" s="220"/>
      <c r="B141" s="5" t="s">
        <v>31</v>
      </c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7">
        <f t="shared" si="10"/>
        <v>0</v>
      </c>
    </row>
    <row r="142" spans="1:15" s="64" customFormat="1" x14ac:dyDescent="0.3">
      <c r="A142" s="245"/>
      <c r="B142" s="7" t="s">
        <v>32</v>
      </c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24">
        <f t="shared" si="10"/>
        <v>0</v>
      </c>
    </row>
    <row r="143" spans="1:15" s="225" customFormat="1" ht="12" x14ac:dyDescent="0.25">
      <c r="A143" s="248"/>
      <c r="B143" s="222" t="s">
        <v>16</v>
      </c>
      <c r="C143" s="223"/>
      <c r="D143" s="223"/>
      <c r="E143" s="223"/>
      <c r="F143" s="223"/>
      <c r="G143" s="223"/>
      <c r="H143" s="223"/>
      <c r="I143" s="223"/>
      <c r="J143" s="223"/>
      <c r="K143" s="223"/>
      <c r="L143" s="223"/>
      <c r="M143" s="223"/>
      <c r="N143" s="223"/>
      <c r="O143" s="224">
        <f t="shared" si="10"/>
        <v>0</v>
      </c>
    </row>
    <row r="144" spans="1:15" s="225" customFormat="1" ht="12" x14ac:dyDescent="0.25">
      <c r="A144" s="226"/>
      <c r="B144" s="222" t="s">
        <v>29</v>
      </c>
      <c r="C144" s="223">
        <v>0</v>
      </c>
      <c r="D144" s="223">
        <v>0</v>
      </c>
      <c r="E144" s="223">
        <v>0</v>
      </c>
      <c r="F144" s="223">
        <v>0</v>
      </c>
      <c r="G144" s="223">
        <v>0</v>
      </c>
      <c r="H144" s="223">
        <v>0</v>
      </c>
      <c r="I144" s="223">
        <v>0</v>
      </c>
      <c r="J144" s="223">
        <v>0</v>
      </c>
      <c r="K144" s="223">
        <v>0</v>
      </c>
      <c r="L144" s="223">
        <v>0</v>
      </c>
      <c r="M144" s="223">
        <v>0</v>
      </c>
      <c r="N144" s="223">
        <v>0</v>
      </c>
      <c r="O144" s="224">
        <f>SUM(C144:N144)</f>
        <v>0</v>
      </c>
    </row>
    <row r="145" spans="1:15" s="64" customFormat="1" x14ac:dyDescent="0.3">
      <c r="A145" s="220"/>
      <c r="B145" s="5" t="s">
        <v>31</v>
      </c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7">
        <f t="shared" si="10"/>
        <v>0</v>
      </c>
    </row>
    <row r="146" spans="1:15" s="64" customFormat="1" x14ac:dyDescent="0.3">
      <c r="A146" s="245"/>
      <c r="B146" s="7" t="s">
        <v>32</v>
      </c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24">
        <f t="shared" si="10"/>
        <v>0</v>
      </c>
    </row>
    <row r="147" spans="1:15" s="225" customFormat="1" ht="12" x14ac:dyDescent="0.25">
      <c r="A147" s="248"/>
      <c r="B147" s="222" t="s">
        <v>16</v>
      </c>
      <c r="C147" s="223"/>
      <c r="D147" s="223"/>
      <c r="E147" s="223"/>
      <c r="F147" s="223"/>
      <c r="G147" s="223"/>
      <c r="H147" s="223"/>
      <c r="I147" s="223"/>
      <c r="J147" s="223"/>
      <c r="K147" s="223"/>
      <c r="L147" s="223"/>
      <c r="M147" s="223"/>
      <c r="N147" s="223"/>
      <c r="O147" s="224">
        <f t="shared" si="10"/>
        <v>0</v>
      </c>
    </row>
    <row r="148" spans="1:15" s="225" customFormat="1" ht="12" x14ac:dyDescent="0.25">
      <c r="A148" s="226"/>
      <c r="B148" s="222" t="s">
        <v>29</v>
      </c>
      <c r="C148" s="223">
        <v>0</v>
      </c>
      <c r="D148" s="223">
        <v>0</v>
      </c>
      <c r="E148" s="223">
        <v>0</v>
      </c>
      <c r="F148" s="223">
        <v>0</v>
      </c>
      <c r="G148" s="223">
        <v>0</v>
      </c>
      <c r="H148" s="223">
        <v>0</v>
      </c>
      <c r="I148" s="223">
        <v>0</v>
      </c>
      <c r="J148" s="223">
        <v>0</v>
      </c>
      <c r="K148" s="223">
        <v>0</v>
      </c>
      <c r="L148" s="223">
        <v>0</v>
      </c>
      <c r="M148" s="223">
        <v>0</v>
      </c>
      <c r="N148" s="223">
        <v>0</v>
      </c>
      <c r="O148" s="224">
        <f>SUM(C148:N148)</f>
        <v>0</v>
      </c>
    </row>
    <row r="149" spans="1:15" s="64" customFormat="1" x14ac:dyDescent="0.3">
      <c r="A149" s="220"/>
      <c r="B149" s="5" t="s">
        <v>31</v>
      </c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7">
        <f t="shared" si="10"/>
        <v>0</v>
      </c>
    </row>
    <row r="150" spans="1:15" s="64" customFormat="1" x14ac:dyDescent="0.3">
      <c r="A150" s="245"/>
      <c r="B150" s="7" t="s">
        <v>32</v>
      </c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24">
        <f t="shared" ref="O150:O158" si="11">SUM(C150:N150)</f>
        <v>0</v>
      </c>
    </row>
    <row r="151" spans="1:15" s="225" customFormat="1" ht="12" x14ac:dyDescent="0.25">
      <c r="A151" s="248"/>
      <c r="B151" s="222" t="s">
        <v>16</v>
      </c>
      <c r="C151" s="223"/>
      <c r="D151" s="223"/>
      <c r="E151" s="223"/>
      <c r="F151" s="223"/>
      <c r="G151" s="223"/>
      <c r="H151" s="223"/>
      <c r="I151" s="223"/>
      <c r="J151" s="223"/>
      <c r="K151" s="223"/>
      <c r="L151" s="223"/>
      <c r="M151" s="223"/>
      <c r="N151" s="223"/>
      <c r="O151" s="224">
        <f t="shared" si="11"/>
        <v>0</v>
      </c>
    </row>
    <row r="152" spans="1:15" s="225" customFormat="1" ht="12" x14ac:dyDescent="0.25">
      <c r="A152" s="226"/>
      <c r="B152" s="222" t="s">
        <v>29</v>
      </c>
      <c r="C152" s="223">
        <v>0</v>
      </c>
      <c r="D152" s="223">
        <v>0</v>
      </c>
      <c r="E152" s="223">
        <v>0</v>
      </c>
      <c r="F152" s="223">
        <v>0</v>
      </c>
      <c r="G152" s="223">
        <v>0</v>
      </c>
      <c r="H152" s="223">
        <v>0</v>
      </c>
      <c r="I152" s="223">
        <v>0</v>
      </c>
      <c r="J152" s="223">
        <v>0</v>
      </c>
      <c r="K152" s="223">
        <v>0</v>
      </c>
      <c r="L152" s="223">
        <v>0</v>
      </c>
      <c r="M152" s="223">
        <v>0</v>
      </c>
      <c r="N152" s="223">
        <v>0</v>
      </c>
      <c r="O152" s="224">
        <f>SUM(C152:N152)</f>
        <v>0</v>
      </c>
    </row>
    <row r="153" spans="1:15" s="64" customFormat="1" x14ac:dyDescent="0.3">
      <c r="A153" s="220"/>
      <c r="B153" s="5" t="s">
        <v>31</v>
      </c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7">
        <f t="shared" si="11"/>
        <v>0</v>
      </c>
    </row>
    <row r="154" spans="1:15" s="64" customFormat="1" x14ac:dyDescent="0.3">
      <c r="A154" s="245"/>
      <c r="B154" s="7" t="s">
        <v>32</v>
      </c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24">
        <f t="shared" si="11"/>
        <v>0</v>
      </c>
    </row>
    <row r="155" spans="1:15" s="225" customFormat="1" ht="12" x14ac:dyDescent="0.25">
      <c r="A155" s="248"/>
      <c r="B155" s="222" t="s">
        <v>16</v>
      </c>
      <c r="C155" s="223"/>
      <c r="D155" s="223"/>
      <c r="E155" s="223"/>
      <c r="F155" s="223"/>
      <c r="G155" s="223"/>
      <c r="H155" s="223"/>
      <c r="I155" s="223"/>
      <c r="J155" s="223"/>
      <c r="K155" s="223"/>
      <c r="L155" s="223"/>
      <c r="M155" s="223"/>
      <c r="N155" s="223"/>
      <c r="O155" s="224">
        <f t="shared" si="11"/>
        <v>0</v>
      </c>
    </row>
    <row r="156" spans="1:15" s="225" customFormat="1" ht="12" x14ac:dyDescent="0.25">
      <c r="A156" s="226"/>
      <c r="B156" s="222" t="s">
        <v>29</v>
      </c>
      <c r="C156" s="223">
        <v>0</v>
      </c>
      <c r="D156" s="223">
        <v>0</v>
      </c>
      <c r="E156" s="223">
        <v>0</v>
      </c>
      <c r="F156" s="223">
        <v>0</v>
      </c>
      <c r="G156" s="223">
        <v>0</v>
      </c>
      <c r="H156" s="223">
        <v>0</v>
      </c>
      <c r="I156" s="223">
        <v>0</v>
      </c>
      <c r="J156" s="223">
        <v>0</v>
      </c>
      <c r="K156" s="223">
        <v>0</v>
      </c>
      <c r="L156" s="223">
        <v>0</v>
      </c>
      <c r="M156" s="223">
        <v>0</v>
      </c>
      <c r="N156" s="223">
        <v>0</v>
      </c>
      <c r="O156" s="224">
        <f>SUM(C156:N156)</f>
        <v>0</v>
      </c>
    </row>
    <row r="157" spans="1:15" s="64" customFormat="1" x14ac:dyDescent="0.3">
      <c r="A157" s="220"/>
      <c r="B157" s="5" t="s">
        <v>31</v>
      </c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7">
        <f t="shared" si="11"/>
        <v>0</v>
      </c>
    </row>
    <row r="158" spans="1:15" s="64" customFormat="1" x14ac:dyDescent="0.3">
      <c r="A158" s="237"/>
      <c r="B158" s="7" t="s">
        <v>32</v>
      </c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24">
        <f t="shared" si="11"/>
        <v>0</v>
      </c>
    </row>
    <row r="159" spans="1:15" s="102" customFormat="1" ht="12" x14ac:dyDescent="0.25">
      <c r="A159" s="237"/>
    </row>
    <row r="160" spans="1:15" s="64" customFormat="1" x14ac:dyDescent="0.3">
      <c r="A160" s="158"/>
    </row>
    <row r="161" spans="1:1" s="64" customFormat="1" x14ac:dyDescent="0.3">
      <c r="A161" s="158"/>
    </row>
    <row r="162" spans="1:1" s="102" customFormat="1" ht="12" x14ac:dyDescent="0.25">
      <c r="A162" s="237"/>
    </row>
    <row r="163" spans="1:1" s="102" customFormat="1" ht="12" x14ac:dyDescent="0.25">
      <c r="A163" s="237"/>
    </row>
    <row r="164" spans="1:1" s="64" customFormat="1" x14ac:dyDescent="0.3">
      <c r="A164" s="158"/>
    </row>
    <row r="165" spans="1:1" s="64" customFormat="1" x14ac:dyDescent="0.3">
      <c r="A165" s="158"/>
    </row>
    <row r="166" spans="1:1" s="102" customFormat="1" ht="12" x14ac:dyDescent="0.25">
      <c r="A166" s="237"/>
    </row>
    <row r="167" spans="1:1" s="102" customFormat="1" ht="12" x14ac:dyDescent="0.25">
      <c r="A167" s="237"/>
    </row>
    <row r="168" spans="1:1" s="64" customFormat="1" x14ac:dyDescent="0.3">
      <c r="A168" s="158"/>
    </row>
    <row r="169" spans="1:1" s="64" customFormat="1" x14ac:dyDescent="0.3">
      <c r="A169" s="158"/>
    </row>
    <row r="170" spans="1:1" s="102" customFormat="1" ht="12" x14ac:dyDescent="0.25">
      <c r="A170" s="237"/>
    </row>
    <row r="171" spans="1:1" s="102" customFormat="1" ht="12" x14ac:dyDescent="0.25">
      <c r="A171" s="237"/>
    </row>
    <row r="172" spans="1:1" s="64" customFormat="1" x14ac:dyDescent="0.3">
      <c r="A172" s="158"/>
    </row>
    <row r="173" spans="1:1" s="64" customFormat="1" x14ac:dyDescent="0.3">
      <c r="A173" s="158"/>
    </row>
    <row r="174" spans="1:1" s="102" customFormat="1" ht="12" x14ac:dyDescent="0.25">
      <c r="A174" s="237"/>
    </row>
    <row r="175" spans="1:1" s="102" customFormat="1" ht="12" x14ac:dyDescent="0.25">
      <c r="A175" s="237"/>
    </row>
    <row r="176" spans="1:1" s="64" customFormat="1" x14ac:dyDescent="0.3">
      <c r="A176" s="158"/>
    </row>
    <row r="177" spans="1:1" s="64" customFormat="1" x14ac:dyDescent="0.3">
      <c r="A177" s="158"/>
    </row>
    <row r="178" spans="1:1" s="102" customFormat="1" ht="12" x14ac:dyDescent="0.25">
      <c r="A178" s="237"/>
    </row>
    <row r="179" spans="1:1" s="102" customFormat="1" ht="12" x14ac:dyDescent="0.25">
      <c r="A179" s="237"/>
    </row>
    <row r="180" spans="1:1" s="64" customFormat="1" x14ac:dyDescent="0.3">
      <c r="A180" s="158"/>
    </row>
    <row r="181" spans="1:1" s="64" customFormat="1" x14ac:dyDescent="0.3">
      <c r="A181" s="158"/>
    </row>
    <row r="182" spans="1:1" s="102" customFormat="1" ht="12" x14ac:dyDescent="0.25">
      <c r="A182" s="237"/>
    </row>
    <row r="183" spans="1:1" s="102" customFormat="1" ht="12" x14ac:dyDescent="0.25">
      <c r="A183" s="237"/>
    </row>
    <row r="184" spans="1:1" s="64" customFormat="1" x14ac:dyDescent="0.3">
      <c r="A184" s="158"/>
    </row>
    <row r="185" spans="1:1" s="64" customFormat="1" x14ac:dyDescent="0.3">
      <c r="A185" s="158"/>
    </row>
    <row r="186" spans="1:1" s="102" customFormat="1" ht="12" x14ac:dyDescent="0.25">
      <c r="A186" s="237"/>
    </row>
    <row r="187" spans="1:1" s="102" customFormat="1" ht="12" x14ac:dyDescent="0.25">
      <c r="A187" s="237"/>
    </row>
    <row r="188" spans="1:1" s="64" customFormat="1" x14ac:dyDescent="0.3">
      <c r="A188" s="158"/>
    </row>
    <row r="189" spans="1:1" s="64" customFormat="1" x14ac:dyDescent="0.3">
      <c r="A189" s="158"/>
    </row>
    <row r="190" spans="1:1" s="102" customFormat="1" ht="12" x14ac:dyDescent="0.25">
      <c r="A190" s="237"/>
    </row>
    <row r="191" spans="1:1" s="102" customFormat="1" ht="12" x14ac:dyDescent="0.25">
      <c r="A191" s="237"/>
    </row>
    <row r="192" spans="1:1" s="64" customFormat="1" x14ac:dyDescent="0.3">
      <c r="A192" s="158"/>
    </row>
    <row r="193" spans="1:1" s="64" customFormat="1" x14ac:dyDescent="0.3">
      <c r="A193" s="158"/>
    </row>
    <row r="194" spans="1:1" s="102" customFormat="1" ht="12" x14ac:dyDescent="0.25">
      <c r="A194" s="237"/>
    </row>
    <row r="195" spans="1:1" s="102" customFormat="1" ht="12" x14ac:dyDescent="0.25">
      <c r="A195" s="237"/>
    </row>
    <row r="196" spans="1:1" s="64" customFormat="1" x14ac:dyDescent="0.3">
      <c r="A196" s="158"/>
    </row>
    <row r="197" spans="1:1" s="64" customFormat="1" x14ac:dyDescent="0.3">
      <c r="A197" s="158"/>
    </row>
    <row r="198" spans="1:1" s="102" customFormat="1" ht="12" x14ac:dyDescent="0.25">
      <c r="A198" s="237"/>
    </row>
    <row r="199" spans="1:1" s="102" customFormat="1" ht="12" x14ac:dyDescent="0.25">
      <c r="A199" s="237"/>
    </row>
    <row r="200" spans="1:1" s="64" customFormat="1" x14ac:dyDescent="0.3">
      <c r="A200" s="158"/>
    </row>
    <row r="201" spans="1:1" s="64" customFormat="1" x14ac:dyDescent="0.3">
      <c r="A201" s="158"/>
    </row>
    <row r="202" spans="1:1" s="102" customFormat="1" ht="12" x14ac:dyDescent="0.25">
      <c r="A202" s="237"/>
    </row>
    <row r="203" spans="1:1" s="102" customFormat="1" ht="12" x14ac:dyDescent="0.25">
      <c r="A203" s="237"/>
    </row>
    <row r="204" spans="1:1" s="64" customFormat="1" x14ac:dyDescent="0.3">
      <c r="A204" s="158"/>
    </row>
    <row r="205" spans="1:1" s="64" customFormat="1" x14ac:dyDescent="0.3">
      <c r="A205" s="158"/>
    </row>
    <row r="206" spans="1:1" s="102" customFormat="1" ht="12" x14ac:dyDescent="0.25">
      <c r="A206" s="237"/>
    </row>
    <row r="207" spans="1:1" s="102" customFormat="1" ht="12" x14ac:dyDescent="0.25">
      <c r="A207" s="237"/>
    </row>
    <row r="208" spans="1:1" s="64" customFormat="1" x14ac:dyDescent="0.3">
      <c r="A208" s="158"/>
    </row>
    <row r="209" spans="1:1" s="64" customFormat="1" x14ac:dyDescent="0.3">
      <c r="A209" s="158"/>
    </row>
    <row r="210" spans="1:1" s="102" customFormat="1" ht="12" x14ac:dyDescent="0.25">
      <c r="A210" s="237"/>
    </row>
    <row r="211" spans="1:1" s="102" customFormat="1" ht="12" x14ac:dyDescent="0.25">
      <c r="A211" s="237"/>
    </row>
    <row r="212" spans="1:1" s="64" customFormat="1" x14ac:dyDescent="0.3">
      <c r="A212" s="158"/>
    </row>
    <row r="213" spans="1:1" s="64" customFormat="1" x14ac:dyDescent="0.3">
      <c r="A213" s="158"/>
    </row>
    <row r="214" spans="1:1" s="102" customFormat="1" ht="12" x14ac:dyDescent="0.25">
      <c r="A214" s="237"/>
    </row>
    <row r="215" spans="1:1" s="102" customFormat="1" ht="12" x14ac:dyDescent="0.25">
      <c r="A215" s="237"/>
    </row>
    <row r="216" spans="1:1" s="64" customFormat="1" x14ac:dyDescent="0.3">
      <c r="A216" s="108"/>
    </row>
    <row r="217" spans="1:1" s="64" customFormat="1" x14ac:dyDescent="0.3">
      <c r="A217" s="108"/>
    </row>
  </sheetData>
  <mergeCells count="54">
    <mergeCell ref="A131:A132"/>
    <mergeCell ref="A210:A211"/>
    <mergeCell ref="A214:A215"/>
    <mergeCell ref="A3:A6"/>
    <mergeCell ref="A190:A191"/>
    <mergeCell ref="A194:A195"/>
    <mergeCell ref="A198:A199"/>
    <mergeCell ref="A202:A203"/>
    <mergeCell ref="A206:A207"/>
    <mergeCell ref="A170:A171"/>
    <mergeCell ref="A174:A175"/>
    <mergeCell ref="A178:A179"/>
    <mergeCell ref="A182:A183"/>
    <mergeCell ref="A186:A187"/>
    <mergeCell ref="A150:A151"/>
    <mergeCell ref="A154:A155"/>
    <mergeCell ref="A162:A163"/>
    <mergeCell ref="A166:A167"/>
    <mergeCell ref="A134:A135"/>
    <mergeCell ref="A138:A139"/>
    <mergeCell ref="A142:A143"/>
    <mergeCell ref="A146:A147"/>
    <mergeCell ref="A158:A159"/>
    <mergeCell ref="A1:O1"/>
    <mergeCell ref="A35:A36"/>
    <mergeCell ref="A39:A40"/>
    <mergeCell ref="A43:A44"/>
    <mergeCell ref="A63:A64"/>
    <mergeCell ref="A11:A12"/>
    <mergeCell ref="A15:A16"/>
    <mergeCell ref="A19:A20"/>
    <mergeCell ref="A23:A24"/>
    <mergeCell ref="A31:A32"/>
    <mergeCell ref="A27:A28"/>
    <mergeCell ref="A47:A48"/>
    <mergeCell ref="A51:A52"/>
    <mergeCell ref="A55:A56"/>
    <mergeCell ref="A59:A60"/>
    <mergeCell ref="A127:A128"/>
    <mergeCell ref="A67:A68"/>
    <mergeCell ref="A71:A72"/>
    <mergeCell ref="A75:A76"/>
    <mergeCell ref="A79:A80"/>
    <mergeCell ref="A83:A84"/>
    <mergeCell ref="A107:A108"/>
    <mergeCell ref="A111:A112"/>
    <mergeCell ref="A115:A116"/>
    <mergeCell ref="A119:A120"/>
    <mergeCell ref="A123:A124"/>
    <mergeCell ref="A87:A88"/>
    <mergeCell ref="A91:A92"/>
    <mergeCell ref="A95:A96"/>
    <mergeCell ref="A99:A100"/>
    <mergeCell ref="A103:A104"/>
  </mergeCells>
  <conditionalFormatting sqref="C6:N6">
    <cfRule type="cellIs" dxfId="21" priority="1" operator="greaterThan">
      <formula>C5*1.15</formula>
    </cfRule>
    <cfRule type="cellIs" dxfId="20" priority="2" operator="lessThan">
      <formula>C5*0.85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B10A-DE04-4F6B-B85E-A7016F302899}">
  <sheetPr codeName="Sheet7"/>
  <dimension ref="A1:S218"/>
  <sheetViews>
    <sheetView zoomScale="67" zoomScaleNormal="10" workbookViewId="0">
      <pane xSplit="1" ySplit="2" topLeftCell="L14" activePane="bottomRight" state="frozen"/>
      <selection pane="topRight" activeCell="M13" sqref="M13"/>
      <selection pane="bottomLeft" activeCell="M13" sqref="M13"/>
      <selection pane="bottomRight" activeCell="M13" sqref="M13"/>
    </sheetView>
  </sheetViews>
  <sheetFormatPr defaultColWidth="9.109375" defaultRowHeight="14.4" x14ac:dyDescent="0.3"/>
  <cols>
    <col min="1" max="1" width="34.5546875" style="54" bestFit="1" customWidth="1"/>
    <col min="2" max="2" width="22.88671875" style="52" bestFit="1" customWidth="1"/>
    <col min="3" max="14" width="12.5546875" style="52" customWidth="1"/>
    <col min="15" max="15" width="17" style="52" customWidth="1"/>
    <col min="16" max="16" width="10.88671875" style="52" bestFit="1" customWidth="1"/>
    <col min="17" max="17" width="12.109375" style="52" customWidth="1"/>
    <col min="18" max="16384" width="9.109375" style="52"/>
  </cols>
  <sheetData>
    <row r="1" spans="1:19" ht="33" customHeight="1" x14ac:dyDescent="0.6">
      <c r="A1" s="232" t="s">
        <v>242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19" x14ac:dyDescent="0.3">
      <c r="A2" s="68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69" t="s">
        <v>7</v>
      </c>
      <c r="J2" s="69" t="s">
        <v>8</v>
      </c>
      <c r="K2" s="69" t="s">
        <v>9</v>
      </c>
      <c r="L2" s="69" t="s">
        <v>10</v>
      </c>
      <c r="M2" s="69" t="s">
        <v>11</v>
      </c>
      <c r="N2" s="69" t="s">
        <v>12</v>
      </c>
      <c r="O2" s="69" t="s">
        <v>13</v>
      </c>
    </row>
    <row r="3" spans="1:19" s="102" customFormat="1" ht="14.4" customHeight="1" x14ac:dyDescent="0.25">
      <c r="A3" s="239" t="s">
        <v>15</v>
      </c>
      <c r="B3" s="181" t="s">
        <v>16</v>
      </c>
      <c r="C3" s="182">
        <f>SUMIFS(C$11:C996,$B$11:$B996,"Actual 2024")</f>
        <v>8376.9599999999991</v>
      </c>
      <c r="D3" s="182">
        <f>SUMIFS(D$11:D996,$B$11:$B996,"Actual 2024")</f>
        <v>8376.9599999999991</v>
      </c>
      <c r="E3" s="182">
        <f>SUMIFS(E$11:E996,$B$11:$B996,"Actual 2024")</f>
        <v>8376.9599999999991</v>
      </c>
      <c r="F3" s="182">
        <f>SUMIFS(F$11:F996,$B$11:$B996,"Actual 2024")</f>
        <v>17177.879999999997</v>
      </c>
      <c r="G3" s="182">
        <f>SUMIFS(G$11:G996,$B$11:$B996,"Actual 2024")</f>
        <v>23701.57</v>
      </c>
      <c r="H3" s="182">
        <f>SUMIFS(H$11:H996,$B$11:$B996,"Actual 2024")</f>
        <v>11057.630000000001</v>
      </c>
      <c r="I3" s="185">
        <f>SUMIFS(I$11:I996,$B$11:$B996,"Actual 2024")</f>
        <v>10209.419999999998</v>
      </c>
      <c r="J3" s="185">
        <f>SUMIFS(J$11:J996,$B$11:$B996,"Actual 2024")</f>
        <v>10209.419999999998</v>
      </c>
      <c r="K3" s="185">
        <f>SUMIFS(K$11:K996,$B$11:$B996,"Actual 2024")</f>
        <v>12596.25</v>
      </c>
      <c r="L3" s="185">
        <f>SUMIFS(L$11:L996,$B$11:$B996,"Actual 2024")</f>
        <v>12089.599999999999</v>
      </c>
      <c r="M3" s="185">
        <f>SUMIFS(M$11:M996,$B$11:$B996,"Actual 2024")</f>
        <v>25163.3</v>
      </c>
      <c r="N3" s="185">
        <f>SUMIFS(N$11:N996,$B$11:$B996,"Actual 2024")</f>
        <v>10209.419999999998</v>
      </c>
      <c r="O3" s="183">
        <f>SUMIFS(O$11:O996,$B$11:$B996,"Actual 2024")</f>
        <v>157545.36999999997</v>
      </c>
    </row>
    <row r="4" spans="1:19" s="102" customFormat="1" ht="14.4" customHeight="1" x14ac:dyDescent="0.25">
      <c r="A4" s="240"/>
      <c r="B4" s="184" t="s">
        <v>27</v>
      </c>
      <c r="C4" s="189">
        <f>SUMIFS(C$11:C996,$B$11:$B996,"Estimated")</f>
        <v>10209.459999999999</v>
      </c>
      <c r="D4" s="189">
        <f>SUMIFS(D$11:D996,$B$11:$B996,"Estimated")</f>
        <v>10209.459999999999</v>
      </c>
      <c r="E4" s="189">
        <f>SUMIFS(E$11:E996,$B$11:$B996,"Estimated")</f>
        <v>21832.46</v>
      </c>
      <c r="F4" s="189">
        <f>SUMIFS(F$11:F996,$B$11:$B996,"Estimated")</f>
        <v>10209.459999999999</v>
      </c>
      <c r="G4" s="189">
        <f>SUMIFS(G$11:G996,$B$11:$B996,"Estimated")</f>
        <v>16832.46</v>
      </c>
      <c r="H4" s="189">
        <f>SUMIFS(H$11:H996,$B$11:$B996,"Estimated")</f>
        <v>10209.459999999999</v>
      </c>
      <c r="I4" s="192">
        <f>SUMIFS(I$11:I996,$B$11:$B996,"Estimated")</f>
        <v>10209.459999999999</v>
      </c>
      <c r="J4" s="192">
        <f>SUMIFS(J$11:J996,$B$11:$B996,"Estimated")</f>
        <v>10209.459999999999</v>
      </c>
      <c r="K4" s="192">
        <f>SUMIFS(K$11:K996,$B$11:$B996,"Estimated")</f>
        <v>21832.46</v>
      </c>
      <c r="L4" s="192">
        <f>SUMIFS(L$11:L996,$B$11:$B996,"Estimated")</f>
        <v>10209.459999999999</v>
      </c>
      <c r="M4" s="192">
        <f>SUMIFS(M$11:M996,$B$11:$B996,"Estimated")</f>
        <v>10209.459999999999</v>
      </c>
      <c r="N4" s="192">
        <f>SUMIFS(N$11:N996,$B$11:$B996,"Estimated")</f>
        <v>10209.459999999999</v>
      </c>
      <c r="O4" s="191">
        <f>SUMIFS(O$11:O996,$B$11:$B996,"Estimated")</f>
        <v>152382.51999999999</v>
      </c>
      <c r="Q4" s="131">
        <f>O4-O3</f>
        <v>-5162.8499999999767</v>
      </c>
    </row>
    <row r="5" spans="1:19" s="166" customFormat="1" ht="14.4" customHeight="1" x14ac:dyDescent="0.3">
      <c r="A5" s="240"/>
      <c r="B5" s="162" t="s">
        <v>18</v>
      </c>
      <c r="C5" s="163">
        <v>10209.459999999999</v>
      </c>
      <c r="D5" s="171">
        <v>10209.459999999999</v>
      </c>
      <c r="E5" s="171">
        <v>21832.46</v>
      </c>
      <c r="F5" s="171">
        <v>10209.459999999999</v>
      </c>
      <c r="G5" s="171">
        <v>16832.46</v>
      </c>
      <c r="H5" s="171">
        <v>10209.459999999999</v>
      </c>
      <c r="I5" s="167">
        <v>10209.459999999999</v>
      </c>
      <c r="J5" s="167">
        <v>10209.459999999999</v>
      </c>
      <c r="K5" s="167">
        <v>21832.46</v>
      </c>
      <c r="L5" s="167">
        <v>10209.459999999999</v>
      </c>
      <c r="M5" s="167">
        <v>10209.459999999999</v>
      </c>
      <c r="N5" s="167">
        <v>10209.459999999999</v>
      </c>
      <c r="O5" s="164">
        <f t="shared" ref="O5" si="0">SUM(C5:N5)</f>
        <v>152382.51999999993</v>
      </c>
      <c r="P5" s="165">
        <v>152382.51999999999</v>
      </c>
    </row>
    <row r="6" spans="1:19" s="166" customFormat="1" ht="15" thickBot="1" x14ac:dyDescent="0.35">
      <c r="A6" s="241"/>
      <c r="B6" s="174" t="s">
        <v>19</v>
      </c>
      <c r="C6" s="175">
        <f>SUMIFS(C$11:C1001,$B$11:$B1001,"Actual")</f>
        <v>10467.720000000001</v>
      </c>
      <c r="D6" s="175">
        <f>SUMIFS(D$11:D1001,$B$11:$B1001,"Actual")</f>
        <v>12294.219999999998</v>
      </c>
      <c r="E6" s="175">
        <f>SUMIFS(E$11:E1001,$B$11:$B1001,"Actual")</f>
        <v>10209.419999999998</v>
      </c>
      <c r="F6" s="175">
        <f>SUMIFS(F$11:F1001,$B$11:$B1001,"Actual")</f>
        <v>9126.9599999999991</v>
      </c>
      <c r="G6" s="175">
        <f>SUMIFS(G$11:G1001,$B$11:$B1001,"Actual")</f>
        <v>21267.289999999997</v>
      </c>
      <c r="H6" s="175">
        <f>SUMIFS(H$11:H1001,$B$11:$B1001,"Actual")</f>
        <v>13282.009999999998</v>
      </c>
      <c r="I6" s="177">
        <f>SUMIFS(I$11:I1001,$B$11:$B1001,"Actual")</f>
        <v>8376.9599999999991</v>
      </c>
      <c r="J6" s="177">
        <f>SUMIFS(J$11:J1001,$B$11:$B1001,"Actual")</f>
        <v>8376.9599999999991</v>
      </c>
      <c r="K6" s="177">
        <f>SUMIFS(K$11:K1001,$B$11:$B1001,"Actual")</f>
        <v>10209.419999999998</v>
      </c>
      <c r="L6" s="177">
        <f>SUMIFS(L$11:L1001,$B$11:$B1001,"Actual")</f>
        <v>0</v>
      </c>
      <c r="M6" s="177">
        <f>SUMIFS(M$11:M1001,$B$11:$B1001,"Actual")</f>
        <v>0</v>
      </c>
      <c r="N6" s="177">
        <f>SUMIFS(N$11:N1001,$B$11:$B1001,"Actual")</f>
        <v>0</v>
      </c>
      <c r="O6" s="176">
        <f>SUMIFS(O$11:O1001,$B$11:$B1001,"Actual")</f>
        <v>103610.95999999998</v>
      </c>
    </row>
    <row r="7" spans="1:19" s="64" customFormat="1" ht="15" thickTop="1" x14ac:dyDescent="0.3">
      <c r="A7" s="134"/>
      <c r="B7" s="70" t="s">
        <v>21</v>
      </c>
      <c r="C7" s="60">
        <f t="shared" ref="C7:I7" si="1">C5-C6</f>
        <v>-258.26000000000204</v>
      </c>
      <c r="D7" s="60">
        <f t="shared" si="1"/>
        <v>-2084.7599999999984</v>
      </c>
      <c r="E7" s="60">
        <f t="shared" si="1"/>
        <v>11623.04</v>
      </c>
      <c r="F7" s="60">
        <f t="shared" si="1"/>
        <v>1082.5</v>
      </c>
      <c r="G7" s="60">
        <f t="shared" si="1"/>
        <v>-4434.8299999999981</v>
      </c>
      <c r="H7" s="60">
        <f t="shared" si="1"/>
        <v>-3072.5499999999993</v>
      </c>
      <c r="I7" s="60">
        <f t="shared" si="1"/>
        <v>1832.5</v>
      </c>
      <c r="J7" s="60">
        <f t="shared" ref="J7:N7" si="2">J5-J6</f>
        <v>1832.5</v>
      </c>
      <c r="K7" s="60">
        <f t="shared" si="2"/>
        <v>11623.04</v>
      </c>
      <c r="L7" s="60">
        <f t="shared" si="2"/>
        <v>10209.459999999999</v>
      </c>
      <c r="M7" s="60">
        <f t="shared" si="2"/>
        <v>10209.459999999999</v>
      </c>
      <c r="N7" s="60">
        <f t="shared" si="2"/>
        <v>10209.459999999999</v>
      </c>
      <c r="O7" s="75">
        <f>O5-O6</f>
        <v>48771.559999999954</v>
      </c>
      <c r="P7" s="135">
        <f>O4-O7</f>
        <v>103610.96000000004</v>
      </c>
    </row>
    <row r="8" spans="1:19" s="142" customFormat="1" x14ac:dyDescent="0.3">
      <c r="A8" s="138"/>
      <c r="B8" s="139" t="s">
        <v>23</v>
      </c>
      <c r="C8" s="140">
        <f>SUM($C6:C6)</f>
        <v>10467.720000000001</v>
      </c>
      <c r="D8" s="140">
        <f>SUM($C6:D6)</f>
        <v>22761.94</v>
      </c>
      <c r="E8" s="140">
        <f>SUM($C6:E6)</f>
        <v>32971.360000000001</v>
      </c>
      <c r="F8" s="140">
        <f>SUM($C6:F6)</f>
        <v>42098.32</v>
      </c>
      <c r="G8" s="140">
        <f>SUM($C6:G6)</f>
        <v>63365.61</v>
      </c>
      <c r="H8" s="140">
        <f>SUM($C6:H6)</f>
        <v>76647.62</v>
      </c>
      <c r="I8" s="140">
        <f>SUM($C6:I6)</f>
        <v>85024.579999999987</v>
      </c>
      <c r="J8" s="140">
        <f>SUM($C6:J6)</f>
        <v>93401.539999999979</v>
      </c>
      <c r="K8" s="140">
        <f>SUM($C6:K6)</f>
        <v>103610.95999999998</v>
      </c>
      <c r="L8" s="140">
        <f>SUM($C6:L6)</f>
        <v>103610.95999999998</v>
      </c>
      <c r="M8" s="140">
        <f>SUM($C6:M6)</f>
        <v>103610.95999999998</v>
      </c>
      <c r="N8" s="140">
        <f>SUM($C6:N6)</f>
        <v>103610.95999999998</v>
      </c>
      <c r="O8" s="141">
        <f>O6</f>
        <v>103610.95999999998</v>
      </c>
    </row>
    <row r="9" spans="1:19" s="142" customFormat="1" x14ac:dyDescent="0.3">
      <c r="A9" s="143"/>
      <c r="B9" s="144" t="s">
        <v>25</v>
      </c>
      <c r="C9" s="145">
        <f>SUM($C5:C5)-C8</f>
        <v>-258.26000000000204</v>
      </c>
      <c r="D9" s="145">
        <f>SUM($C5:D5)-D8</f>
        <v>-2343.0200000000004</v>
      </c>
      <c r="E9" s="145">
        <f>SUM($C5:E5)-E8</f>
        <v>9280.0199999999968</v>
      </c>
      <c r="F9" s="145">
        <f>SUM($C5:F5)-F8</f>
        <v>10362.519999999997</v>
      </c>
      <c r="G9" s="145">
        <f>SUM($C5:G5)-G8</f>
        <v>5927.6899999999878</v>
      </c>
      <c r="H9" s="145">
        <f>SUM($C5:H5)-H8</f>
        <v>2855.1399999999849</v>
      </c>
      <c r="I9" s="145">
        <f>SUM($C5:I5)-I8</f>
        <v>4687.6399999999849</v>
      </c>
      <c r="J9" s="145">
        <f>SUM($C5:J5)-J8</f>
        <v>6520.1399999999849</v>
      </c>
      <c r="K9" s="145">
        <f>SUM($C5:K5)-K8</f>
        <v>18143.179999999978</v>
      </c>
      <c r="L9" s="145">
        <f>SUM($C5:L5)-L8</f>
        <v>28352.63999999997</v>
      </c>
      <c r="M9" s="145">
        <f>SUM($C5:M5)-M8</f>
        <v>38562.099999999962</v>
      </c>
      <c r="N9" s="145">
        <f>SUM($C5:N5)-N8</f>
        <v>48771.559999999954</v>
      </c>
      <c r="O9" s="146"/>
    </row>
    <row r="10" spans="1:19" ht="15.6" x14ac:dyDescent="0.3"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S10" s="200"/>
    </row>
    <row r="11" spans="1:19" s="102" customFormat="1" ht="15.6" x14ac:dyDescent="0.3">
      <c r="A11" s="235" t="s">
        <v>243</v>
      </c>
      <c r="B11" s="99" t="s">
        <v>16</v>
      </c>
      <c r="C11" s="100">
        <v>8376.9599999999991</v>
      </c>
      <c r="D11" s="100">
        <v>8376.9599999999991</v>
      </c>
      <c r="E11" s="100">
        <v>8376.9599999999991</v>
      </c>
      <c r="F11" s="100">
        <v>8376.9599999999991</v>
      </c>
      <c r="G11" s="100">
        <v>12273.07</v>
      </c>
      <c r="H11" s="100">
        <v>9225.17</v>
      </c>
      <c r="I11" s="100">
        <v>8376.9599999999991</v>
      </c>
      <c r="J11" s="100">
        <v>8376.9599999999991</v>
      </c>
      <c r="K11" s="100">
        <v>10763.79</v>
      </c>
      <c r="L11" s="100">
        <v>8376.9599999999991</v>
      </c>
      <c r="M11" s="100">
        <v>18848.16</v>
      </c>
      <c r="N11" s="100">
        <v>8376.9599999999991</v>
      </c>
      <c r="O11" s="103">
        <f t="shared" ref="O11:O18" si="3">SUM(C11:N11)</f>
        <v>118125.87</v>
      </c>
      <c r="S11" s="200"/>
    </row>
    <row r="12" spans="1:19" s="102" customFormat="1" ht="15.6" x14ac:dyDescent="0.3">
      <c r="A12" s="235"/>
      <c r="B12" s="99" t="s">
        <v>29</v>
      </c>
      <c r="C12" s="100">
        <v>8377</v>
      </c>
      <c r="D12" s="100">
        <v>8377</v>
      </c>
      <c r="E12" s="100">
        <v>20000</v>
      </c>
      <c r="F12" s="100">
        <v>8377</v>
      </c>
      <c r="G12" s="100">
        <v>15000</v>
      </c>
      <c r="H12" s="100">
        <v>8377</v>
      </c>
      <c r="I12" s="100">
        <v>8377</v>
      </c>
      <c r="J12" s="100">
        <v>8377</v>
      </c>
      <c r="K12" s="100">
        <v>20000</v>
      </c>
      <c r="L12" s="100">
        <v>8377</v>
      </c>
      <c r="M12" s="100">
        <v>8377</v>
      </c>
      <c r="N12" s="100">
        <v>8377</v>
      </c>
      <c r="O12" s="103">
        <f>SUM(C12:N12)</f>
        <v>130393</v>
      </c>
      <c r="S12" s="200"/>
    </row>
    <row r="13" spans="1:19" s="67" customFormat="1" ht="12.6" customHeight="1" x14ac:dyDescent="0.3">
      <c r="A13" s="155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66">
        <f t="shared" si="3"/>
        <v>0</v>
      </c>
    </row>
    <row r="14" spans="1:19" s="67" customFormat="1" ht="12.6" customHeight="1" x14ac:dyDescent="0.3">
      <c r="A14" s="156"/>
      <c r="B14" s="116" t="s">
        <v>32</v>
      </c>
      <c r="C14" s="117">
        <v>8635.26</v>
      </c>
      <c r="D14" s="117">
        <v>8376.9599999999991</v>
      </c>
      <c r="E14" s="117">
        <v>8376.9599999999991</v>
      </c>
      <c r="F14" s="117">
        <f>8376.96+750</f>
        <v>9126.9599999999991</v>
      </c>
      <c r="G14" s="117">
        <f>8376.96+12709.92</f>
        <v>21086.879999999997</v>
      </c>
      <c r="H14" s="117">
        <f>222.87+4682.18+8376.96</f>
        <v>13282.009999999998</v>
      </c>
      <c r="I14" s="117">
        <f>8376.96</f>
        <v>8376.9599999999991</v>
      </c>
      <c r="J14" s="117">
        <v>8376.9599999999991</v>
      </c>
      <c r="K14" s="117">
        <v>8376.9599999999991</v>
      </c>
      <c r="L14" s="117"/>
      <c r="M14" s="117"/>
      <c r="N14" s="117"/>
      <c r="O14" s="118">
        <f>SUM(C14:N14)</f>
        <v>94015.909999999974</v>
      </c>
    </row>
    <row r="15" spans="1:19" s="102" customFormat="1" ht="12" x14ac:dyDescent="0.25">
      <c r="A15" s="236" t="s">
        <v>244</v>
      </c>
      <c r="B15" s="99" t="s">
        <v>16</v>
      </c>
      <c r="C15" s="100"/>
      <c r="D15" s="100"/>
      <c r="E15" s="100"/>
      <c r="F15" s="100">
        <v>1832.46</v>
      </c>
      <c r="G15" s="100">
        <v>1832.46</v>
      </c>
      <c r="H15" s="100">
        <v>1832.46</v>
      </c>
      <c r="I15" s="100">
        <v>1832.46</v>
      </c>
      <c r="J15" s="100">
        <v>1832.46</v>
      </c>
      <c r="K15" s="100">
        <v>1832.46</v>
      </c>
      <c r="L15" s="100">
        <v>1832.46</v>
      </c>
      <c r="M15" s="100">
        <v>1832.46</v>
      </c>
      <c r="N15" s="100">
        <v>1832.46</v>
      </c>
      <c r="O15" s="103">
        <f t="shared" si="3"/>
        <v>16492.139999999996</v>
      </c>
    </row>
    <row r="16" spans="1:19" s="102" customFormat="1" ht="12" x14ac:dyDescent="0.25">
      <c r="A16" s="235"/>
      <c r="B16" s="99" t="s">
        <v>29</v>
      </c>
      <c r="C16" s="100">
        <v>1832.46</v>
      </c>
      <c r="D16" s="100">
        <v>1832.46</v>
      </c>
      <c r="E16" s="100">
        <v>1832.46</v>
      </c>
      <c r="F16" s="100">
        <v>1832.46</v>
      </c>
      <c r="G16" s="100">
        <v>1832.46</v>
      </c>
      <c r="H16" s="100">
        <v>1832.46</v>
      </c>
      <c r="I16" s="100">
        <v>1832.46</v>
      </c>
      <c r="J16" s="100">
        <v>1832.46</v>
      </c>
      <c r="K16" s="100">
        <v>1832.46</v>
      </c>
      <c r="L16" s="100">
        <v>1832.46</v>
      </c>
      <c r="M16" s="100">
        <v>1832.46</v>
      </c>
      <c r="N16" s="100">
        <v>1832.46</v>
      </c>
      <c r="O16" s="103">
        <f t="shared" si="3"/>
        <v>21989.519999999993</v>
      </c>
    </row>
    <row r="17" spans="1:15" s="67" customFormat="1" ht="12.6" customHeight="1" x14ac:dyDescent="0.3">
      <c r="A17" s="155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>
        <f>SUM(C17:N17)</f>
        <v>0</v>
      </c>
    </row>
    <row r="18" spans="1:15" s="67" customFormat="1" ht="12.6" customHeight="1" x14ac:dyDescent="0.3">
      <c r="A18" s="156"/>
      <c r="B18" s="116" t="s">
        <v>32</v>
      </c>
      <c r="C18" s="117">
        <v>1832.46</v>
      </c>
      <c r="D18" s="117">
        <v>1832.46</v>
      </c>
      <c r="E18" s="117">
        <v>1832.46</v>
      </c>
      <c r="F18" s="117"/>
      <c r="G18" s="117"/>
      <c r="H18" s="117"/>
      <c r="I18" s="117"/>
      <c r="J18" s="117"/>
      <c r="K18" s="117">
        <v>1832.46</v>
      </c>
      <c r="L18" s="117"/>
      <c r="M18" s="117"/>
      <c r="N18" s="117"/>
      <c r="O18" s="118">
        <f t="shared" si="3"/>
        <v>7329.84</v>
      </c>
    </row>
    <row r="19" spans="1:15" s="102" customFormat="1" ht="12" x14ac:dyDescent="0.25">
      <c r="A19" s="236" t="s">
        <v>245</v>
      </c>
      <c r="B19" s="99" t="s">
        <v>16</v>
      </c>
      <c r="C19" s="100"/>
      <c r="D19" s="100"/>
      <c r="E19" s="100"/>
      <c r="F19" s="100">
        <v>6968.46</v>
      </c>
      <c r="G19" s="100"/>
      <c r="H19" s="100"/>
      <c r="I19" s="100"/>
      <c r="J19" s="100"/>
      <c r="K19" s="100"/>
      <c r="L19" s="100"/>
      <c r="M19" s="100"/>
      <c r="N19" s="100"/>
      <c r="O19" s="103">
        <f t="shared" ref="O19:O30" si="4">SUM(C19:N19)</f>
        <v>6968.46</v>
      </c>
    </row>
    <row r="20" spans="1:15" s="102" customFormat="1" ht="12" x14ac:dyDescent="0.25">
      <c r="A20" s="235"/>
      <c r="B20" s="99" t="s">
        <v>29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3">
        <f>SUM(C20:N20)</f>
        <v>0</v>
      </c>
    </row>
    <row r="21" spans="1:15" s="67" customFormat="1" ht="12.6" customHeight="1" x14ac:dyDescent="0.3">
      <c r="A21" s="155"/>
      <c r="B21" s="65" t="s">
        <v>31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66">
        <f t="shared" si="4"/>
        <v>0</v>
      </c>
    </row>
    <row r="22" spans="1:15" s="67" customFormat="1" ht="12.6" customHeight="1" x14ac:dyDescent="0.3">
      <c r="A22" s="156"/>
      <c r="B22" s="116" t="s">
        <v>32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8">
        <f t="shared" si="4"/>
        <v>0</v>
      </c>
    </row>
    <row r="23" spans="1:15" s="102" customFormat="1" ht="12" x14ac:dyDescent="0.25">
      <c r="A23" s="236" t="s">
        <v>246</v>
      </c>
      <c r="B23" s="99" t="s">
        <v>16</v>
      </c>
      <c r="C23" s="100"/>
      <c r="D23" s="100"/>
      <c r="E23" s="100"/>
      <c r="F23" s="100"/>
      <c r="G23" s="100">
        <v>9596.0400000000009</v>
      </c>
      <c r="H23" s="100"/>
      <c r="I23" s="100"/>
      <c r="J23" s="100"/>
      <c r="K23" s="100"/>
      <c r="L23" s="100"/>
      <c r="M23" s="100"/>
      <c r="N23" s="100"/>
      <c r="O23" s="103">
        <f t="shared" si="4"/>
        <v>9596.0400000000009</v>
      </c>
    </row>
    <row r="24" spans="1:15" s="102" customFormat="1" ht="12" x14ac:dyDescent="0.25">
      <c r="A24" s="235"/>
      <c r="B24" s="99" t="s">
        <v>29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>
        <v>0</v>
      </c>
      <c r="N24" s="100">
        <v>0</v>
      </c>
      <c r="O24" s="103">
        <f>SUM(C24:N24)</f>
        <v>0</v>
      </c>
    </row>
    <row r="25" spans="1:15" s="67" customFormat="1" ht="12.6" customHeight="1" x14ac:dyDescent="0.3">
      <c r="A25" s="155"/>
      <c r="B25" s="65" t="s">
        <v>31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66">
        <f t="shared" si="4"/>
        <v>0</v>
      </c>
    </row>
    <row r="26" spans="1:15" s="67" customFormat="1" ht="12.6" customHeight="1" x14ac:dyDescent="0.3">
      <c r="A26" s="156"/>
      <c r="B26" s="116" t="s">
        <v>32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8">
        <f t="shared" si="4"/>
        <v>0</v>
      </c>
    </row>
    <row r="27" spans="1:15" s="102" customFormat="1" ht="12" x14ac:dyDescent="0.25">
      <c r="A27" s="236" t="s">
        <v>247</v>
      </c>
      <c r="B27" s="99" t="s">
        <v>16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>
        <v>441.4</v>
      </c>
      <c r="M27" s="100"/>
      <c r="N27" s="100"/>
      <c r="O27" s="103">
        <f t="shared" si="4"/>
        <v>441.4</v>
      </c>
    </row>
    <row r="28" spans="1:15" s="102" customFormat="1" ht="12" x14ac:dyDescent="0.25">
      <c r="A28" s="235"/>
      <c r="B28" s="99" t="s">
        <v>29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100">
        <v>0</v>
      </c>
      <c r="N28" s="100">
        <v>0</v>
      </c>
      <c r="O28" s="103">
        <f>SUM(C28:N28)</f>
        <v>0</v>
      </c>
    </row>
    <row r="29" spans="1:15" s="67" customFormat="1" ht="12.6" customHeight="1" x14ac:dyDescent="0.3">
      <c r="A29" s="155"/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66">
        <f t="shared" si="4"/>
        <v>0</v>
      </c>
    </row>
    <row r="30" spans="1:15" s="67" customFormat="1" ht="12.6" customHeight="1" x14ac:dyDescent="0.3">
      <c r="A30" s="156"/>
      <c r="B30" s="116" t="s">
        <v>32</v>
      </c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8">
        <f t="shared" si="4"/>
        <v>0</v>
      </c>
    </row>
    <row r="31" spans="1:15" s="102" customFormat="1" ht="12" x14ac:dyDescent="0.25">
      <c r="A31" s="236" t="s">
        <v>248</v>
      </c>
      <c r="B31" s="99" t="s">
        <v>16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>
        <v>789.36</v>
      </c>
      <c r="M31" s="100"/>
      <c r="N31" s="100"/>
      <c r="O31" s="103">
        <f t="shared" ref="O31:O94" si="5">SUM(C31:N31)</f>
        <v>789.36</v>
      </c>
    </row>
    <row r="32" spans="1:15" s="102" customFormat="1" ht="12" x14ac:dyDescent="0.25">
      <c r="A32" s="235"/>
      <c r="B32" s="99" t="s">
        <v>29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3">
        <f>SUM(C32:N32)</f>
        <v>0</v>
      </c>
    </row>
    <row r="33" spans="1:15" s="67" customFormat="1" ht="12.6" customHeight="1" x14ac:dyDescent="0.3">
      <c r="A33" s="155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 t="shared" si="5"/>
        <v>0</v>
      </c>
    </row>
    <row r="34" spans="1:15" s="67" customFormat="1" ht="12.6" customHeight="1" x14ac:dyDescent="0.3">
      <c r="A34" s="156"/>
      <c r="B34" s="116" t="s">
        <v>32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8">
        <f t="shared" si="5"/>
        <v>0</v>
      </c>
    </row>
    <row r="35" spans="1:15" s="102" customFormat="1" ht="12" x14ac:dyDescent="0.25">
      <c r="A35" s="236" t="s">
        <v>249</v>
      </c>
      <c r="B35" s="99" t="s">
        <v>16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>
        <v>649.41999999999996</v>
      </c>
      <c r="M35" s="100"/>
      <c r="N35" s="100"/>
      <c r="O35" s="103">
        <f t="shared" si="5"/>
        <v>649.41999999999996</v>
      </c>
    </row>
    <row r="36" spans="1:15" s="102" customFormat="1" ht="12" x14ac:dyDescent="0.25">
      <c r="A36" s="235"/>
      <c r="B36" s="99" t="s">
        <v>29</v>
      </c>
      <c r="C36" s="100">
        <v>0</v>
      </c>
      <c r="D36" s="100">
        <v>0</v>
      </c>
      <c r="E36" s="100">
        <v>0</v>
      </c>
      <c r="F36" s="100">
        <v>0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100">
        <v>0</v>
      </c>
      <c r="N36" s="100">
        <v>0</v>
      </c>
      <c r="O36" s="103">
        <f>SUM(C36:N36)</f>
        <v>0</v>
      </c>
    </row>
    <row r="37" spans="1:15" s="67" customFormat="1" ht="12.6" customHeight="1" x14ac:dyDescent="0.3">
      <c r="A37" s="155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 t="shared" si="5"/>
        <v>0</v>
      </c>
    </row>
    <row r="38" spans="1:15" s="67" customFormat="1" ht="12.6" customHeight="1" x14ac:dyDescent="0.3">
      <c r="A38" s="156"/>
      <c r="B38" s="116" t="s">
        <v>32</v>
      </c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>
        <f t="shared" si="5"/>
        <v>0</v>
      </c>
    </row>
    <row r="39" spans="1:15" s="102" customFormat="1" ht="12" x14ac:dyDescent="0.25">
      <c r="A39" s="236" t="s">
        <v>250</v>
      </c>
      <c r="B39" s="99" t="s">
        <v>16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>
        <v>2971.22</v>
      </c>
      <c r="N39" s="100"/>
      <c r="O39" s="103">
        <f t="shared" si="5"/>
        <v>2971.22</v>
      </c>
    </row>
    <row r="40" spans="1:15" s="102" customFormat="1" ht="12" x14ac:dyDescent="0.25">
      <c r="A40" s="235"/>
      <c r="B40" s="99" t="s">
        <v>29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100">
        <v>0</v>
      </c>
      <c r="N40" s="100">
        <v>0</v>
      </c>
      <c r="O40" s="103">
        <f>SUM(C40:N40)</f>
        <v>0</v>
      </c>
    </row>
    <row r="41" spans="1:15" s="64" customFormat="1" ht="12.6" customHeight="1" x14ac:dyDescent="0.3">
      <c r="A41" s="155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 t="shared" si="5"/>
        <v>0</v>
      </c>
    </row>
    <row r="42" spans="1:15" s="64" customFormat="1" ht="12.6" customHeight="1" x14ac:dyDescent="0.3">
      <c r="A42" s="156"/>
      <c r="B42" s="7" t="s">
        <v>32</v>
      </c>
      <c r="C42" s="114"/>
      <c r="D42" s="114">
        <v>2084.8000000000002</v>
      </c>
      <c r="E42" s="114"/>
      <c r="F42" s="111"/>
      <c r="G42" s="114"/>
      <c r="H42" s="114"/>
      <c r="I42" s="114"/>
      <c r="J42" s="114"/>
      <c r="K42" s="114"/>
      <c r="L42" s="114"/>
      <c r="M42" s="114"/>
      <c r="N42" s="114"/>
      <c r="O42" s="24">
        <f t="shared" si="5"/>
        <v>2084.8000000000002</v>
      </c>
    </row>
    <row r="43" spans="1:15" s="102" customFormat="1" ht="12" x14ac:dyDescent="0.25">
      <c r="A43" s="236" t="s">
        <v>251</v>
      </c>
      <c r="B43" s="99" t="s">
        <v>16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>
        <v>1511.46</v>
      </c>
      <c r="N43" s="100"/>
      <c r="O43" s="103">
        <f t="shared" si="5"/>
        <v>1511.46</v>
      </c>
    </row>
    <row r="44" spans="1:15" s="102" customFormat="1" ht="12" x14ac:dyDescent="0.25">
      <c r="A44" s="235"/>
      <c r="B44" s="99" t="s">
        <v>29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100">
        <v>0</v>
      </c>
      <c r="N44" s="100">
        <v>0</v>
      </c>
      <c r="O44" s="103">
        <f>SUM(C44:N44)</f>
        <v>0</v>
      </c>
    </row>
    <row r="45" spans="1:15" s="64" customFormat="1" ht="12.6" customHeight="1" x14ac:dyDescent="0.3">
      <c r="A45" s="155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 t="shared" si="5"/>
        <v>0</v>
      </c>
    </row>
    <row r="46" spans="1:15" s="64" customFormat="1" ht="12.6" customHeight="1" x14ac:dyDescent="0.3">
      <c r="A46" s="156"/>
      <c r="B46" s="7" t="s">
        <v>32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24">
        <f t="shared" si="5"/>
        <v>0</v>
      </c>
    </row>
    <row r="47" spans="1:15" s="102" customFormat="1" ht="12" x14ac:dyDescent="0.25">
      <c r="A47" s="236" t="s">
        <v>252</v>
      </c>
      <c r="B47" s="99" t="s">
        <v>16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3">
        <f t="shared" si="5"/>
        <v>0</v>
      </c>
    </row>
    <row r="48" spans="1:15" s="102" customFormat="1" ht="12" x14ac:dyDescent="0.25">
      <c r="A48" s="235"/>
      <c r="B48" s="99" t="s">
        <v>29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3">
        <f>SUM(C48:N48)</f>
        <v>0</v>
      </c>
    </row>
    <row r="49" spans="1:15" s="64" customFormat="1" ht="12.6" customHeight="1" x14ac:dyDescent="0.3">
      <c r="A49" s="155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 t="shared" si="5"/>
        <v>0</v>
      </c>
    </row>
    <row r="50" spans="1:15" s="64" customFormat="1" ht="12.6" customHeight="1" x14ac:dyDescent="0.3">
      <c r="A50" s="156"/>
      <c r="B50" s="7" t="s">
        <v>32</v>
      </c>
      <c r="C50" s="114"/>
      <c r="D50" s="114"/>
      <c r="E50" s="114"/>
      <c r="F50" s="114"/>
      <c r="G50" s="114">
        <v>180.41</v>
      </c>
      <c r="H50" s="114"/>
      <c r="I50" s="114"/>
      <c r="J50" s="114"/>
      <c r="K50" s="114"/>
      <c r="L50" s="114"/>
      <c r="M50" s="114"/>
      <c r="N50" s="114"/>
      <c r="O50" s="24">
        <f t="shared" si="5"/>
        <v>180.41</v>
      </c>
    </row>
    <row r="51" spans="1:15" s="102" customFormat="1" ht="12" x14ac:dyDescent="0.25">
      <c r="A51" s="236" t="s">
        <v>253</v>
      </c>
      <c r="B51" s="99" t="s">
        <v>16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3">
        <f t="shared" si="5"/>
        <v>0</v>
      </c>
    </row>
    <row r="52" spans="1:15" s="102" customFormat="1" ht="12" x14ac:dyDescent="0.25">
      <c r="A52" s="235"/>
      <c r="B52" s="99" t="s">
        <v>29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0</v>
      </c>
      <c r="N52" s="100">
        <v>0</v>
      </c>
      <c r="O52" s="103">
        <f>SUM(C52:N52)</f>
        <v>0</v>
      </c>
    </row>
    <row r="53" spans="1:15" s="64" customFormat="1" ht="12.6" customHeight="1" x14ac:dyDescent="0.3">
      <c r="A53" s="155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 t="shared" si="5"/>
        <v>0</v>
      </c>
    </row>
    <row r="54" spans="1:15" s="64" customFormat="1" ht="12.6" customHeight="1" x14ac:dyDescent="0.3">
      <c r="A54" s="156"/>
      <c r="B54" s="7" t="s">
        <v>32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24">
        <f t="shared" si="5"/>
        <v>0</v>
      </c>
    </row>
    <row r="55" spans="1:15" s="102" customFormat="1" ht="12" x14ac:dyDescent="0.25">
      <c r="A55" s="236"/>
      <c r="B55" s="99" t="s">
        <v>16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3">
        <f t="shared" si="5"/>
        <v>0</v>
      </c>
    </row>
    <row r="56" spans="1:15" s="102" customFormat="1" ht="12" x14ac:dyDescent="0.25">
      <c r="A56" s="235"/>
      <c r="B56" s="99" t="s">
        <v>29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3">
        <f>SUM(C56:N56)</f>
        <v>0</v>
      </c>
    </row>
    <row r="57" spans="1:15" s="64" customFormat="1" ht="12.6" customHeight="1" x14ac:dyDescent="0.3">
      <c r="A57" s="155"/>
      <c r="B57" s="5" t="s">
        <v>31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7">
        <f t="shared" si="5"/>
        <v>0</v>
      </c>
    </row>
    <row r="58" spans="1:15" s="64" customFormat="1" ht="12.6" customHeight="1" x14ac:dyDescent="0.3">
      <c r="A58" s="156"/>
      <c r="B58" s="7" t="s">
        <v>32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24">
        <f t="shared" si="5"/>
        <v>0</v>
      </c>
    </row>
    <row r="59" spans="1:15" s="102" customFormat="1" ht="12" x14ac:dyDescent="0.25">
      <c r="A59" s="236"/>
      <c r="B59" s="99" t="s">
        <v>16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3">
        <f t="shared" si="5"/>
        <v>0</v>
      </c>
    </row>
    <row r="60" spans="1:15" s="102" customFormat="1" ht="12" x14ac:dyDescent="0.25">
      <c r="A60" s="235"/>
      <c r="B60" s="99" t="s">
        <v>29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3">
        <f>SUM(C60:N60)</f>
        <v>0</v>
      </c>
    </row>
    <row r="61" spans="1:15" s="64" customFormat="1" ht="12.6" customHeight="1" x14ac:dyDescent="0.3">
      <c r="A61" s="155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 t="shared" si="5"/>
        <v>0</v>
      </c>
    </row>
    <row r="62" spans="1:15" s="64" customFormat="1" ht="12.6" customHeight="1" x14ac:dyDescent="0.3">
      <c r="A62" s="156"/>
      <c r="B62" s="7" t="s">
        <v>32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24">
        <f t="shared" si="5"/>
        <v>0</v>
      </c>
    </row>
    <row r="63" spans="1:15" s="102" customFormat="1" ht="12" x14ac:dyDescent="0.25">
      <c r="A63" s="236"/>
      <c r="B63" s="99" t="s">
        <v>16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3">
        <f t="shared" si="5"/>
        <v>0</v>
      </c>
    </row>
    <row r="64" spans="1:15" s="102" customFormat="1" ht="12" x14ac:dyDescent="0.25">
      <c r="A64" s="235"/>
      <c r="B64" s="99" t="s">
        <v>29</v>
      </c>
      <c r="C64" s="100">
        <v>0</v>
      </c>
      <c r="D64" s="100">
        <v>0</v>
      </c>
      <c r="E64" s="100">
        <v>0</v>
      </c>
      <c r="F64" s="100">
        <v>0</v>
      </c>
      <c r="G64" s="100">
        <v>0</v>
      </c>
      <c r="H64" s="100">
        <v>0</v>
      </c>
      <c r="I64" s="100">
        <v>0</v>
      </c>
      <c r="J64" s="100">
        <v>0</v>
      </c>
      <c r="K64" s="100">
        <v>0</v>
      </c>
      <c r="L64" s="100">
        <v>0</v>
      </c>
      <c r="M64" s="100">
        <v>0</v>
      </c>
      <c r="N64" s="100">
        <v>0</v>
      </c>
      <c r="O64" s="103">
        <f>SUM(C64:N64)</f>
        <v>0</v>
      </c>
    </row>
    <row r="65" spans="1:15" s="64" customFormat="1" ht="12.6" customHeight="1" x14ac:dyDescent="0.3">
      <c r="A65" s="155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 t="shared" si="5"/>
        <v>0</v>
      </c>
    </row>
    <row r="66" spans="1:15" s="64" customFormat="1" ht="12.6" customHeight="1" x14ac:dyDescent="0.3">
      <c r="A66" s="156"/>
      <c r="B66" s="7" t="s">
        <v>32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24">
        <f t="shared" si="5"/>
        <v>0</v>
      </c>
    </row>
    <row r="67" spans="1:15" s="102" customFormat="1" ht="12.6" customHeight="1" x14ac:dyDescent="0.25">
      <c r="A67" s="236"/>
      <c r="B67" s="99" t="s">
        <v>16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3">
        <f t="shared" si="5"/>
        <v>0</v>
      </c>
    </row>
    <row r="68" spans="1:15" s="102" customFormat="1" ht="12" x14ac:dyDescent="0.25">
      <c r="A68" s="235"/>
      <c r="B68" s="99" t="s">
        <v>29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3">
        <f>SUM(C68:N68)</f>
        <v>0</v>
      </c>
    </row>
    <row r="69" spans="1:15" s="64" customFormat="1" x14ac:dyDescent="0.3">
      <c r="A69" s="155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 t="shared" si="5"/>
        <v>0</v>
      </c>
    </row>
    <row r="70" spans="1:15" s="64" customFormat="1" x14ac:dyDescent="0.3">
      <c r="A70" s="156"/>
      <c r="B70" s="7" t="s">
        <v>32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24">
        <f t="shared" si="5"/>
        <v>0</v>
      </c>
    </row>
    <row r="71" spans="1:15" s="102" customFormat="1" ht="12" x14ac:dyDescent="0.25">
      <c r="A71" s="236"/>
      <c r="B71" s="99" t="s">
        <v>16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3">
        <f t="shared" si="5"/>
        <v>0</v>
      </c>
    </row>
    <row r="72" spans="1:15" s="102" customFormat="1" ht="12" x14ac:dyDescent="0.25">
      <c r="A72" s="235"/>
      <c r="B72" s="99" t="s">
        <v>29</v>
      </c>
      <c r="C72" s="100">
        <v>0</v>
      </c>
      <c r="D72" s="100">
        <v>0</v>
      </c>
      <c r="E72" s="100">
        <v>0</v>
      </c>
      <c r="F72" s="100">
        <v>0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3">
        <f>SUM(C72:N72)</f>
        <v>0</v>
      </c>
    </row>
    <row r="73" spans="1:15" s="64" customFormat="1" x14ac:dyDescent="0.3">
      <c r="A73" s="155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 t="shared" si="5"/>
        <v>0</v>
      </c>
    </row>
    <row r="74" spans="1:15" s="64" customFormat="1" x14ac:dyDescent="0.3">
      <c r="A74" s="156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24">
        <f t="shared" si="5"/>
        <v>0</v>
      </c>
    </row>
    <row r="75" spans="1:15" s="102" customFormat="1" ht="12" x14ac:dyDescent="0.25">
      <c r="A75" s="236"/>
      <c r="B75" s="99" t="s">
        <v>16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3">
        <f t="shared" si="5"/>
        <v>0</v>
      </c>
    </row>
    <row r="76" spans="1:15" s="102" customFormat="1" ht="12" x14ac:dyDescent="0.25">
      <c r="A76" s="235"/>
      <c r="B76" s="99" t="s">
        <v>29</v>
      </c>
      <c r="C76" s="100">
        <v>0</v>
      </c>
      <c r="D76" s="100">
        <v>0</v>
      </c>
      <c r="E76" s="100">
        <v>0</v>
      </c>
      <c r="F76" s="100">
        <v>0</v>
      </c>
      <c r="G76" s="100">
        <v>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3">
        <f>SUM(C76:N76)</f>
        <v>0</v>
      </c>
    </row>
    <row r="77" spans="1:15" s="64" customFormat="1" x14ac:dyDescent="0.3">
      <c r="A77" s="155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7">
        <f t="shared" si="5"/>
        <v>0</v>
      </c>
    </row>
    <row r="78" spans="1:15" s="64" customFormat="1" x14ac:dyDescent="0.3">
      <c r="A78" s="156"/>
      <c r="B78" s="7" t="s">
        <v>32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24">
        <f t="shared" si="5"/>
        <v>0</v>
      </c>
    </row>
    <row r="79" spans="1:15" s="102" customFormat="1" ht="12" x14ac:dyDescent="0.25">
      <c r="A79" s="236"/>
      <c r="B79" s="99" t="s">
        <v>16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3">
        <f t="shared" si="5"/>
        <v>0</v>
      </c>
    </row>
    <row r="80" spans="1:15" s="102" customFormat="1" ht="12" x14ac:dyDescent="0.25">
      <c r="A80" s="235"/>
      <c r="B80" s="99" t="s">
        <v>29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3">
        <f>SUM(C80:N80)</f>
        <v>0</v>
      </c>
    </row>
    <row r="81" spans="1:15" s="64" customFormat="1" x14ac:dyDescent="0.3">
      <c r="A81" s="155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7">
        <f t="shared" si="5"/>
        <v>0</v>
      </c>
    </row>
    <row r="82" spans="1:15" s="64" customFormat="1" x14ac:dyDescent="0.3">
      <c r="A82" s="156"/>
      <c r="B82" s="7" t="s">
        <v>32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24">
        <f t="shared" si="5"/>
        <v>0</v>
      </c>
    </row>
    <row r="83" spans="1:15" s="102" customFormat="1" ht="12" x14ac:dyDescent="0.25">
      <c r="A83" s="236"/>
      <c r="B83" s="99" t="s">
        <v>16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3">
        <f t="shared" si="5"/>
        <v>0</v>
      </c>
    </row>
    <row r="84" spans="1:15" s="102" customFormat="1" ht="12" x14ac:dyDescent="0.25">
      <c r="A84" s="235"/>
      <c r="B84" s="99" t="s">
        <v>29</v>
      </c>
      <c r="C84" s="100">
        <v>0</v>
      </c>
      <c r="D84" s="100">
        <v>0</v>
      </c>
      <c r="E84" s="100">
        <v>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3">
        <f>SUM(C84:N84)</f>
        <v>0</v>
      </c>
    </row>
    <row r="85" spans="1:15" s="64" customFormat="1" x14ac:dyDescent="0.3">
      <c r="A85" s="155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7">
        <f t="shared" si="5"/>
        <v>0</v>
      </c>
    </row>
    <row r="86" spans="1:15" s="64" customFormat="1" x14ac:dyDescent="0.3">
      <c r="A86" s="156"/>
      <c r="B86" s="7" t="s">
        <v>32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24">
        <f t="shared" si="5"/>
        <v>0</v>
      </c>
    </row>
    <row r="87" spans="1:15" s="102" customFormat="1" ht="12" x14ac:dyDescent="0.25">
      <c r="A87" s="236"/>
      <c r="B87" s="99" t="s">
        <v>16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3">
        <f t="shared" si="5"/>
        <v>0</v>
      </c>
    </row>
    <row r="88" spans="1:15" s="102" customFormat="1" ht="12" x14ac:dyDescent="0.25">
      <c r="A88" s="235"/>
      <c r="B88" s="99" t="s">
        <v>29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3">
        <f>SUM(C88:N88)</f>
        <v>0</v>
      </c>
    </row>
    <row r="89" spans="1:15" s="64" customFormat="1" x14ac:dyDescent="0.3">
      <c r="A89" s="155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7">
        <f t="shared" si="5"/>
        <v>0</v>
      </c>
    </row>
    <row r="90" spans="1:15" s="64" customFormat="1" x14ac:dyDescent="0.3">
      <c r="A90" s="156"/>
      <c r="B90" s="7" t="s">
        <v>32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24">
        <f t="shared" si="5"/>
        <v>0</v>
      </c>
    </row>
    <row r="91" spans="1:15" s="102" customFormat="1" ht="12" x14ac:dyDescent="0.25">
      <c r="A91" s="236"/>
      <c r="B91" s="99" t="s">
        <v>16</v>
      </c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3">
        <f t="shared" si="5"/>
        <v>0</v>
      </c>
    </row>
    <row r="92" spans="1:15" s="102" customFormat="1" ht="12" x14ac:dyDescent="0.25">
      <c r="A92" s="235"/>
      <c r="B92" s="99" t="s">
        <v>29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100">
        <v>0</v>
      </c>
      <c r="N92" s="100">
        <v>0</v>
      </c>
      <c r="O92" s="103">
        <f>SUM(C92:N92)</f>
        <v>0</v>
      </c>
    </row>
    <row r="93" spans="1:15" s="64" customFormat="1" x14ac:dyDescent="0.3">
      <c r="A93" s="155"/>
      <c r="B93" s="5" t="s">
        <v>31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7">
        <f t="shared" si="5"/>
        <v>0</v>
      </c>
    </row>
    <row r="94" spans="1:15" s="64" customFormat="1" x14ac:dyDescent="0.3">
      <c r="A94" s="156"/>
      <c r="B94" s="7" t="s">
        <v>32</v>
      </c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24">
        <f t="shared" si="5"/>
        <v>0</v>
      </c>
    </row>
    <row r="95" spans="1:15" s="102" customFormat="1" ht="12" x14ac:dyDescent="0.25">
      <c r="A95" s="236"/>
      <c r="B95" s="99" t="s">
        <v>16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3">
        <f t="shared" ref="O95:O98" si="6">SUM(C95:N95)</f>
        <v>0</v>
      </c>
    </row>
    <row r="96" spans="1:15" s="102" customFormat="1" ht="12" x14ac:dyDescent="0.25">
      <c r="A96" s="235"/>
      <c r="B96" s="99" t="s">
        <v>29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100">
        <v>0</v>
      </c>
      <c r="N96" s="100">
        <v>0</v>
      </c>
      <c r="O96" s="103">
        <f>SUM(C96:N96)</f>
        <v>0</v>
      </c>
    </row>
    <row r="97" spans="1:15" s="64" customFormat="1" x14ac:dyDescent="0.3">
      <c r="A97" s="155"/>
      <c r="B97" s="5" t="s">
        <v>31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7">
        <f t="shared" si="6"/>
        <v>0</v>
      </c>
    </row>
    <row r="98" spans="1:15" s="64" customFormat="1" x14ac:dyDescent="0.3">
      <c r="A98" s="156"/>
      <c r="B98" s="7" t="s">
        <v>32</v>
      </c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24">
        <f t="shared" si="6"/>
        <v>0</v>
      </c>
    </row>
    <row r="99" spans="1:15" s="102" customFormat="1" ht="12" x14ac:dyDescent="0.25">
      <c r="A99" s="243"/>
    </row>
    <row r="100" spans="1:15" s="102" customFormat="1" ht="12" x14ac:dyDescent="0.25">
      <c r="A100" s="237"/>
    </row>
    <row r="101" spans="1:15" s="64" customFormat="1" x14ac:dyDescent="0.3">
      <c r="A101" s="158"/>
    </row>
    <row r="102" spans="1:15" s="64" customFormat="1" x14ac:dyDescent="0.3">
      <c r="A102" s="158"/>
    </row>
    <row r="103" spans="1:15" s="102" customFormat="1" ht="12" x14ac:dyDescent="0.25">
      <c r="A103" s="237"/>
    </row>
    <row r="104" spans="1:15" s="102" customFormat="1" ht="12" x14ac:dyDescent="0.25">
      <c r="A104" s="237"/>
    </row>
    <row r="105" spans="1:15" s="64" customFormat="1" x14ac:dyDescent="0.3">
      <c r="A105" s="158"/>
    </row>
    <row r="106" spans="1:15" s="64" customFormat="1" x14ac:dyDescent="0.3">
      <c r="A106" s="158"/>
    </row>
    <row r="107" spans="1:15" s="102" customFormat="1" ht="12" x14ac:dyDescent="0.25">
      <c r="A107" s="237"/>
    </row>
    <row r="108" spans="1:15" s="102" customFormat="1" ht="12" x14ac:dyDescent="0.25">
      <c r="A108" s="237"/>
    </row>
    <row r="109" spans="1:15" s="64" customFormat="1" x14ac:dyDescent="0.3">
      <c r="A109" s="158"/>
    </row>
    <row r="110" spans="1:15" s="64" customFormat="1" x14ac:dyDescent="0.3">
      <c r="A110" s="158"/>
    </row>
    <row r="111" spans="1:15" s="102" customFormat="1" ht="12" x14ac:dyDescent="0.25">
      <c r="A111" s="237"/>
    </row>
    <row r="112" spans="1:15" s="102" customFormat="1" ht="12" x14ac:dyDescent="0.25">
      <c r="A112" s="237"/>
    </row>
    <row r="113" spans="1:1" s="64" customFormat="1" x14ac:dyDescent="0.3">
      <c r="A113" s="158"/>
    </row>
    <row r="114" spans="1:1" s="64" customFormat="1" x14ac:dyDescent="0.3">
      <c r="A114" s="158"/>
    </row>
    <row r="115" spans="1:1" s="102" customFormat="1" ht="12" x14ac:dyDescent="0.25">
      <c r="A115" s="237"/>
    </row>
    <row r="116" spans="1:1" s="102" customFormat="1" ht="12" x14ac:dyDescent="0.25">
      <c r="A116" s="237"/>
    </row>
    <row r="117" spans="1:1" s="64" customFormat="1" x14ac:dyDescent="0.3">
      <c r="A117" s="158"/>
    </row>
    <row r="118" spans="1:1" s="64" customFormat="1" x14ac:dyDescent="0.3">
      <c r="A118" s="158"/>
    </row>
    <row r="119" spans="1:1" s="102" customFormat="1" ht="12" x14ac:dyDescent="0.25">
      <c r="A119" s="237"/>
    </row>
    <row r="120" spans="1:1" s="102" customFormat="1" ht="12" x14ac:dyDescent="0.25">
      <c r="A120" s="237"/>
    </row>
    <row r="121" spans="1:1" s="64" customFormat="1" x14ac:dyDescent="0.3">
      <c r="A121" s="158"/>
    </row>
    <row r="122" spans="1:1" s="64" customFormat="1" x14ac:dyDescent="0.3">
      <c r="A122" s="158"/>
    </row>
    <row r="123" spans="1:1" s="102" customFormat="1" ht="12" x14ac:dyDescent="0.25">
      <c r="A123" s="237"/>
    </row>
    <row r="124" spans="1:1" s="102" customFormat="1" ht="12" x14ac:dyDescent="0.25">
      <c r="A124" s="237"/>
    </row>
    <row r="125" spans="1:1" s="64" customFormat="1" ht="11.4" customHeight="1" x14ac:dyDescent="0.3">
      <c r="A125" s="158"/>
    </row>
    <row r="126" spans="1:1" s="64" customFormat="1" x14ac:dyDescent="0.3">
      <c r="A126" s="158"/>
    </row>
    <row r="127" spans="1:1" s="102" customFormat="1" ht="12" x14ac:dyDescent="0.25">
      <c r="A127" s="237"/>
    </row>
    <row r="128" spans="1:1" s="102" customFormat="1" ht="12" x14ac:dyDescent="0.25">
      <c r="A128" s="237"/>
    </row>
    <row r="129" spans="1:1" s="64" customFormat="1" x14ac:dyDescent="0.3">
      <c r="A129" s="158"/>
    </row>
    <row r="130" spans="1:1" s="64" customFormat="1" x14ac:dyDescent="0.3">
      <c r="A130" s="158"/>
    </row>
    <row r="131" spans="1:1" s="102" customFormat="1" ht="12" x14ac:dyDescent="0.25">
      <c r="A131" s="237"/>
    </row>
    <row r="132" spans="1:1" s="102" customFormat="1" ht="12" x14ac:dyDescent="0.25">
      <c r="A132" s="237"/>
    </row>
    <row r="133" spans="1:1" s="64" customFormat="1" x14ac:dyDescent="0.3">
      <c r="A133" s="158"/>
    </row>
    <row r="134" spans="1:1" s="64" customFormat="1" x14ac:dyDescent="0.3">
      <c r="A134" s="158"/>
    </row>
    <row r="135" spans="1:1" s="102" customFormat="1" ht="12" x14ac:dyDescent="0.25">
      <c r="A135" s="237"/>
    </row>
    <row r="136" spans="1:1" s="102" customFormat="1" ht="12" x14ac:dyDescent="0.25">
      <c r="A136" s="237"/>
    </row>
    <row r="137" spans="1:1" s="64" customFormat="1" x14ac:dyDescent="0.3">
      <c r="A137" s="158"/>
    </row>
    <row r="138" spans="1:1" s="64" customFormat="1" x14ac:dyDescent="0.3">
      <c r="A138" s="158"/>
    </row>
    <row r="139" spans="1:1" s="102" customFormat="1" ht="12" x14ac:dyDescent="0.25">
      <c r="A139" s="237"/>
    </row>
    <row r="140" spans="1:1" s="102" customFormat="1" ht="12" x14ac:dyDescent="0.25">
      <c r="A140" s="237"/>
    </row>
    <row r="141" spans="1:1" s="64" customFormat="1" x14ac:dyDescent="0.3">
      <c r="A141" s="158"/>
    </row>
    <row r="142" spans="1:1" s="64" customFormat="1" x14ac:dyDescent="0.3">
      <c r="A142" s="158"/>
    </row>
    <row r="143" spans="1:1" s="102" customFormat="1" ht="12" x14ac:dyDescent="0.25">
      <c r="A143" s="237"/>
    </row>
    <row r="144" spans="1:1" s="102" customFormat="1" ht="12" x14ac:dyDescent="0.25">
      <c r="A144" s="237"/>
    </row>
    <row r="145" spans="1:1" s="64" customFormat="1" x14ac:dyDescent="0.3">
      <c r="A145" s="158"/>
    </row>
    <row r="146" spans="1:1" s="64" customFormat="1" x14ac:dyDescent="0.3">
      <c r="A146" s="158"/>
    </row>
    <row r="147" spans="1:1" s="102" customFormat="1" ht="12" x14ac:dyDescent="0.25">
      <c r="A147" s="237"/>
    </row>
    <row r="148" spans="1:1" s="102" customFormat="1" ht="12" x14ac:dyDescent="0.25">
      <c r="A148" s="237"/>
    </row>
    <row r="149" spans="1:1" s="64" customFormat="1" x14ac:dyDescent="0.3">
      <c r="A149" s="158"/>
    </row>
    <row r="150" spans="1:1" s="64" customFormat="1" x14ac:dyDescent="0.3">
      <c r="A150" s="158"/>
    </row>
    <row r="151" spans="1:1" s="102" customFormat="1" ht="12" x14ac:dyDescent="0.25">
      <c r="A151" s="237"/>
    </row>
    <row r="152" spans="1:1" s="102" customFormat="1" ht="12" x14ac:dyDescent="0.25">
      <c r="A152" s="237"/>
    </row>
    <row r="153" spans="1:1" s="64" customFormat="1" x14ac:dyDescent="0.3">
      <c r="A153" s="158"/>
    </row>
    <row r="154" spans="1:1" s="64" customFormat="1" x14ac:dyDescent="0.3">
      <c r="A154" s="158"/>
    </row>
    <row r="155" spans="1:1" s="102" customFormat="1" ht="12" x14ac:dyDescent="0.25">
      <c r="A155" s="237"/>
    </row>
    <row r="156" spans="1:1" s="102" customFormat="1" ht="12" x14ac:dyDescent="0.25">
      <c r="A156" s="237"/>
    </row>
    <row r="157" spans="1:1" s="64" customFormat="1" x14ac:dyDescent="0.3">
      <c r="A157" s="158"/>
    </row>
    <row r="158" spans="1:1" s="64" customFormat="1" x14ac:dyDescent="0.3">
      <c r="A158" s="158"/>
    </row>
    <row r="159" spans="1:1" s="102" customFormat="1" ht="12" x14ac:dyDescent="0.25">
      <c r="A159" s="237"/>
    </row>
    <row r="160" spans="1:1" s="102" customFormat="1" ht="12" x14ac:dyDescent="0.25">
      <c r="A160" s="237"/>
    </row>
    <row r="161" spans="1:1" s="64" customFormat="1" x14ac:dyDescent="0.3">
      <c r="A161" s="158"/>
    </row>
    <row r="162" spans="1:1" s="64" customFormat="1" x14ac:dyDescent="0.3">
      <c r="A162" s="158"/>
    </row>
    <row r="163" spans="1:1" s="102" customFormat="1" ht="12" x14ac:dyDescent="0.25">
      <c r="A163" s="237"/>
    </row>
    <row r="164" spans="1:1" s="102" customFormat="1" ht="12" x14ac:dyDescent="0.25">
      <c r="A164" s="237"/>
    </row>
    <row r="165" spans="1:1" s="64" customFormat="1" x14ac:dyDescent="0.3">
      <c r="A165" s="158"/>
    </row>
    <row r="166" spans="1:1" s="64" customFormat="1" x14ac:dyDescent="0.3">
      <c r="A166" s="158"/>
    </row>
    <row r="167" spans="1:1" s="102" customFormat="1" ht="12" x14ac:dyDescent="0.25">
      <c r="A167" s="237"/>
    </row>
    <row r="168" spans="1:1" s="102" customFormat="1" ht="12" x14ac:dyDescent="0.25">
      <c r="A168" s="237"/>
    </row>
    <row r="169" spans="1:1" s="64" customFormat="1" x14ac:dyDescent="0.3">
      <c r="A169" s="158"/>
    </row>
    <row r="170" spans="1:1" s="64" customFormat="1" x14ac:dyDescent="0.3">
      <c r="A170" s="158"/>
    </row>
    <row r="171" spans="1:1" s="102" customFormat="1" ht="12" x14ac:dyDescent="0.25">
      <c r="A171" s="237"/>
    </row>
    <row r="172" spans="1:1" s="102" customFormat="1" ht="12" x14ac:dyDescent="0.25">
      <c r="A172" s="237"/>
    </row>
    <row r="173" spans="1:1" s="64" customFormat="1" x14ac:dyDescent="0.3">
      <c r="A173" s="158"/>
    </row>
    <row r="174" spans="1:1" s="64" customFormat="1" x14ac:dyDescent="0.3">
      <c r="A174" s="158"/>
    </row>
    <row r="175" spans="1:1" s="102" customFormat="1" ht="12" x14ac:dyDescent="0.25">
      <c r="A175" s="237"/>
    </row>
    <row r="176" spans="1:1" s="102" customFormat="1" ht="12" x14ac:dyDescent="0.25">
      <c r="A176" s="237"/>
    </row>
    <row r="177" spans="1:1" s="64" customFormat="1" x14ac:dyDescent="0.3">
      <c r="A177" s="158"/>
    </row>
    <row r="178" spans="1:1" s="64" customFormat="1" x14ac:dyDescent="0.3">
      <c r="A178" s="158"/>
    </row>
    <row r="179" spans="1:1" s="102" customFormat="1" ht="12" x14ac:dyDescent="0.25">
      <c r="A179" s="237"/>
    </row>
    <row r="180" spans="1:1" s="102" customFormat="1" ht="12" x14ac:dyDescent="0.25">
      <c r="A180" s="237"/>
    </row>
    <row r="181" spans="1:1" s="64" customFormat="1" x14ac:dyDescent="0.3">
      <c r="A181" s="158"/>
    </row>
    <row r="182" spans="1:1" s="64" customFormat="1" x14ac:dyDescent="0.3">
      <c r="A182" s="158"/>
    </row>
    <row r="183" spans="1:1" s="102" customFormat="1" ht="12" x14ac:dyDescent="0.25">
      <c r="A183" s="237"/>
    </row>
    <row r="184" spans="1:1" s="102" customFormat="1" ht="12" x14ac:dyDescent="0.25">
      <c r="A184" s="237"/>
    </row>
    <row r="185" spans="1:1" s="64" customFormat="1" x14ac:dyDescent="0.3">
      <c r="A185" s="158"/>
    </row>
    <row r="186" spans="1:1" s="64" customFormat="1" x14ac:dyDescent="0.3">
      <c r="A186" s="158"/>
    </row>
    <row r="187" spans="1:1" s="102" customFormat="1" ht="12" x14ac:dyDescent="0.25">
      <c r="A187" s="237"/>
    </row>
    <row r="188" spans="1:1" s="102" customFormat="1" ht="12" x14ac:dyDescent="0.25">
      <c r="A188" s="237"/>
    </row>
    <row r="189" spans="1:1" s="64" customFormat="1" x14ac:dyDescent="0.3">
      <c r="A189" s="158"/>
    </row>
    <row r="190" spans="1:1" s="64" customFormat="1" x14ac:dyDescent="0.3">
      <c r="A190" s="158"/>
    </row>
    <row r="191" spans="1:1" s="102" customFormat="1" ht="12" x14ac:dyDescent="0.25">
      <c r="A191" s="237"/>
    </row>
    <row r="192" spans="1:1" s="102" customFormat="1" ht="12" x14ac:dyDescent="0.25">
      <c r="A192" s="237"/>
    </row>
    <row r="193" spans="1:1" s="64" customFormat="1" x14ac:dyDescent="0.3">
      <c r="A193" s="158"/>
    </row>
    <row r="194" spans="1:1" s="64" customFormat="1" x14ac:dyDescent="0.3">
      <c r="A194" s="158"/>
    </row>
    <row r="195" spans="1:1" s="102" customFormat="1" ht="12" x14ac:dyDescent="0.25">
      <c r="A195" s="237"/>
    </row>
    <row r="196" spans="1:1" s="102" customFormat="1" ht="12" x14ac:dyDescent="0.25">
      <c r="A196" s="237"/>
    </row>
    <row r="197" spans="1:1" s="64" customFormat="1" x14ac:dyDescent="0.3">
      <c r="A197" s="158"/>
    </row>
    <row r="198" spans="1:1" s="64" customFormat="1" x14ac:dyDescent="0.3">
      <c r="A198" s="158"/>
    </row>
    <row r="199" spans="1:1" s="102" customFormat="1" ht="12" x14ac:dyDescent="0.25">
      <c r="A199" s="237"/>
    </row>
    <row r="200" spans="1:1" s="102" customFormat="1" ht="12" x14ac:dyDescent="0.25">
      <c r="A200" s="237"/>
    </row>
    <row r="201" spans="1:1" s="64" customFormat="1" x14ac:dyDescent="0.3">
      <c r="A201" s="158"/>
    </row>
    <row r="202" spans="1:1" s="64" customFormat="1" x14ac:dyDescent="0.3">
      <c r="A202" s="158"/>
    </row>
    <row r="203" spans="1:1" s="102" customFormat="1" ht="12" x14ac:dyDescent="0.25">
      <c r="A203" s="237"/>
    </row>
    <row r="204" spans="1:1" s="102" customFormat="1" ht="12" x14ac:dyDescent="0.25">
      <c r="A204" s="237"/>
    </row>
    <row r="205" spans="1:1" s="64" customFormat="1" x14ac:dyDescent="0.3">
      <c r="A205" s="158"/>
    </row>
    <row r="206" spans="1:1" s="64" customFormat="1" x14ac:dyDescent="0.3">
      <c r="A206" s="158"/>
    </row>
    <row r="207" spans="1:1" s="102" customFormat="1" ht="12" x14ac:dyDescent="0.25">
      <c r="A207" s="237"/>
    </row>
    <row r="208" spans="1:1" s="102" customFormat="1" ht="12" x14ac:dyDescent="0.25">
      <c r="A208" s="237"/>
    </row>
    <row r="209" spans="1:1" s="64" customFormat="1" x14ac:dyDescent="0.3">
      <c r="A209" s="158"/>
    </row>
    <row r="210" spans="1:1" s="64" customFormat="1" x14ac:dyDescent="0.3">
      <c r="A210" s="158"/>
    </row>
    <row r="211" spans="1:1" s="102" customFormat="1" ht="12" x14ac:dyDescent="0.25">
      <c r="A211" s="237"/>
    </row>
    <row r="212" spans="1:1" s="102" customFormat="1" ht="12" x14ac:dyDescent="0.25">
      <c r="A212" s="237"/>
    </row>
    <row r="213" spans="1:1" s="64" customFormat="1" x14ac:dyDescent="0.3">
      <c r="A213" s="158"/>
    </row>
    <row r="214" spans="1:1" s="64" customFormat="1" x14ac:dyDescent="0.3">
      <c r="A214" s="158"/>
    </row>
    <row r="215" spans="1:1" s="102" customFormat="1" ht="12" x14ac:dyDescent="0.25">
      <c r="A215" s="237"/>
    </row>
    <row r="216" spans="1:1" s="102" customFormat="1" ht="12" x14ac:dyDescent="0.25">
      <c r="A216" s="237"/>
    </row>
    <row r="217" spans="1:1" s="64" customFormat="1" x14ac:dyDescent="0.3">
      <c r="A217" s="108"/>
    </row>
    <row r="218" spans="1:1" s="64" customFormat="1" x14ac:dyDescent="0.3">
      <c r="A218" s="108"/>
    </row>
  </sheetData>
  <mergeCells count="54">
    <mergeCell ref="A207:A208"/>
    <mergeCell ref="A211:A212"/>
    <mergeCell ref="A215:A216"/>
    <mergeCell ref="A3:A6"/>
    <mergeCell ref="A187:A188"/>
    <mergeCell ref="A191:A192"/>
    <mergeCell ref="A195:A196"/>
    <mergeCell ref="A199:A200"/>
    <mergeCell ref="A203:A204"/>
    <mergeCell ref="A167:A168"/>
    <mergeCell ref="A171:A172"/>
    <mergeCell ref="A175:A176"/>
    <mergeCell ref="A179:A180"/>
    <mergeCell ref="A183:A184"/>
    <mergeCell ref="A147:A148"/>
    <mergeCell ref="A151:A152"/>
    <mergeCell ref="A155:A156"/>
    <mergeCell ref="A159:A160"/>
    <mergeCell ref="A163:A164"/>
    <mergeCell ref="A127:A128"/>
    <mergeCell ref="A131:A132"/>
    <mergeCell ref="A135:A136"/>
    <mergeCell ref="A139:A140"/>
    <mergeCell ref="A143:A144"/>
    <mergeCell ref="A107:A108"/>
    <mergeCell ref="A111:A112"/>
    <mergeCell ref="A115:A116"/>
    <mergeCell ref="A119:A120"/>
    <mergeCell ref="A123:A124"/>
    <mergeCell ref="A47:A48"/>
    <mergeCell ref="A51:A52"/>
    <mergeCell ref="A55:A56"/>
    <mergeCell ref="A59:A60"/>
    <mergeCell ref="A63:A64"/>
    <mergeCell ref="A27:A28"/>
    <mergeCell ref="A31:A32"/>
    <mergeCell ref="A35:A36"/>
    <mergeCell ref="A39:A40"/>
    <mergeCell ref="A43:A44"/>
    <mergeCell ref="A99:A100"/>
    <mergeCell ref="A103:A104"/>
    <mergeCell ref="A67:A68"/>
    <mergeCell ref="A71:A72"/>
    <mergeCell ref="A75:A76"/>
    <mergeCell ref="A79:A80"/>
    <mergeCell ref="A83:A84"/>
    <mergeCell ref="A87:A88"/>
    <mergeCell ref="A91:A92"/>
    <mergeCell ref="A95:A96"/>
    <mergeCell ref="A1:O1"/>
    <mergeCell ref="A11:A12"/>
    <mergeCell ref="A15:A16"/>
    <mergeCell ref="A19:A20"/>
    <mergeCell ref="A23:A24"/>
  </mergeCells>
  <conditionalFormatting sqref="C6:N6">
    <cfRule type="cellIs" dxfId="19" priority="1" operator="greaterThan">
      <formula>C5*1.15</formula>
    </cfRule>
    <cfRule type="cellIs" dxfId="18" priority="2" operator="lessThan">
      <formula>C5*0.85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407F-6578-4F69-B25F-801C74F771BA}">
  <sheetPr codeName="Sheet8"/>
  <dimension ref="A1:Q218"/>
  <sheetViews>
    <sheetView zoomScale="43" zoomScaleNormal="10" workbookViewId="0">
      <pane xSplit="1" ySplit="2" topLeftCell="N41" activePane="bottomRight" state="frozen"/>
      <selection pane="topRight" activeCell="M13" sqref="M13"/>
      <selection pane="bottomLeft" activeCell="M13" sqref="M13"/>
      <selection pane="bottomRight" activeCell="M13" sqref="M13"/>
    </sheetView>
  </sheetViews>
  <sheetFormatPr defaultColWidth="9.109375" defaultRowHeight="14.4" x14ac:dyDescent="0.3"/>
  <cols>
    <col min="1" max="1" width="34.5546875" style="54" bestFit="1" customWidth="1"/>
    <col min="2" max="2" width="22.88671875" style="52" bestFit="1" customWidth="1"/>
    <col min="3" max="14" width="12.5546875" style="52" customWidth="1"/>
    <col min="15" max="15" width="17" style="52" customWidth="1"/>
    <col min="16" max="16" width="9.109375" style="52"/>
    <col min="17" max="17" width="12.109375" style="52" customWidth="1"/>
    <col min="18" max="16384" width="9.109375" style="52"/>
  </cols>
  <sheetData>
    <row r="1" spans="1:17" ht="33" customHeight="1" x14ac:dyDescent="0.6">
      <c r="A1" s="232" t="s">
        <v>254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17" x14ac:dyDescent="0.3">
      <c r="A2" s="68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69" t="s">
        <v>7</v>
      </c>
      <c r="J2" s="69" t="s">
        <v>8</v>
      </c>
      <c r="K2" s="69" t="s">
        <v>9</v>
      </c>
      <c r="L2" s="69" t="s">
        <v>10</v>
      </c>
      <c r="M2" s="69" t="s">
        <v>11</v>
      </c>
      <c r="N2" s="69" t="s">
        <v>12</v>
      </c>
      <c r="O2" s="69" t="s">
        <v>13</v>
      </c>
    </row>
    <row r="3" spans="1:17" s="102" customFormat="1" ht="14.4" customHeight="1" x14ac:dyDescent="0.25">
      <c r="A3" s="239" t="s">
        <v>15</v>
      </c>
      <c r="B3" s="181" t="s">
        <v>16</v>
      </c>
      <c r="C3" s="182">
        <f>SUMIFS(C$11:C996,$B$11:$B996,"Actual 2024")</f>
        <v>0</v>
      </c>
      <c r="D3" s="182">
        <f>SUMIFS(D$11:D996,$B$11:$B996,"Actual 2024")</f>
        <v>0</v>
      </c>
      <c r="E3" s="182">
        <f>SUMIFS(E$11:E996,$B$11:$B996,"Actual 2024")</f>
        <v>0</v>
      </c>
      <c r="F3" s="182">
        <f>SUMIFS(F$11:F996,$B$11:$B996,"Actual 2024")</f>
        <v>0</v>
      </c>
      <c r="G3" s="182">
        <f>SUMIFS(G$11:G996,$B$11:$B996,"Actual 2024")</f>
        <v>0</v>
      </c>
      <c r="H3" s="182">
        <f>SUMIFS(H$11:H996,$B$11:$B996,"Actual 2024")</f>
        <v>0</v>
      </c>
      <c r="I3" s="185">
        <f>SUMIFS(I$11:I996,$B$11:$B996,"Actual 2024")</f>
        <v>0</v>
      </c>
      <c r="J3" s="185">
        <f>SUMIFS(J$11:J996,$B$11:$B996,"Actual 2024")</f>
        <v>0</v>
      </c>
      <c r="K3" s="185">
        <f>SUMIFS(K$11:K996,$B$11:$B996,"Actual 2024")</f>
        <v>0</v>
      </c>
      <c r="L3" s="185">
        <f>SUMIFS(L$11:L996,$B$11:$B996,"Actual 2024")</f>
        <v>0</v>
      </c>
      <c r="M3" s="185">
        <f>SUMIFS(M$11:M996,$B$11:$B996,"Actual 2024")</f>
        <v>0</v>
      </c>
      <c r="N3" s="185">
        <f>SUMIFS(N$11:N996,$B$11:$B996,"Actual 2024")</f>
        <v>0</v>
      </c>
      <c r="O3" s="183">
        <f>SUMIFS(O$11:O996,$B$11:$B996,"Actual 2024")</f>
        <v>0</v>
      </c>
    </row>
    <row r="4" spans="1:17" s="102" customFormat="1" ht="14.4" customHeight="1" x14ac:dyDescent="0.25">
      <c r="A4" s="240"/>
      <c r="B4" s="184" t="s">
        <v>27</v>
      </c>
      <c r="C4" s="189">
        <f>SUMIFS(C$11:C996,$B$11:$B996,"Estimated")</f>
        <v>0</v>
      </c>
      <c r="D4" s="189">
        <f>SUMIFS(D$11:D996,$B$11:$B996,"Estimated")</f>
        <v>0</v>
      </c>
      <c r="E4" s="189">
        <f>SUMIFS(E$11:E996,$B$11:$B996,"Estimated")</f>
        <v>0</v>
      </c>
      <c r="F4" s="189">
        <f>SUMIFS(F$11:F996,$B$11:$B996,"Estimated")</f>
        <v>0</v>
      </c>
      <c r="G4" s="189">
        <f>SUMIFS(G$11:G996,$B$11:$B996,"Estimated")</f>
        <v>0</v>
      </c>
      <c r="H4" s="189">
        <f>SUMIFS(H$11:H996,$B$11:$B996,"Estimated")</f>
        <v>0</v>
      </c>
      <c r="I4" s="192">
        <f>SUMIFS(I$11:I996,$B$11:$B996,"Estimated")</f>
        <v>0</v>
      </c>
      <c r="J4" s="192">
        <f>SUMIFS(J$11:J996,$B$11:$B996,"Estimated")</f>
        <v>0</v>
      </c>
      <c r="K4" s="192">
        <f>SUMIFS(K$11:K996,$B$11:$B996,"Estimated")</f>
        <v>0</v>
      </c>
      <c r="L4" s="192">
        <f>SUMIFS(L$11:L996,$B$11:$B996,"Estimated")</f>
        <v>0</v>
      </c>
      <c r="M4" s="192">
        <f>SUMIFS(M$11:M996,$B$11:$B996,"Estimated")</f>
        <v>0</v>
      </c>
      <c r="N4" s="192">
        <f>SUMIFS(N$11:N996,$B$11:$B996,"Estimated")</f>
        <v>0</v>
      </c>
      <c r="O4" s="191">
        <f>SUMIFS(O$11:O996,$B$11:$B996,"Estimated")</f>
        <v>0</v>
      </c>
      <c r="Q4" s="131">
        <f>O4-O3</f>
        <v>0</v>
      </c>
    </row>
    <row r="5" spans="1:17" s="166" customFormat="1" ht="14.4" customHeight="1" x14ac:dyDescent="0.3">
      <c r="A5" s="240"/>
      <c r="B5" s="162" t="s">
        <v>18</v>
      </c>
      <c r="C5" s="163">
        <v>0</v>
      </c>
      <c r="D5" s="163">
        <v>0</v>
      </c>
      <c r="E5" s="163">
        <v>0</v>
      </c>
      <c r="F5" s="163">
        <v>0</v>
      </c>
      <c r="G5" s="163">
        <v>0</v>
      </c>
      <c r="H5" s="163">
        <v>0</v>
      </c>
      <c r="I5" s="163">
        <v>0</v>
      </c>
      <c r="J5" s="163">
        <v>0</v>
      </c>
      <c r="K5" s="163">
        <v>0</v>
      </c>
      <c r="L5" s="163">
        <v>0</v>
      </c>
      <c r="M5" s="163">
        <v>0</v>
      </c>
      <c r="N5" s="163">
        <v>0</v>
      </c>
      <c r="O5" s="168">
        <f t="shared" ref="O5" si="0">SUM(C5:N5)</f>
        <v>0</v>
      </c>
      <c r="P5" s="166">
        <v>0</v>
      </c>
    </row>
    <row r="6" spans="1:17" s="166" customFormat="1" ht="15" thickBot="1" x14ac:dyDescent="0.35">
      <c r="A6" s="241"/>
      <c r="B6" s="174" t="s">
        <v>19</v>
      </c>
      <c r="C6" s="175">
        <f>SUMIFS(C$11:C1001,$B$11:$B1001,"Actual")</f>
        <v>2008.82</v>
      </c>
      <c r="D6" s="175">
        <f>SUMIFS(D$11:D1001,$B$11:$B1001,"Actual")</f>
        <v>2770.4</v>
      </c>
      <c r="E6" s="175">
        <f>SUMIFS(E$11:E1001,$B$11:$B1001,"Actual")</f>
        <v>55.81</v>
      </c>
      <c r="F6" s="175">
        <f>SUMIFS(F$11:F1001,$B$11:$B1001,"Actual")</f>
        <v>2373.4199999999996</v>
      </c>
      <c r="G6" s="175">
        <f>SUMIFS(G$11:G1001,$B$11:$B1001,"Actual")</f>
        <v>1969.39</v>
      </c>
      <c r="H6" s="175">
        <f>SUMIFS(H$11:H1001,$B$11:$B1001,"Actual")</f>
        <v>3896.16</v>
      </c>
      <c r="I6" s="177">
        <f>SUMIFS(I$11:I1001,$B$11:$B1001,"Actual")</f>
        <v>96.71</v>
      </c>
      <c r="J6" s="177">
        <f>SUMIFS(J$11:J1001,$B$11:$B1001,"Actual")</f>
        <v>7626.130000000001</v>
      </c>
      <c r="K6" s="177">
        <f>SUMIFS(K$11:K1001,$B$11:$B1001,"Actual")</f>
        <v>4229.63</v>
      </c>
      <c r="L6" s="177">
        <f>SUMIFS(L$11:L1001,$B$11:$B1001,"Actual")</f>
        <v>2301.7199999999998</v>
      </c>
      <c r="M6" s="177">
        <f>SUMIFS(M$11:M1001,$B$11:$B1001,"Actual")</f>
        <v>0</v>
      </c>
      <c r="N6" s="177">
        <f>SUMIFS(N$11:N1001,$B$11:$B1001,"Actual")</f>
        <v>0</v>
      </c>
      <c r="O6" s="176">
        <f>SUMIFS(O$11:O1001,$B$11:$B1001,"Actual")</f>
        <v>27328.19000000001</v>
      </c>
    </row>
    <row r="7" spans="1:17" s="64" customFormat="1" ht="15" thickTop="1" x14ac:dyDescent="0.3">
      <c r="A7" s="134"/>
      <c r="B7" s="70" t="s">
        <v>21</v>
      </c>
      <c r="C7" s="60">
        <f t="shared" ref="C7:I7" si="1">C5-C6</f>
        <v>-2008.82</v>
      </c>
      <c r="D7" s="60">
        <f t="shared" si="1"/>
        <v>-2770.4</v>
      </c>
      <c r="E7" s="60">
        <f t="shared" si="1"/>
        <v>-55.81</v>
      </c>
      <c r="F7" s="60">
        <f t="shared" si="1"/>
        <v>-2373.4199999999996</v>
      </c>
      <c r="G7" s="60">
        <f t="shared" si="1"/>
        <v>-1969.39</v>
      </c>
      <c r="H7" s="60">
        <f t="shared" si="1"/>
        <v>-3896.16</v>
      </c>
      <c r="I7" s="60">
        <f t="shared" si="1"/>
        <v>-96.71</v>
      </c>
      <c r="J7" s="60">
        <f t="shared" ref="J7:N7" si="2">J5-J6</f>
        <v>-7626.130000000001</v>
      </c>
      <c r="K7" s="60">
        <f t="shared" si="2"/>
        <v>-4229.63</v>
      </c>
      <c r="L7" s="60">
        <f t="shared" si="2"/>
        <v>-2301.7199999999998</v>
      </c>
      <c r="M7" s="60">
        <f t="shared" si="2"/>
        <v>0</v>
      </c>
      <c r="N7" s="60">
        <f t="shared" si="2"/>
        <v>0</v>
      </c>
      <c r="O7" s="75">
        <f>O5-O6</f>
        <v>-27328.19000000001</v>
      </c>
    </row>
    <row r="8" spans="1:17" s="142" customFormat="1" x14ac:dyDescent="0.3">
      <c r="A8" s="138"/>
      <c r="B8" s="139" t="s">
        <v>23</v>
      </c>
      <c r="C8" s="140">
        <f>SUM($C6:C6)</f>
        <v>2008.82</v>
      </c>
      <c r="D8" s="140">
        <f>SUM($C6:D6)</f>
        <v>4779.22</v>
      </c>
      <c r="E8" s="140">
        <f>SUM($C6:E6)</f>
        <v>4835.0300000000007</v>
      </c>
      <c r="F8" s="140">
        <f>SUM($C6:F6)</f>
        <v>7208.4500000000007</v>
      </c>
      <c r="G8" s="140">
        <f>SUM($C6:G6)</f>
        <v>9177.84</v>
      </c>
      <c r="H8" s="140">
        <f>SUM($C6:H6)</f>
        <v>13074</v>
      </c>
      <c r="I8" s="140">
        <f>SUM($C6:I6)</f>
        <v>13170.71</v>
      </c>
      <c r="J8" s="140">
        <f>SUM($C6:J6)</f>
        <v>20796.84</v>
      </c>
      <c r="K8" s="140">
        <f>SUM($C6:K6)</f>
        <v>25026.47</v>
      </c>
      <c r="L8" s="140">
        <f>SUM($C6:L6)</f>
        <v>27328.190000000002</v>
      </c>
      <c r="M8" s="140">
        <f>SUM($C6:M6)</f>
        <v>27328.190000000002</v>
      </c>
      <c r="N8" s="140">
        <f>SUM($C6:N6)</f>
        <v>27328.190000000002</v>
      </c>
      <c r="O8" s="141">
        <f>O6</f>
        <v>27328.19000000001</v>
      </c>
    </row>
    <row r="9" spans="1:17" s="142" customFormat="1" x14ac:dyDescent="0.3">
      <c r="A9" s="143"/>
      <c r="B9" s="144" t="s">
        <v>25</v>
      </c>
      <c r="C9" s="145">
        <f>SUM($C5:C5)-C8</f>
        <v>-2008.82</v>
      </c>
      <c r="D9" s="145">
        <f>SUM($C5:D5)-D8</f>
        <v>-4779.22</v>
      </c>
      <c r="E9" s="145">
        <f>SUM($C5:E5)-E8</f>
        <v>-4835.0300000000007</v>
      </c>
      <c r="F9" s="145">
        <f>SUM($C5:F5)-F8</f>
        <v>-7208.4500000000007</v>
      </c>
      <c r="G9" s="145">
        <f>SUM($C5:G5)-G8</f>
        <v>-9177.84</v>
      </c>
      <c r="H9" s="145">
        <f>SUM($C5:H5)-H8</f>
        <v>-13074</v>
      </c>
      <c r="I9" s="145">
        <f>SUM($C5:I5)-I8</f>
        <v>-13170.71</v>
      </c>
      <c r="J9" s="145">
        <f>SUM($C5:J5)-J8</f>
        <v>-20796.84</v>
      </c>
      <c r="K9" s="145">
        <f>SUM($C5:K5)-K8</f>
        <v>-25026.47</v>
      </c>
      <c r="L9" s="145">
        <f>SUM($C5:L5)-L8</f>
        <v>-27328.190000000002</v>
      </c>
      <c r="M9" s="145">
        <f>SUM($C5:M5)-M8</f>
        <v>-27328.190000000002</v>
      </c>
      <c r="N9" s="145">
        <f>SUM($C5:N5)-N8</f>
        <v>-27328.190000000002</v>
      </c>
      <c r="O9" s="146"/>
    </row>
    <row r="10" spans="1:17" x14ac:dyDescent="0.3"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7" s="102" customFormat="1" ht="12" x14ac:dyDescent="0.25">
      <c r="A11" s="235" t="s">
        <v>255</v>
      </c>
      <c r="B11" s="99" t="s">
        <v>16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3">
        <f t="shared" ref="O11:O14" si="3">SUM(C11:N11)</f>
        <v>0</v>
      </c>
    </row>
    <row r="12" spans="1:17" s="102" customFormat="1" ht="12" x14ac:dyDescent="0.25">
      <c r="A12" s="235"/>
      <c r="B12" s="99" t="s">
        <v>29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3">
        <f>SUM(C12:N12)</f>
        <v>0</v>
      </c>
    </row>
    <row r="13" spans="1:17" s="67" customFormat="1" ht="12.6" customHeight="1" x14ac:dyDescent="0.3">
      <c r="A13" s="155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66">
        <f t="shared" si="3"/>
        <v>0</v>
      </c>
    </row>
    <row r="14" spans="1:17" s="67" customFormat="1" ht="12.6" customHeight="1" x14ac:dyDescent="0.3">
      <c r="A14" s="156"/>
      <c r="B14" s="116" t="s">
        <v>32</v>
      </c>
      <c r="C14" s="117">
        <v>2008.82</v>
      </c>
      <c r="D14" s="117">
        <v>2770.4</v>
      </c>
      <c r="E14" s="117">
        <v>55.81</v>
      </c>
      <c r="F14" s="117"/>
      <c r="G14" s="117">
        <v>148.30000000000001</v>
      </c>
      <c r="H14" s="117">
        <v>1909</v>
      </c>
      <c r="I14" s="117">
        <v>96.71</v>
      </c>
      <c r="J14" s="117">
        <f>279.9-194.61-15.04+20.94+6.59+32.14+34.54+46.96+131.46+118.58+2985+390+17.79+63.26+3035.6</f>
        <v>6953.1100000000006</v>
      </c>
      <c r="K14" s="117">
        <f>3474.49+106.02+81.52+8.76</f>
        <v>3670.79</v>
      </c>
      <c r="L14" s="117"/>
      <c r="M14" s="117"/>
      <c r="N14" s="117"/>
      <c r="O14" s="118">
        <f t="shared" si="3"/>
        <v>17612.940000000002</v>
      </c>
    </row>
    <row r="15" spans="1:17" s="102" customFormat="1" ht="12" x14ac:dyDescent="0.25">
      <c r="A15" s="236" t="s">
        <v>256</v>
      </c>
      <c r="B15" s="99" t="s">
        <v>16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3">
        <f t="shared" ref="O15:O26" si="4">SUM(C15:N15)</f>
        <v>0</v>
      </c>
    </row>
    <row r="16" spans="1:17" s="102" customFormat="1" ht="12" x14ac:dyDescent="0.25">
      <c r="A16" s="235"/>
      <c r="B16" s="99" t="s">
        <v>29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3">
        <f t="shared" si="4"/>
        <v>0</v>
      </c>
    </row>
    <row r="17" spans="1:15" s="67" customFormat="1" ht="12.6" customHeight="1" x14ac:dyDescent="0.3">
      <c r="A17" s="155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>
        <f>SUM(C17:N17)</f>
        <v>0</v>
      </c>
    </row>
    <row r="18" spans="1:15" s="67" customFormat="1" ht="12.6" customHeight="1" x14ac:dyDescent="0.3">
      <c r="A18" s="156"/>
      <c r="B18" s="116" t="s">
        <v>32</v>
      </c>
      <c r="C18" s="117"/>
      <c r="D18" s="117"/>
      <c r="E18" s="117"/>
      <c r="F18" s="117"/>
      <c r="G18" s="117">
        <f>25.29+11.6+15.55+269.27+17.33+80.63+60.47</f>
        <v>480.14</v>
      </c>
      <c r="H18" s="117"/>
      <c r="I18" s="117"/>
      <c r="J18" s="117"/>
      <c r="K18" s="117"/>
      <c r="L18" s="117"/>
      <c r="M18" s="117"/>
      <c r="N18" s="117"/>
      <c r="O18" s="118">
        <f t="shared" si="4"/>
        <v>480.14</v>
      </c>
    </row>
    <row r="19" spans="1:15" s="102" customFormat="1" ht="12" x14ac:dyDescent="0.25">
      <c r="A19" s="236" t="s">
        <v>257</v>
      </c>
      <c r="B19" s="99" t="s">
        <v>16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3">
        <f t="shared" si="4"/>
        <v>0</v>
      </c>
    </row>
    <row r="20" spans="1:15" s="102" customFormat="1" ht="12" x14ac:dyDescent="0.25">
      <c r="A20" s="235"/>
      <c r="B20" s="99" t="s">
        <v>29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3">
        <f>SUM(C20:N20)</f>
        <v>0</v>
      </c>
    </row>
    <row r="21" spans="1:15" s="67" customFormat="1" ht="12.6" customHeight="1" x14ac:dyDescent="0.3">
      <c r="A21" s="155"/>
      <c r="B21" s="65" t="s">
        <v>31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66">
        <f t="shared" si="4"/>
        <v>0</v>
      </c>
    </row>
    <row r="22" spans="1:15" s="67" customFormat="1" ht="12.6" customHeight="1" x14ac:dyDescent="0.3">
      <c r="A22" s="156"/>
      <c r="B22" s="116" t="s">
        <v>32</v>
      </c>
      <c r="C22" s="117"/>
      <c r="D22" s="117"/>
      <c r="E22" s="117"/>
      <c r="F22" s="117">
        <f>392.94+209.96</f>
        <v>602.9</v>
      </c>
      <c r="G22" s="117">
        <v>127.43</v>
      </c>
      <c r="H22" s="117"/>
      <c r="I22" s="117"/>
      <c r="J22" s="117"/>
      <c r="K22" s="117"/>
      <c r="L22" s="117"/>
      <c r="M22" s="117"/>
      <c r="N22" s="117"/>
      <c r="O22" s="118">
        <f t="shared" si="4"/>
        <v>730.32999999999993</v>
      </c>
    </row>
    <row r="23" spans="1:15" s="102" customFormat="1" ht="12" x14ac:dyDescent="0.25">
      <c r="A23" s="236" t="s">
        <v>258</v>
      </c>
      <c r="B23" s="99" t="s">
        <v>16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3">
        <f t="shared" si="4"/>
        <v>0</v>
      </c>
    </row>
    <row r="24" spans="1:15" s="102" customFormat="1" ht="12" x14ac:dyDescent="0.25">
      <c r="A24" s="235"/>
      <c r="B24" s="99" t="s">
        <v>29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>
        <v>0</v>
      </c>
      <c r="N24" s="100">
        <v>0</v>
      </c>
      <c r="O24" s="103">
        <f>SUM(C24:N24)</f>
        <v>0</v>
      </c>
    </row>
    <row r="25" spans="1:15" s="67" customFormat="1" ht="12.6" customHeight="1" x14ac:dyDescent="0.3">
      <c r="A25" s="155"/>
      <c r="B25" s="65" t="s">
        <v>31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66">
        <f t="shared" si="4"/>
        <v>0</v>
      </c>
    </row>
    <row r="26" spans="1:15" s="67" customFormat="1" ht="12.6" customHeight="1" x14ac:dyDescent="0.3">
      <c r="A26" s="156"/>
      <c r="B26" s="116" t="s">
        <v>32</v>
      </c>
      <c r="C26" s="117"/>
      <c r="D26" s="117"/>
      <c r="E26" s="117"/>
      <c r="F26" s="117">
        <f>567.04+95.44+701.02+201.55</f>
        <v>1565.05</v>
      </c>
      <c r="G26" s="117">
        <f>27.35+220.94+36.65+258.62+81.65+393.64</f>
        <v>1018.8499999999999</v>
      </c>
      <c r="H26" s="117"/>
      <c r="I26" s="117"/>
      <c r="J26" s="117"/>
      <c r="K26" s="117">
        <f>250.03</f>
        <v>250.03</v>
      </c>
      <c r="L26" s="117"/>
      <c r="M26" s="117"/>
      <c r="N26" s="117"/>
      <c r="O26" s="118">
        <f t="shared" si="4"/>
        <v>2833.93</v>
      </c>
    </row>
    <row r="27" spans="1:15" s="102" customFormat="1" ht="12" x14ac:dyDescent="0.25">
      <c r="A27" s="236" t="s">
        <v>259</v>
      </c>
      <c r="B27" s="99" t="s">
        <v>16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3">
        <f t="shared" ref="O27:O74" si="5">SUM(C27:N27)</f>
        <v>0</v>
      </c>
    </row>
    <row r="28" spans="1:15" s="102" customFormat="1" ht="12" x14ac:dyDescent="0.25">
      <c r="A28" s="235"/>
      <c r="B28" s="99" t="s">
        <v>29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100">
        <v>0</v>
      </c>
      <c r="N28" s="100">
        <v>0</v>
      </c>
      <c r="O28" s="103">
        <f>SUM(C28:N28)</f>
        <v>0</v>
      </c>
    </row>
    <row r="29" spans="1:15" s="67" customFormat="1" ht="12.6" customHeight="1" x14ac:dyDescent="0.3">
      <c r="A29" s="155"/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66">
        <f t="shared" si="5"/>
        <v>0</v>
      </c>
    </row>
    <row r="30" spans="1:15" s="67" customFormat="1" ht="12.6" customHeight="1" x14ac:dyDescent="0.3">
      <c r="A30" s="156"/>
      <c r="B30" s="116" t="s">
        <v>32</v>
      </c>
      <c r="C30" s="117"/>
      <c r="D30" s="117"/>
      <c r="E30" s="117"/>
      <c r="F30" s="117">
        <v>205.47</v>
      </c>
      <c r="G30" s="117"/>
      <c r="H30" s="117"/>
      <c r="I30" s="117"/>
      <c r="J30" s="117"/>
      <c r="K30" s="117"/>
      <c r="L30" s="117"/>
      <c r="M30" s="117"/>
      <c r="N30" s="117"/>
      <c r="O30" s="118">
        <f t="shared" si="5"/>
        <v>205.47</v>
      </c>
    </row>
    <row r="31" spans="1:15" s="102" customFormat="1" ht="12" x14ac:dyDescent="0.25">
      <c r="A31" s="236" t="s">
        <v>260</v>
      </c>
      <c r="B31" s="99" t="s">
        <v>16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3">
        <f t="shared" si="5"/>
        <v>0</v>
      </c>
    </row>
    <row r="32" spans="1:15" s="102" customFormat="1" ht="12" x14ac:dyDescent="0.25">
      <c r="A32" s="235"/>
      <c r="B32" s="99" t="s">
        <v>29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3">
        <f>SUM(C32:N32)</f>
        <v>0</v>
      </c>
    </row>
    <row r="33" spans="1:15" s="67" customFormat="1" ht="12.6" customHeight="1" x14ac:dyDescent="0.3">
      <c r="A33" s="155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 t="shared" si="5"/>
        <v>0</v>
      </c>
    </row>
    <row r="34" spans="1:15" s="67" customFormat="1" ht="12.6" customHeight="1" x14ac:dyDescent="0.3">
      <c r="A34" s="156"/>
      <c r="B34" s="116" t="s">
        <v>32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8">
        <f t="shared" si="5"/>
        <v>0</v>
      </c>
    </row>
    <row r="35" spans="1:15" s="102" customFormat="1" ht="12" x14ac:dyDescent="0.25">
      <c r="A35" s="236" t="s">
        <v>261</v>
      </c>
      <c r="B35" s="99" t="s">
        <v>16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3">
        <f t="shared" si="5"/>
        <v>0</v>
      </c>
    </row>
    <row r="36" spans="1:15" s="102" customFormat="1" ht="12" x14ac:dyDescent="0.25">
      <c r="A36" s="235"/>
      <c r="B36" s="99" t="s">
        <v>29</v>
      </c>
      <c r="C36" s="100">
        <v>0</v>
      </c>
      <c r="D36" s="100">
        <v>0</v>
      </c>
      <c r="E36" s="100">
        <v>0</v>
      </c>
      <c r="F36" s="100">
        <v>0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100">
        <v>0</v>
      </c>
      <c r="N36" s="100">
        <v>0</v>
      </c>
      <c r="O36" s="103">
        <f>SUM(C36:N36)</f>
        <v>0</v>
      </c>
    </row>
    <row r="37" spans="1:15" s="67" customFormat="1" ht="12.6" customHeight="1" x14ac:dyDescent="0.3">
      <c r="A37" s="155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 t="shared" si="5"/>
        <v>0</v>
      </c>
    </row>
    <row r="38" spans="1:15" s="67" customFormat="1" ht="12.6" customHeight="1" x14ac:dyDescent="0.3">
      <c r="A38" s="156"/>
      <c r="B38" s="116" t="s">
        <v>32</v>
      </c>
      <c r="C38" s="117"/>
      <c r="D38" s="117"/>
      <c r="E38" s="117"/>
      <c r="F38" s="117"/>
      <c r="G38" s="117">
        <f>100+94.67</f>
        <v>194.67000000000002</v>
      </c>
      <c r="H38" s="117">
        <v>1987.16</v>
      </c>
      <c r="I38" s="117"/>
      <c r="J38" s="117"/>
      <c r="K38" s="117"/>
      <c r="L38" s="117"/>
      <c r="M38" s="117"/>
      <c r="N38" s="117"/>
      <c r="O38" s="118">
        <f t="shared" si="5"/>
        <v>2181.83</v>
      </c>
    </row>
    <row r="39" spans="1:15" s="102" customFormat="1" ht="12" x14ac:dyDescent="0.25">
      <c r="A39" s="236" t="s">
        <v>262</v>
      </c>
      <c r="B39" s="99" t="s">
        <v>16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3">
        <f t="shared" si="5"/>
        <v>0</v>
      </c>
    </row>
    <row r="40" spans="1:15" s="102" customFormat="1" ht="12" x14ac:dyDescent="0.25">
      <c r="A40" s="235"/>
      <c r="B40" s="99" t="s">
        <v>29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100">
        <v>0</v>
      </c>
      <c r="N40" s="100">
        <v>0</v>
      </c>
      <c r="O40" s="103">
        <f>SUM(C40:N40)</f>
        <v>0</v>
      </c>
    </row>
    <row r="41" spans="1:15" s="64" customFormat="1" ht="12.6" customHeight="1" x14ac:dyDescent="0.3">
      <c r="A41" s="155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 t="shared" si="5"/>
        <v>0</v>
      </c>
    </row>
    <row r="42" spans="1:15" s="64" customFormat="1" ht="12.6" customHeight="1" x14ac:dyDescent="0.3">
      <c r="A42" s="156"/>
      <c r="B42" s="7" t="s">
        <v>32</v>
      </c>
      <c r="C42" s="114"/>
      <c r="D42" s="114"/>
      <c r="E42" s="114"/>
      <c r="F42" s="114"/>
      <c r="G42" s="114"/>
      <c r="H42" s="114"/>
      <c r="I42" s="114"/>
      <c r="J42" s="114">
        <f>23.69+523.48+77.75+42.47+5.63</f>
        <v>673.0200000000001</v>
      </c>
      <c r="K42" s="114"/>
      <c r="L42" s="114"/>
      <c r="M42" s="114"/>
      <c r="N42" s="114"/>
      <c r="O42" s="24">
        <f t="shared" si="5"/>
        <v>673.0200000000001</v>
      </c>
    </row>
    <row r="43" spans="1:15" s="102" customFormat="1" ht="12" x14ac:dyDescent="0.25">
      <c r="A43" s="236" t="s">
        <v>263</v>
      </c>
      <c r="B43" s="99" t="s">
        <v>16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3">
        <f t="shared" si="5"/>
        <v>0</v>
      </c>
    </row>
    <row r="44" spans="1:15" s="102" customFormat="1" ht="12" x14ac:dyDescent="0.25">
      <c r="A44" s="235"/>
      <c r="B44" s="99" t="s">
        <v>29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100">
        <v>0</v>
      </c>
      <c r="N44" s="100">
        <v>0</v>
      </c>
      <c r="O44" s="103">
        <f>SUM(C44:N44)</f>
        <v>0</v>
      </c>
    </row>
    <row r="45" spans="1:15" s="64" customFormat="1" ht="12.6" customHeight="1" x14ac:dyDescent="0.3">
      <c r="A45" s="155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 t="shared" si="5"/>
        <v>0</v>
      </c>
    </row>
    <row r="46" spans="1:15" s="64" customFormat="1" ht="12.6" customHeight="1" x14ac:dyDescent="0.3">
      <c r="A46" s="156"/>
      <c r="B46" s="7" t="s">
        <v>32</v>
      </c>
      <c r="C46" s="114"/>
      <c r="D46" s="114"/>
      <c r="E46" s="114"/>
      <c r="F46" s="114"/>
      <c r="G46" s="114"/>
      <c r="H46" s="114"/>
      <c r="I46" s="114"/>
      <c r="J46" s="114"/>
      <c r="K46" s="114">
        <v>308.81</v>
      </c>
      <c r="L46" s="114"/>
      <c r="M46" s="114"/>
      <c r="N46" s="114"/>
      <c r="O46" s="24">
        <f t="shared" si="5"/>
        <v>308.81</v>
      </c>
    </row>
    <row r="47" spans="1:15" s="102" customFormat="1" ht="12" x14ac:dyDescent="0.25">
      <c r="A47" s="236" t="s">
        <v>264</v>
      </c>
      <c r="B47" s="99" t="s">
        <v>16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3">
        <f t="shared" si="5"/>
        <v>0</v>
      </c>
    </row>
    <row r="48" spans="1:15" s="102" customFormat="1" ht="12" x14ac:dyDescent="0.25">
      <c r="A48" s="235"/>
      <c r="B48" s="99" t="s">
        <v>29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3">
        <f>SUM(C48:N48)</f>
        <v>0</v>
      </c>
    </row>
    <row r="49" spans="1:15" s="64" customFormat="1" ht="12.6" customHeight="1" x14ac:dyDescent="0.3">
      <c r="A49" s="155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 t="shared" si="5"/>
        <v>0</v>
      </c>
    </row>
    <row r="50" spans="1:15" s="64" customFormat="1" ht="12.6" customHeight="1" x14ac:dyDescent="0.3">
      <c r="A50" s="156"/>
      <c r="B50" s="7" t="s">
        <v>32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>
        <f>1038.74+349.45+910.47+101.21-127.75+29.6</f>
        <v>2301.7199999999998</v>
      </c>
      <c r="M50" s="114"/>
      <c r="N50" s="114"/>
      <c r="O50" s="24">
        <f t="shared" si="5"/>
        <v>2301.7199999999998</v>
      </c>
    </row>
    <row r="51" spans="1:15" s="102" customFormat="1" ht="12" x14ac:dyDescent="0.25">
      <c r="A51" s="236"/>
      <c r="B51" s="99" t="s">
        <v>16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3">
        <f t="shared" si="5"/>
        <v>0</v>
      </c>
    </row>
    <row r="52" spans="1:15" s="102" customFormat="1" ht="12" x14ac:dyDescent="0.25">
      <c r="A52" s="235"/>
      <c r="B52" s="99" t="s">
        <v>29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0</v>
      </c>
      <c r="N52" s="100">
        <v>0</v>
      </c>
      <c r="O52" s="103">
        <f>SUM(C52:N52)</f>
        <v>0</v>
      </c>
    </row>
    <row r="53" spans="1:15" s="64" customFormat="1" ht="12.6" customHeight="1" x14ac:dyDescent="0.3">
      <c r="A53" s="155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 t="shared" si="5"/>
        <v>0</v>
      </c>
    </row>
    <row r="54" spans="1:15" s="64" customFormat="1" ht="12.6" customHeight="1" x14ac:dyDescent="0.3">
      <c r="A54" s="156"/>
      <c r="B54" s="7" t="s">
        <v>32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24">
        <f t="shared" si="5"/>
        <v>0</v>
      </c>
    </row>
    <row r="55" spans="1:15" s="102" customFormat="1" ht="12" x14ac:dyDescent="0.25">
      <c r="A55" s="236"/>
      <c r="B55" s="99" t="s">
        <v>16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3">
        <f t="shared" si="5"/>
        <v>0</v>
      </c>
    </row>
    <row r="56" spans="1:15" s="102" customFormat="1" ht="12" x14ac:dyDescent="0.25">
      <c r="A56" s="235"/>
      <c r="B56" s="99" t="s">
        <v>29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3">
        <f>SUM(C56:N56)</f>
        <v>0</v>
      </c>
    </row>
    <row r="57" spans="1:15" s="64" customFormat="1" ht="12.6" customHeight="1" x14ac:dyDescent="0.3">
      <c r="A57" s="155"/>
      <c r="B57" s="5" t="s">
        <v>31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7">
        <f t="shared" si="5"/>
        <v>0</v>
      </c>
    </row>
    <row r="58" spans="1:15" s="64" customFormat="1" ht="12.6" customHeight="1" x14ac:dyDescent="0.3">
      <c r="A58" s="156"/>
      <c r="B58" s="7" t="s">
        <v>32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24">
        <f t="shared" si="5"/>
        <v>0</v>
      </c>
    </row>
    <row r="59" spans="1:15" s="102" customFormat="1" ht="12" x14ac:dyDescent="0.25">
      <c r="A59" s="236"/>
      <c r="B59" s="99" t="s">
        <v>16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3">
        <f t="shared" si="5"/>
        <v>0</v>
      </c>
    </row>
    <row r="60" spans="1:15" s="102" customFormat="1" ht="12" x14ac:dyDescent="0.25">
      <c r="A60" s="235"/>
      <c r="B60" s="99" t="s">
        <v>29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3">
        <f>SUM(C60:N60)</f>
        <v>0</v>
      </c>
    </row>
    <row r="61" spans="1:15" s="64" customFormat="1" ht="12.6" customHeight="1" x14ac:dyDescent="0.3">
      <c r="A61" s="155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 t="shared" si="5"/>
        <v>0</v>
      </c>
    </row>
    <row r="62" spans="1:15" s="64" customFormat="1" ht="12.6" customHeight="1" x14ac:dyDescent="0.3">
      <c r="A62" s="156"/>
      <c r="B62" s="7" t="s">
        <v>32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24">
        <f t="shared" si="5"/>
        <v>0</v>
      </c>
    </row>
    <row r="63" spans="1:15" s="102" customFormat="1" ht="12" x14ac:dyDescent="0.25">
      <c r="A63" s="236"/>
      <c r="B63" s="99" t="s">
        <v>16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3">
        <f t="shared" si="5"/>
        <v>0</v>
      </c>
    </row>
    <row r="64" spans="1:15" s="102" customFormat="1" ht="12" x14ac:dyDescent="0.25">
      <c r="A64" s="235"/>
      <c r="B64" s="99" t="s">
        <v>29</v>
      </c>
      <c r="C64" s="100">
        <v>0</v>
      </c>
      <c r="D64" s="100">
        <v>0</v>
      </c>
      <c r="E64" s="100">
        <v>0</v>
      </c>
      <c r="F64" s="100">
        <v>0</v>
      </c>
      <c r="G64" s="100">
        <v>0</v>
      </c>
      <c r="H64" s="100">
        <v>0</v>
      </c>
      <c r="I64" s="100">
        <v>0</v>
      </c>
      <c r="J64" s="100">
        <v>0</v>
      </c>
      <c r="K64" s="100">
        <v>0</v>
      </c>
      <c r="L64" s="100">
        <v>0</v>
      </c>
      <c r="M64" s="100">
        <v>0</v>
      </c>
      <c r="N64" s="100">
        <v>0</v>
      </c>
      <c r="O64" s="103">
        <f>SUM(C64:N64)</f>
        <v>0</v>
      </c>
    </row>
    <row r="65" spans="1:15" s="64" customFormat="1" ht="12.6" customHeight="1" x14ac:dyDescent="0.3">
      <c r="A65" s="155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 t="shared" si="5"/>
        <v>0</v>
      </c>
    </row>
    <row r="66" spans="1:15" s="64" customFormat="1" ht="12.6" customHeight="1" x14ac:dyDescent="0.3">
      <c r="A66" s="156"/>
      <c r="B66" s="7" t="s">
        <v>32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24">
        <f t="shared" si="5"/>
        <v>0</v>
      </c>
    </row>
    <row r="67" spans="1:15" s="102" customFormat="1" ht="12.6" customHeight="1" x14ac:dyDescent="0.25">
      <c r="A67" s="236"/>
      <c r="B67" s="99" t="s">
        <v>16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3">
        <f t="shared" si="5"/>
        <v>0</v>
      </c>
    </row>
    <row r="68" spans="1:15" s="102" customFormat="1" ht="12" x14ac:dyDescent="0.25">
      <c r="A68" s="235"/>
      <c r="B68" s="99" t="s">
        <v>29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3">
        <f>SUM(C68:N68)</f>
        <v>0</v>
      </c>
    </row>
    <row r="69" spans="1:15" s="64" customFormat="1" x14ac:dyDescent="0.3">
      <c r="A69" s="155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 t="shared" si="5"/>
        <v>0</v>
      </c>
    </row>
    <row r="70" spans="1:15" s="64" customFormat="1" x14ac:dyDescent="0.3">
      <c r="A70" s="156"/>
      <c r="B70" s="7" t="s">
        <v>32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24">
        <f t="shared" si="5"/>
        <v>0</v>
      </c>
    </row>
    <row r="71" spans="1:15" s="102" customFormat="1" ht="12" x14ac:dyDescent="0.25">
      <c r="A71" s="236"/>
      <c r="B71" s="99" t="s">
        <v>16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3">
        <f t="shared" si="5"/>
        <v>0</v>
      </c>
    </row>
    <row r="72" spans="1:15" s="102" customFormat="1" ht="12" x14ac:dyDescent="0.25">
      <c r="A72" s="235"/>
      <c r="B72" s="99" t="s">
        <v>29</v>
      </c>
      <c r="C72" s="100">
        <v>0</v>
      </c>
      <c r="D72" s="100">
        <v>0</v>
      </c>
      <c r="E72" s="100">
        <v>0</v>
      </c>
      <c r="F72" s="100">
        <v>0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3">
        <f>SUM(C72:N72)</f>
        <v>0</v>
      </c>
    </row>
    <row r="73" spans="1:15" s="64" customFormat="1" x14ac:dyDescent="0.3">
      <c r="A73" s="155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 t="shared" si="5"/>
        <v>0</v>
      </c>
    </row>
    <row r="74" spans="1:15" s="64" customFormat="1" x14ac:dyDescent="0.3">
      <c r="A74" s="156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24">
        <f t="shared" si="5"/>
        <v>0</v>
      </c>
    </row>
    <row r="75" spans="1:15" s="102" customFormat="1" ht="12" x14ac:dyDescent="0.25">
      <c r="A75" s="236"/>
      <c r="B75" s="99" t="s">
        <v>16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3">
        <f t="shared" ref="O75:O98" si="6">SUM(C75:N75)</f>
        <v>0</v>
      </c>
    </row>
    <row r="76" spans="1:15" s="102" customFormat="1" ht="12" x14ac:dyDescent="0.25">
      <c r="A76" s="235"/>
      <c r="B76" s="99" t="s">
        <v>29</v>
      </c>
      <c r="C76" s="100">
        <v>0</v>
      </c>
      <c r="D76" s="100">
        <v>0</v>
      </c>
      <c r="E76" s="100">
        <v>0</v>
      </c>
      <c r="F76" s="100">
        <v>0</v>
      </c>
      <c r="G76" s="100">
        <v>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3">
        <f>SUM(C76:N76)</f>
        <v>0</v>
      </c>
    </row>
    <row r="77" spans="1:15" s="64" customFormat="1" x14ac:dyDescent="0.3">
      <c r="A77" s="155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7">
        <f t="shared" si="6"/>
        <v>0</v>
      </c>
    </row>
    <row r="78" spans="1:15" s="64" customFormat="1" x14ac:dyDescent="0.3">
      <c r="A78" s="156"/>
      <c r="B78" s="7" t="s">
        <v>32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24">
        <f t="shared" si="6"/>
        <v>0</v>
      </c>
    </row>
    <row r="79" spans="1:15" s="102" customFormat="1" ht="12" x14ac:dyDescent="0.25">
      <c r="A79" s="236"/>
      <c r="B79" s="99" t="s">
        <v>16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3">
        <f t="shared" si="6"/>
        <v>0</v>
      </c>
    </row>
    <row r="80" spans="1:15" s="102" customFormat="1" ht="12" x14ac:dyDescent="0.25">
      <c r="A80" s="235"/>
      <c r="B80" s="99" t="s">
        <v>29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3">
        <f>SUM(C80:N80)</f>
        <v>0</v>
      </c>
    </row>
    <row r="81" spans="1:15" s="64" customFormat="1" x14ac:dyDescent="0.3">
      <c r="A81" s="155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7">
        <f t="shared" si="6"/>
        <v>0</v>
      </c>
    </row>
    <row r="82" spans="1:15" s="64" customFormat="1" x14ac:dyDescent="0.3">
      <c r="A82" s="156"/>
      <c r="B82" s="7" t="s">
        <v>32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24">
        <f t="shared" si="6"/>
        <v>0</v>
      </c>
    </row>
    <row r="83" spans="1:15" s="102" customFormat="1" ht="12" x14ac:dyDescent="0.25">
      <c r="A83" s="236"/>
      <c r="B83" s="99" t="s">
        <v>16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3">
        <f t="shared" si="6"/>
        <v>0</v>
      </c>
    </row>
    <row r="84" spans="1:15" s="102" customFormat="1" ht="12" x14ac:dyDescent="0.25">
      <c r="A84" s="235"/>
      <c r="B84" s="99" t="s">
        <v>29</v>
      </c>
      <c r="C84" s="100">
        <v>0</v>
      </c>
      <c r="D84" s="100">
        <v>0</v>
      </c>
      <c r="E84" s="100">
        <v>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3">
        <f>SUM(C84:N84)</f>
        <v>0</v>
      </c>
    </row>
    <row r="85" spans="1:15" s="64" customFormat="1" x14ac:dyDescent="0.3">
      <c r="A85" s="155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7">
        <f t="shared" si="6"/>
        <v>0</v>
      </c>
    </row>
    <row r="86" spans="1:15" s="64" customFormat="1" x14ac:dyDescent="0.3">
      <c r="A86" s="156"/>
      <c r="B86" s="7" t="s">
        <v>32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24">
        <f t="shared" si="6"/>
        <v>0</v>
      </c>
    </row>
    <row r="87" spans="1:15" s="102" customFormat="1" ht="12" x14ac:dyDescent="0.25">
      <c r="A87" s="236"/>
      <c r="B87" s="99" t="s">
        <v>16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3">
        <f t="shared" si="6"/>
        <v>0</v>
      </c>
    </row>
    <row r="88" spans="1:15" s="102" customFormat="1" ht="12" x14ac:dyDescent="0.25">
      <c r="A88" s="235"/>
      <c r="B88" s="99" t="s">
        <v>29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3">
        <f>SUM(C88:N88)</f>
        <v>0</v>
      </c>
    </row>
    <row r="89" spans="1:15" s="64" customFormat="1" x14ac:dyDescent="0.3">
      <c r="A89" s="155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7">
        <f t="shared" si="6"/>
        <v>0</v>
      </c>
    </row>
    <row r="90" spans="1:15" s="64" customFormat="1" x14ac:dyDescent="0.3">
      <c r="A90" s="156"/>
      <c r="B90" s="7" t="s">
        <v>32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24">
        <f t="shared" si="6"/>
        <v>0</v>
      </c>
    </row>
    <row r="91" spans="1:15" s="102" customFormat="1" ht="12" x14ac:dyDescent="0.25">
      <c r="A91" s="236"/>
      <c r="B91" s="99" t="s">
        <v>16</v>
      </c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3">
        <f t="shared" si="6"/>
        <v>0</v>
      </c>
    </row>
    <row r="92" spans="1:15" s="102" customFormat="1" ht="12" x14ac:dyDescent="0.25">
      <c r="A92" s="235"/>
      <c r="B92" s="99" t="s">
        <v>29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100">
        <v>0</v>
      </c>
      <c r="N92" s="100">
        <v>0</v>
      </c>
      <c r="O92" s="103">
        <f>SUM(C92:N92)</f>
        <v>0</v>
      </c>
    </row>
    <row r="93" spans="1:15" s="64" customFormat="1" x14ac:dyDescent="0.3">
      <c r="A93" s="155"/>
      <c r="B93" s="5" t="s">
        <v>31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7">
        <f t="shared" si="6"/>
        <v>0</v>
      </c>
    </row>
    <row r="94" spans="1:15" s="64" customFormat="1" x14ac:dyDescent="0.3">
      <c r="A94" s="156"/>
      <c r="B94" s="7" t="s">
        <v>32</v>
      </c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24">
        <f t="shared" si="6"/>
        <v>0</v>
      </c>
    </row>
    <row r="95" spans="1:15" s="102" customFormat="1" ht="12" x14ac:dyDescent="0.25">
      <c r="A95" s="236"/>
      <c r="B95" s="99" t="s">
        <v>16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3">
        <f t="shared" si="6"/>
        <v>0</v>
      </c>
    </row>
    <row r="96" spans="1:15" s="102" customFormat="1" ht="12" x14ac:dyDescent="0.25">
      <c r="A96" s="235"/>
      <c r="B96" s="99" t="s">
        <v>29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100">
        <v>0</v>
      </c>
      <c r="N96" s="100">
        <v>0</v>
      </c>
      <c r="O96" s="103">
        <f>SUM(C96:N96)</f>
        <v>0</v>
      </c>
    </row>
    <row r="97" spans="1:15" s="64" customFormat="1" x14ac:dyDescent="0.3">
      <c r="A97" s="155"/>
      <c r="B97" s="5" t="s">
        <v>31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7">
        <f t="shared" si="6"/>
        <v>0</v>
      </c>
    </row>
    <row r="98" spans="1:15" s="64" customFormat="1" x14ac:dyDescent="0.3">
      <c r="A98" s="156"/>
      <c r="B98" s="7" t="s">
        <v>32</v>
      </c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24">
        <f t="shared" si="6"/>
        <v>0</v>
      </c>
    </row>
    <row r="99" spans="1:15" s="102" customFormat="1" ht="12" x14ac:dyDescent="0.25">
      <c r="A99" s="243"/>
    </row>
    <row r="100" spans="1:15" s="102" customFormat="1" ht="12" x14ac:dyDescent="0.25">
      <c r="A100" s="237"/>
    </row>
    <row r="101" spans="1:15" s="64" customFormat="1" x14ac:dyDescent="0.3">
      <c r="A101" s="158"/>
    </row>
    <row r="102" spans="1:15" s="64" customFormat="1" x14ac:dyDescent="0.3">
      <c r="A102" s="158"/>
    </row>
    <row r="103" spans="1:15" s="102" customFormat="1" ht="12" x14ac:dyDescent="0.25">
      <c r="A103" s="237"/>
    </row>
    <row r="104" spans="1:15" s="102" customFormat="1" ht="12" x14ac:dyDescent="0.25">
      <c r="A104" s="237"/>
    </row>
    <row r="105" spans="1:15" s="64" customFormat="1" x14ac:dyDescent="0.3">
      <c r="A105" s="158"/>
    </row>
    <row r="106" spans="1:15" s="64" customFormat="1" x14ac:dyDescent="0.3">
      <c r="A106" s="158"/>
    </row>
    <row r="107" spans="1:15" s="102" customFormat="1" ht="12" x14ac:dyDescent="0.25">
      <c r="A107" s="237"/>
    </row>
    <row r="108" spans="1:15" s="102" customFormat="1" ht="12" x14ac:dyDescent="0.25">
      <c r="A108" s="237"/>
    </row>
    <row r="109" spans="1:15" s="64" customFormat="1" x14ac:dyDescent="0.3">
      <c r="A109" s="158"/>
    </row>
    <row r="110" spans="1:15" s="64" customFormat="1" x14ac:dyDescent="0.3">
      <c r="A110" s="158"/>
    </row>
    <row r="111" spans="1:15" s="102" customFormat="1" ht="12" x14ac:dyDescent="0.25">
      <c r="A111" s="237"/>
    </row>
    <row r="112" spans="1:15" s="102" customFormat="1" ht="12" x14ac:dyDescent="0.25">
      <c r="A112" s="237"/>
    </row>
    <row r="113" spans="1:1" s="64" customFormat="1" x14ac:dyDescent="0.3">
      <c r="A113" s="158"/>
    </row>
    <row r="114" spans="1:1" s="64" customFormat="1" x14ac:dyDescent="0.3">
      <c r="A114" s="158"/>
    </row>
    <row r="115" spans="1:1" s="102" customFormat="1" ht="12" x14ac:dyDescent="0.25">
      <c r="A115" s="237"/>
    </row>
    <row r="116" spans="1:1" s="102" customFormat="1" ht="12" x14ac:dyDescent="0.25">
      <c r="A116" s="237"/>
    </row>
    <row r="117" spans="1:1" s="64" customFormat="1" x14ac:dyDescent="0.3">
      <c r="A117" s="158"/>
    </row>
    <row r="118" spans="1:1" s="64" customFormat="1" x14ac:dyDescent="0.3">
      <c r="A118" s="158"/>
    </row>
    <row r="119" spans="1:1" s="102" customFormat="1" ht="12" x14ac:dyDescent="0.25">
      <c r="A119" s="237"/>
    </row>
    <row r="120" spans="1:1" s="102" customFormat="1" ht="12" x14ac:dyDescent="0.25">
      <c r="A120" s="237"/>
    </row>
    <row r="121" spans="1:1" s="64" customFormat="1" x14ac:dyDescent="0.3">
      <c r="A121" s="158"/>
    </row>
    <row r="122" spans="1:1" s="64" customFormat="1" x14ac:dyDescent="0.3">
      <c r="A122" s="158"/>
    </row>
    <row r="123" spans="1:1" s="102" customFormat="1" ht="12" x14ac:dyDescent="0.25">
      <c r="A123" s="237"/>
    </row>
    <row r="124" spans="1:1" s="102" customFormat="1" ht="12" x14ac:dyDescent="0.25">
      <c r="A124" s="237"/>
    </row>
    <row r="125" spans="1:1" s="64" customFormat="1" ht="11.4" customHeight="1" x14ac:dyDescent="0.3">
      <c r="A125" s="158"/>
    </row>
    <row r="126" spans="1:1" s="64" customFormat="1" x14ac:dyDescent="0.3">
      <c r="A126" s="158"/>
    </row>
    <row r="127" spans="1:1" s="102" customFormat="1" ht="12" x14ac:dyDescent="0.25">
      <c r="A127" s="237"/>
    </row>
    <row r="128" spans="1:1" s="102" customFormat="1" ht="12" x14ac:dyDescent="0.25">
      <c r="A128" s="237"/>
    </row>
    <row r="129" spans="1:1" s="64" customFormat="1" x14ac:dyDescent="0.3">
      <c r="A129" s="158"/>
    </row>
    <row r="130" spans="1:1" s="64" customFormat="1" x14ac:dyDescent="0.3">
      <c r="A130" s="158"/>
    </row>
    <row r="131" spans="1:1" s="102" customFormat="1" ht="12" x14ac:dyDescent="0.25">
      <c r="A131" s="237"/>
    </row>
    <row r="132" spans="1:1" s="102" customFormat="1" ht="12" x14ac:dyDescent="0.25">
      <c r="A132" s="237"/>
    </row>
    <row r="133" spans="1:1" s="64" customFormat="1" x14ac:dyDescent="0.3">
      <c r="A133" s="158"/>
    </row>
    <row r="134" spans="1:1" s="64" customFormat="1" x14ac:dyDescent="0.3">
      <c r="A134" s="158"/>
    </row>
    <row r="135" spans="1:1" s="102" customFormat="1" ht="12" x14ac:dyDescent="0.25">
      <c r="A135" s="237"/>
    </row>
    <row r="136" spans="1:1" s="102" customFormat="1" ht="12" x14ac:dyDescent="0.25">
      <c r="A136" s="237"/>
    </row>
    <row r="137" spans="1:1" s="64" customFormat="1" x14ac:dyDescent="0.3">
      <c r="A137" s="158"/>
    </row>
    <row r="138" spans="1:1" s="64" customFormat="1" x14ac:dyDescent="0.3">
      <c r="A138" s="158"/>
    </row>
    <row r="139" spans="1:1" s="102" customFormat="1" ht="12" x14ac:dyDescent="0.25">
      <c r="A139" s="237"/>
    </row>
    <row r="140" spans="1:1" s="102" customFormat="1" ht="12" x14ac:dyDescent="0.25">
      <c r="A140" s="237"/>
    </row>
    <row r="141" spans="1:1" s="64" customFormat="1" x14ac:dyDescent="0.3">
      <c r="A141" s="158"/>
    </row>
    <row r="142" spans="1:1" s="64" customFormat="1" x14ac:dyDescent="0.3">
      <c r="A142" s="158"/>
    </row>
    <row r="143" spans="1:1" s="102" customFormat="1" ht="12" x14ac:dyDescent="0.25">
      <c r="A143" s="237"/>
    </row>
    <row r="144" spans="1:1" s="102" customFormat="1" ht="12" x14ac:dyDescent="0.25">
      <c r="A144" s="237"/>
    </row>
    <row r="145" spans="1:1" s="64" customFormat="1" x14ac:dyDescent="0.3">
      <c r="A145" s="158"/>
    </row>
    <row r="146" spans="1:1" s="64" customFormat="1" x14ac:dyDescent="0.3">
      <c r="A146" s="158"/>
    </row>
    <row r="147" spans="1:1" s="102" customFormat="1" ht="12" x14ac:dyDescent="0.25">
      <c r="A147" s="237"/>
    </row>
    <row r="148" spans="1:1" s="102" customFormat="1" ht="12" x14ac:dyDescent="0.25">
      <c r="A148" s="237"/>
    </row>
    <row r="149" spans="1:1" s="64" customFormat="1" x14ac:dyDescent="0.3">
      <c r="A149" s="158"/>
    </row>
    <row r="150" spans="1:1" s="64" customFormat="1" x14ac:dyDescent="0.3">
      <c r="A150" s="158"/>
    </row>
    <row r="151" spans="1:1" s="102" customFormat="1" ht="12" x14ac:dyDescent="0.25">
      <c r="A151" s="237"/>
    </row>
    <row r="152" spans="1:1" s="102" customFormat="1" ht="12" x14ac:dyDescent="0.25">
      <c r="A152" s="237"/>
    </row>
    <row r="153" spans="1:1" s="64" customFormat="1" x14ac:dyDescent="0.3">
      <c r="A153" s="158"/>
    </row>
    <row r="154" spans="1:1" s="64" customFormat="1" x14ac:dyDescent="0.3">
      <c r="A154" s="158"/>
    </row>
    <row r="155" spans="1:1" s="102" customFormat="1" ht="12" x14ac:dyDescent="0.25">
      <c r="A155" s="237"/>
    </row>
    <row r="156" spans="1:1" s="102" customFormat="1" ht="12" x14ac:dyDescent="0.25">
      <c r="A156" s="237"/>
    </row>
    <row r="157" spans="1:1" s="64" customFormat="1" x14ac:dyDescent="0.3">
      <c r="A157" s="158"/>
    </row>
    <row r="158" spans="1:1" s="64" customFormat="1" x14ac:dyDescent="0.3">
      <c r="A158" s="158"/>
    </row>
    <row r="159" spans="1:1" s="102" customFormat="1" ht="12" x14ac:dyDescent="0.25">
      <c r="A159" s="237"/>
    </row>
    <row r="160" spans="1:1" s="102" customFormat="1" ht="12" x14ac:dyDescent="0.25">
      <c r="A160" s="237"/>
    </row>
    <row r="161" spans="1:1" s="64" customFormat="1" x14ac:dyDescent="0.3">
      <c r="A161" s="158"/>
    </row>
    <row r="162" spans="1:1" s="64" customFormat="1" x14ac:dyDescent="0.3">
      <c r="A162" s="158"/>
    </row>
    <row r="163" spans="1:1" s="102" customFormat="1" ht="12" x14ac:dyDescent="0.25">
      <c r="A163" s="237"/>
    </row>
    <row r="164" spans="1:1" s="102" customFormat="1" ht="12" x14ac:dyDescent="0.25">
      <c r="A164" s="237"/>
    </row>
    <row r="165" spans="1:1" s="64" customFormat="1" x14ac:dyDescent="0.3">
      <c r="A165" s="158"/>
    </row>
    <row r="166" spans="1:1" s="64" customFormat="1" x14ac:dyDescent="0.3">
      <c r="A166" s="158"/>
    </row>
    <row r="167" spans="1:1" s="102" customFormat="1" ht="12" x14ac:dyDescent="0.25">
      <c r="A167" s="237"/>
    </row>
    <row r="168" spans="1:1" s="102" customFormat="1" ht="12" x14ac:dyDescent="0.25">
      <c r="A168" s="237"/>
    </row>
    <row r="169" spans="1:1" s="64" customFormat="1" x14ac:dyDescent="0.3">
      <c r="A169" s="158"/>
    </row>
    <row r="170" spans="1:1" s="64" customFormat="1" x14ac:dyDescent="0.3">
      <c r="A170" s="158"/>
    </row>
    <row r="171" spans="1:1" s="102" customFormat="1" ht="12" x14ac:dyDescent="0.25">
      <c r="A171" s="237"/>
    </row>
    <row r="172" spans="1:1" s="102" customFormat="1" ht="12" x14ac:dyDescent="0.25">
      <c r="A172" s="237"/>
    </row>
    <row r="173" spans="1:1" s="64" customFormat="1" x14ac:dyDescent="0.3">
      <c r="A173" s="158"/>
    </row>
    <row r="174" spans="1:1" s="64" customFormat="1" x14ac:dyDescent="0.3">
      <c r="A174" s="158"/>
    </row>
    <row r="175" spans="1:1" s="102" customFormat="1" ht="12" x14ac:dyDescent="0.25">
      <c r="A175" s="237"/>
    </row>
    <row r="176" spans="1:1" s="102" customFormat="1" ht="12" x14ac:dyDescent="0.25">
      <c r="A176" s="237"/>
    </row>
    <row r="177" spans="1:1" s="64" customFormat="1" x14ac:dyDescent="0.3">
      <c r="A177" s="158"/>
    </row>
    <row r="178" spans="1:1" s="64" customFormat="1" x14ac:dyDescent="0.3">
      <c r="A178" s="158"/>
    </row>
    <row r="179" spans="1:1" s="102" customFormat="1" ht="12" x14ac:dyDescent="0.25">
      <c r="A179" s="237"/>
    </row>
    <row r="180" spans="1:1" s="102" customFormat="1" ht="12" x14ac:dyDescent="0.25">
      <c r="A180" s="237"/>
    </row>
    <row r="181" spans="1:1" s="64" customFormat="1" x14ac:dyDescent="0.3">
      <c r="A181" s="158"/>
    </row>
    <row r="182" spans="1:1" s="64" customFormat="1" x14ac:dyDescent="0.3">
      <c r="A182" s="158"/>
    </row>
    <row r="183" spans="1:1" s="102" customFormat="1" ht="12" x14ac:dyDescent="0.25">
      <c r="A183" s="237"/>
    </row>
    <row r="184" spans="1:1" s="102" customFormat="1" ht="12" x14ac:dyDescent="0.25">
      <c r="A184" s="237"/>
    </row>
    <row r="185" spans="1:1" s="64" customFormat="1" x14ac:dyDescent="0.3">
      <c r="A185" s="158"/>
    </row>
    <row r="186" spans="1:1" s="64" customFormat="1" x14ac:dyDescent="0.3">
      <c r="A186" s="158"/>
    </row>
    <row r="187" spans="1:1" s="102" customFormat="1" ht="12" x14ac:dyDescent="0.25">
      <c r="A187" s="237"/>
    </row>
    <row r="188" spans="1:1" s="102" customFormat="1" ht="12" x14ac:dyDescent="0.25">
      <c r="A188" s="237"/>
    </row>
    <row r="189" spans="1:1" s="64" customFormat="1" x14ac:dyDescent="0.3">
      <c r="A189" s="158"/>
    </row>
    <row r="190" spans="1:1" s="64" customFormat="1" x14ac:dyDescent="0.3">
      <c r="A190" s="158"/>
    </row>
    <row r="191" spans="1:1" s="102" customFormat="1" ht="12" x14ac:dyDescent="0.25">
      <c r="A191" s="237"/>
    </row>
    <row r="192" spans="1:1" s="102" customFormat="1" ht="12" x14ac:dyDescent="0.25">
      <c r="A192" s="237"/>
    </row>
    <row r="193" spans="1:1" s="64" customFormat="1" x14ac:dyDescent="0.3">
      <c r="A193" s="158"/>
    </row>
    <row r="194" spans="1:1" s="64" customFormat="1" x14ac:dyDescent="0.3">
      <c r="A194" s="158"/>
    </row>
    <row r="195" spans="1:1" s="102" customFormat="1" ht="12" x14ac:dyDescent="0.25">
      <c r="A195" s="237"/>
    </row>
    <row r="196" spans="1:1" s="102" customFormat="1" ht="12" x14ac:dyDescent="0.25">
      <c r="A196" s="237"/>
    </row>
    <row r="197" spans="1:1" s="64" customFormat="1" x14ac:dyDescent="0.3">
      <c r="A197" s="158"/>
    </row>
    <row r="198" spans="1:1" s="64" customFormat="1" x14ac:dyDescent="0.3">
      <c r="A198" s="158"/>
    </row>
    <row r="199" spans="1:1" s="102" customFormat="1" ht="12" x14ac:dyDescent="0.25">
      <c r="A199" s="237"/>
    </row>
    <row r="200" spans="1:1" s="102" customFormat="1" ht="12" x14ac:dyDescent="0.25">
      <c r="A200" s="237"/>
    </row>
    <row r="201" spans="1:1" s="64" customFormat="1" x14ac:dyDescent="0.3">
      <c r="A201" s="158"/>
    </row>
    <row r="202" spans="1:1" s="64" customFormat="1" x14ac:dyDescent="0.3">
      <c r="A202" s="158"/>
    </row>
    <row r="203" spans="1:1" s="102" customFormat="1" ht="12" x14ac:dyDescent="0.25">
      <c r="A203" s="237"/>
    </row>
    <row r="204" spans="1:1" s="102" customFormat="1" ht="12" x14ac:dyDescent="0.25">
      <c r="A204" s="237"/>
    </row>
    <row r="205" spans="1:1" s="64" customFormat="1" x14ac:dyDescent="0.3">
      <c r="A205" s="158"/>
    </row>
    <row r="206" spans="1:1" s="64" customFormat="1" x14ac:dyDescent="0.3">
      <c r="A206" s="158"/>
    </row>
    <row r="207" spans="1:1" s="102" customFormat="1" ht="12" x14ac:dyDescent="0.25">
      <c r="A207" s="237"/>
    </row>
    <row r="208" spans="1:1" s="102" customFormat="1" ht="12" x14ac:dyDescent="0.25">
      <c r="A208" s="237"/>
    </row>
    <row r="209" spans="1:1" s="64" customFormat="1" x14ac:dyDescent="0.3">
      <c r="A209" s="158"/>
    </row>
    <row r="210" spans="1:1" s="64" customFormat="1" x14ac:dyDescent="0.3">
      <c r="A210" s="158"/>
    </row>
    <row r="211" spans="1:1" s="102" customFormat="1" ht="12" x14ac:dyDescent="0.25">
      <c r="A211" s="237"/>
    </row>
    <row r="212" spans="1:1" s="102" customFormat="1" ht="12" x14ac:dyDescent="0.25">
      <c r="A212" s="237"/>
    </row>
    <row r="213" spans="1:1" s="64" customFormat="1" x14ac:dyDescent="0.3">
      <c r="A213" s="158"/>
    </row>
    <row r="214" spans="1:1" s="64" customFormat="1" x14ac:dyDescent="0.3">
      <c r="A214" s="158"/>
    </row>
    <row r="215" spans="1:1" s="102" customFormat="1" ht="12" x14ac:dyDescent="0.25">
      <c r="A215" s="237"/>
    </row>
    <row r="216" spans="1:1" s="102" customFormat="1" ht="12" x14ac:dyDescent="0.25">
      <c r="A216" s="237"/>
    </row>
    <row r="217" spans="1:1" s="64" customFormat="1" x14ac:dyDescent="0.3">
      <c r="A217" s="108"/>
    </row>
    <row r="218" spans="1:1" s="64" customFormat="1" x14ac:dyDescent="0.3">
      <c r="A218" s="108"/>
    </row>
  </sheetData>
  <mergeCells count="54">
    <mergeCell ref="A207:A208"/>
    <mergeCell ref="A211:A212"/>
    <mergeCell ref="A215:A216"/>
    <mergeCell ref="A3:A6"/>
    <mergeCell ref="A187:A188"/>
    <mergeCell ref="A191:A192"/>
    <mergeCell ref="A195:A196"/>
    <mergeCell ref="A199:A200"/>
    <mergeCell ref="A203:A204"/>
    <mergeCell ref="A167:A168"/>
    <mergeCell ref="A171:A172"/>
    <mergeCell ref="A175:A176"/>
    <mergeCell ref="A179:A180"/>
    <mergeCell ref="A183:A184"/>
    <mergeCell ref="A147:A148"/>
    <mergeCell ref="A151:A152"/>
    <mergeCell ref="A159:A160"/>
    <mergeCell ref="A163:A164"/>
    <mergeCell ref="A127:A128"/>
    <mergeCell ref="A131:A132"/>
    <mergeCell ref="A135:A136"/>
    <mergeCell ref="A139:A140"/>
    <mergeCell ref="A143:A144"/>
    <mergeCell ref="A111:A112"/>
    <mergeCell ref="A115:A116"/>
    <mergeCell ref="A119:A120"/>
    <mergeCell ref="A123:A124"/>
    <mergeCell ref="A155:A156"/>
    <mergeCell ref="A107:A108"/>
    <mergeCell ref="A103:A104"/>
    <mergeCell ref="A71:A72"/>
    <mergeCell ref="A75:A76"/>
    <mergeCell ref="A79:A80"/>
    <mergeCell ref="A99:A100"/>
    <mergeCell ref="A1:O1"/>
    <mergeCell ref="A11:A12"/>
    <mergeCell ref="A15:A16"/>
    <mergeCell ref="A19:A20"/>
    <mergeCell ref="A23:A24"/>
    <mergeCell ref="A27:A28"/>
    <mergeCell ref="A83:A84"/>
    <mergeCell ref="A87:A88"/>
    <mergeCell ref="A91:A92"/>
    <mergeCell ref="A95:A96"/>
    <mergeCell ref="A31:A32"/>
    <mergeCell ref="A35:A36"/>
    <mergeCell ref="A39:A40"/>
    <mergeCell ref="A43:A44"/>
    <mergeCell ref="A47:A48"/>
    <mergeCell ref="A51:A52"/>
    <mergeCell ref="A55:A56"/>
    <mergeCell ref="A59:A60"/>
    <mergeCell ref="A63:A64"/>
    <mergeCell ref="A67:A68"/>
  </mergeCells>
  <conditionalFormatting sqref="C6:N6">
    <cfRule type="cellIs" dxfId="17" priority="1" operator="greaterThan">
      <formula>C5*1.15</formula>
    </cfRule>
    <cfRule type="cellIs" dxfId="16" priority="2" operator="lessThan">
      <formula>C5*0.85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3643-CE8E-466F-95E9-8F14873356F2}">
  <sheetPr codeName="Sheet9"/>
  <dimension ref="A1:Q218"/>
  <sheetViews>
    <sheetView zoomScale="78" zoomScaleNormal="55" workbookViewId="0">
      <pane xSplit="1" ySplit="2" topLeftCell="G38" activePane="bottomRight" state="frozen"/>
      <selection pane="topRight" activeCell="M13" sqref="M13"/>
      <selection pane="bottomLeft" activeCell="M13" sqref="M13"/>
      <selection pane="bottomRight" activeCell="A71" sqref="A71:A72"/>
    </sheetView>
  </sheetViews>
  <sheetFormatPr defaultColWidth="9.109375" defaultRowHeight="14.4" x14ac:dyDescent="0.3"/>
  <cols>
    <col min="1" max="1" width="29.44140625" style="54" customWidth="1"/>
    <col min="2" max="2" width="22.88671875" style="52" bestFit="1" customWidth="1"/>
    <col min="3" max="15" width="13" style="52" customWidth="1"/>
    <col min="16" max="16" width="10.88671875" style="52" bestFit="1" customWidth="1"/>
    <col min="17" max="16384" width="9.109375" style="52"/>
  </cols>
  <sheetData>
    <row r="1" spans="1:17" ht="27" customHeight="1" x14ac:dyDescent="0.6">
      <c r="A1" s="232" t="s">
        <v>265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17" x14ac:dyDescent="0.3">
      <c r="A2" s="68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69" t="s">
        <v>7</v>
      </c>
      <c r="J2" s="69" t="s">
        <v>8</v>
      </c>
      <c r="K2" s="69" t="s">
        <v>9</v>
      </c>
      <c r="L2" s="69" t="s">
        <v>10</v>
      </c>
      <c r="M2" s="69" t="s">
        <v>11</v>
      </c>
      <c r="N2" s="69" t="s">
        <v>12</v>
      </c>
      <c r="O2" s="69" t="s">
        <v>13</v>
      </c>
    </row>
    <row r="3" spans="1:17" s="102" customFormat="1" ht="14.4" customHeight="1" x14ac:dyDescent="0.25">
      <c r="A3" s="239" t="s">
        <v>15</v>
      </c>
      <c r="B3" s="181" t="s">
        <v>16</v>
      </c>
      <c r="C3" s="182">
        <f>SUMIFS(C$11:C951,$B$11:$B951,"Actual 2024")</f>
        <v>11179.59</v>
      </c>
      <c r="D3" s="182">
        <f>SUMIFS(D$11:D951,$B$11:$B951,"Actual 2024")</f>
        <v>1172.82</v>
      </c>
      <c r="E3" s="182">
        <f>SUMIFS(E$11:E951,$B$11:$B951,"Actual 2024")</f>
        <v>736.31000000000006</v>
      </c>
      <c r="F3" s="182">
        <f>SUMIFS(F$11:F951,$B$11:$B951,"Actual 2024")</f>
        <v>664.21</v>
      </c>
      <c r="G3" s="182">
        <f>SUMIFS(G$11:G951,$B$11:$B951,"Actual 2024")</f>
        <v>16420.22</v>
      </c>
      <c r="H3" s="182">
        <f>SUMIFS(H$11:H951,$B$11:$B951,"Actual 2024")</f>
        <v>15007.29</v>
      </c>
      <c r="I3" s="185">
        <f>SUMIFS(I$11:I951,$B$11:$B951,"Actual 2024")</f>
        <v>1207.3100000000002</v>
      </c>
      <c r="J3" s="185">
        <f>SUMIFS(J$11:J951,$B$11:$B951,"Actual 2024")</f>
        <v>12974.18</v>
      </c>
      <c r="K3" s="185">
        <f>SUMIFS(K$11:K951,$B$11:$B951,"Actual 2024")</f>
        <v>33189.300000000003</v>
      </c>
      <c r="L3" s="185">
        <f>SUMIFS(L$11:L951,$B$11:$B951,"Actual 2024")</f>
        <v>1699.35</v>
      </c>
      <c r="M3" s="185">
        <f>SUMIFS(M$11:M951,$B$11:$B951,"Actual 2024")</f>
        <v>296.19</v>
      </c>
      <c r="N3" s="185">
        <f>SUMIFS(N$11:N951,$B$11:$B951,"Actual 2024")</f>
        <v>0</v>
      </c>
      <c r="O3" s="183">
        <f>SUMIFS(O$11:O951,$B$11:$B951,"Actual 2024")</f>
        <v>94546.76999999999</v>
      </c>
    </row>
    <row r="4" spans="1:17" s="102" customFormat="1" ht="14.4" customHeight="1" x14ac:dyDescent="0.25">
      <c r="A4" s="240"/>
      <c r="B4" s="184" t="s">
        <v>27</v>
      </c>
      <c r="C4" s="189">
        <f>SUMIFS(C$11:C951,$B$11:$B951,"Estimated")</f>
        <v>10884.94</v>
      </c>
      <c r="D4" s="189">
        <f>SUMIFS(D$11:D951,$B$11:$B951,"Estimated")</f>
        <v>2434.69</v>
      </c>
      <c r="E4" s="189">
        <f>SUMIFS(E$11:E951,$B$11:$B951,"Estimated")</f>
        <v>16775</v>
      </c>
      <c r="F4" s="189">
        <f>SUMIFS(F$11:F951,$B$11:$B951,"Estimated")</f>
        <v>1314</v>
      </c>
      <c r="G4" s="189">
        <f>SUMIFS(G$11:G951,$B$11:$B951,"Estimated")</f>
        <v>3345</v>
      </c>
      <c r="H4" s="189">
        <f>SUMIFS(H$11:H951,$B$11:$B951,"Estimated")</f>
        <v>15220</v>
      </c>
      <c r="I4" s="192">
        <f>SUMIFS(I$11:I951,$B$11:$B951,"Estimated")</f>
        <v>1475</v>
      </c>
      <c r="J4" s="192">
        <f>SUMIFS(J$11:J951,$B$11:$B951,"Estimated")</f>
        <v>14505</v>
      </c>
      <c r="K4" s="192">
        <f>SUMIFS(K$11:K951,$B$11:$B951,"Estimated")</f>
        <v>31059</v>
      </c>
      <c r="L4" s="192">
        <f>SUMIFS(L$11:L951,$B$11:$B951,"Estimated")</f>
        <v>2275</v>
      </c>
      <c r="M4" s="192">
        <f>SUMIFS(M$11:M951,$B$11:$B951,"Estimated")</f>
        <v>775</v>
      </c>
      <c r="N4" s="192">
        <f>SUMIFS(N$11:N951,$B$11:$B951,"Estimated")</f>
        <v>775</v>
      </c>
      <c r="O4" s="191">
        <f>SUMIFS(O$11:O951,$B$11:$B951,"Estimated")</f>
        <v>100837.63</v>
      </c>
      <c r="Q4" s="131">
        <f>O4-O3</f>
        <v>6290.8600000000151</v>
      </c>
    </row>
    <row r="5" spans="1:17" s="166" customFormat="1" ht="14.4" customHeight="1" x14ac:dyDescent="0.3">
      <c r="A5" s="240"/>
      <c r="B5" s="162" t="s">
        <v>18</v>
      </c>
      <c r="C5" s="163">
        <v>10884.94</v>
      </c>
      <c r="D5" s="163">
        <v>2434.69</v>
      </c>
      <c r="E5" s="163">
        <v>16775</v>
      </c>
      <c r="F5" s="163">
        <v>1314</v>
      </c>
      <c r="G5" s="163">
        <v>3345</v>
      </c>
      <c r="H5" s="163">
        <v>15220</v>
      </c>
      <c r="I5" s="167">
        <v>1475</v>
      </c>
      <c r="J5" s="167">
        <v>14505</v>
      </c>
      <c r="K5" s="167">
        <v>31059</v>
      </c>
      <c r="L5" s="167">
        <v>2275</v>
      </c>
      <c r="M5" s="170">
        <v>775</v>
      </c>
      <c r="N5" s="167">
        <v>775</v>
      </c>
      <c r="O5" s="164">
        <f t="shared" ref="O5" si="0">SUM(C5:N5)</f>
        <v>100837.63</v>
      </c>
      <c r="P5" s="165">
        <v>100837.63</v>
      </c>
    </row>
    <row r="6" spans="1:17" s="166" customFormat="1" ht="15" thickBot="1" x14ac:dyDescent="0.35">
      <c r="A6" s="241"/>
      <c r="B6" s="174" t="s">
        <v>19</v>
      </c>
      <c r="C6" s="175">
        <f>SUMIFS(C$11:C956,$B$11:$B956,"Actual")</f>
        <v>44094.99</v>
      </c>
      <c r="D6" s="175">
        <f>SUMIFS(D$11:D956,$B$11:$B956,"Actual")</f>
        <v>13689.270000000002</v>
      </c>
      <c r="E6" s="175">
        <f>SUMIFS(E$11:E956,$B$11:$B956,"Actual")</f>
        <v>18956.759999999998</v>
      </c>
      <c r="F6" s="175">
        <f>SUMIFS(F$11:F956,$B$11:$B956,"Actual")</f>
        <v>571.13</v>
      </c>
      <c r="G6" s="175">
        <f>SUMIFS(G$11:G956,$B$11:$B956,"Actual")</f>
        <v>18214.759999999998</v>
      </c>
      <c r="H6" s="175">
        <f>SUMIFS(H$11:H956,$B$11:$B956,"Actual")</f>
        <v>4108.58</v>
      </c>
      <c r="I6" s="177">
        <f>SUMIFS(I$11:I956,$B$11:$B956,"Actual")</f>
        <v>19645.819999999996</v>
      </c>
      <c r="J6" s="177">
        <f>SUMIFS(J$11:J956,$B$11:$B956,"Actual")</f>
        <v>30129.71</v>
      </c>
      <c r="K6" s="177">
        <f>SUMIFS(K$11:K956,$B$11:$B956,"Actual")</f>
        <v>10098.229999999998</v>
      </c>
      <c r="L6" s="177">
        <f>SUMIFS(L$11:L956,$B$11:$B956,"Actual")</f>
        <v>111.14000000000001</v>
      </c>
      <c r="M6" s="177">
        <f>SUMIFS(M$11:M956,$B$11:$B956,"Actual")</f>
        <v>0</v>
      </c>
      <c r="N6" s="177">
        <f>SUMIFS(N$11:N956,$B$11:$B956,"Actual")</f>
        <v>0</v>
      </c>
      <c r="O6" s="176">
        <f>SUMIFS(O$11:O956,$B$11:$B956,"Actual")</f>
        <v>159620.38999999998</v>
      </c>
    </row>
    <row r="7" spans="1:17" s="64" customFormat="1" ht="15" thickTop="1" x14ac:dyDescent="0.3">
      <c r="A7" s="134"/>
      <c r="B7" s="70" t="s">
        <v>21</v>
      </c>
      <c r="C7" s="60">
        <f t="shared" ref="C7:I7" si="1">C5-C6</f>
        <v>-33210.049999999996</v>
      </c>
      <c r="D7" s="60">
        <f t="shared" si="1"/>
        <v>-11254.580000000002</v>
      </c>
      <c r="E7" s="60">
        <f t="shared" si="1"/>
        <v>-2181.7599999999984</v>
      </c>
      <c r="F7" s="60">
        <f t="shared" si="1"/>
        <v>742.87</v>
      </c>
      <c r="G7" s="60">
        <f t="shared" si="1"/>
        <v>-14869.759999999998</v>
      </c>
      <c r="H7" s="60">
        <f t="shared" si="1"/>
        <v>11111.42</v>
      </c>
      <c r="I7" s="60">
        <f t="shared" si="1"/>
        <v>-18170.819999999996</v>
      </c>
      <c r="J7" s="60">
        <f t="shared" ref="J7:N7" si="2">J5-J6</f>
        <v>-15624.71</v>
      </c>
      <c r="K7" s="60">
        <f t="shared" si="2"/>
        <v>20960.770000000004</v>
      </c>
      <c r="L7" s="60">
        <f t="shared" si="2"/>
        <v>2163.86</v>
      </c>
      <c r="M7" s="60">
        <f t="shared" si="2"/>
        <v>775</v>
      </c>
      <c r="N7" s="60">
        <f t="shared" si="2"/>
        <v>775</v>
      </c>
      <c r="O7" s="75">
        <f>O5-O6</f>
        <v>-58782.75999999998</v>
      </c>
    </row>
    <row r="8" spans="1:17" s="142" customFormat="1" x14ac:dyDescent="0.3">
      <c r="A8" s="138"/>
      <c r="B8" s="139" t="s">
        <v>23</v>
      </c>
      <c r="C8" s="140">
        <f>SUM($C6:C6)</f>
        <v>44094.99</v>
      </c>
      <c r="D8" s="140">
        <f>SUM($C6:D6)</f>
        <v>57784.26</v>
      </c>
      <c r="E8" s="140">
        <f>SUM($C6:E6)</f>
        <v>76741.02</v>
      </c>
      <c r="F8" s="140">
        <f>SUM($C6:F6)</f>
        <v>77312.150000000009</v>
      </c>
      <c r="G8" s="140">
        <f>SUM($C6:G6)</f>
        <v>95526.91</v>
      </c>
      <c r="H8" s="140">
        <f>SUM($C6:H6)</f>
        <v>99635.49</v>
      </c>
      <c r="I8" s="140">
        <f>SUM($C6:I6)</f>
        <v>119281.31</v>
      </c>
      <c r="J8" s="140">
        <f>SUM($C6:J6)</f>
        <v>149411.01999999999</v>
      </c>
      <c r="K8" s="140">
        <f>SUM($C6:K6)</f>
        <v>159509.25</v>
      </c>
      <c r="L8" s="140">
        <f>SUM($C6:L6)</f>
        <v>159620.39000000001</v>
      </c>
      <c r="M8" s="140">
        <f>SUM($C6:M6)</f>
        <v>159620.39000000001</v>
      </c>
      <c r="N8" s="140">
        <f>SUM($C6:N6)</f>
        <v>159620.39000000001</v>
      </c>
      <c r="O8" s="141">
        <f>O6</f>
        <v>159620.38999999998</v>
      </c>
    </row>
    <row r="9" spans="1:17" s="142" customFormat="1" x14ac:dyDescent="0.3">
      <c r="A9" s="143"/>
      <c r="B9" s="144" t="s">
        <v>25</v>
      </c>
      <c r="C9" s="145">
        <f>SUM($C5:C5)-C8</f>
        <v>-33210.049999999996</v>
      </c>
      <c r="D9" s="145">
        <f>SUM($C5:D5)-D8</f>
        <v>-44464.630000000005</v>
      </c>
      <c r="E9" s="145">
        <f>SUM($C5:E5)-E8</f>
        <v>-46646.39</v>
      </c>
      <c r="F9" s="145">
        <f>SUM($C5:F5)-F8</f>
        <v>-45903.520000000004</v>
      </c>
      <c r="G9" s="145">
        <f>SUM($C5:G5)-G8</f>
        <v>-60773.279999999999</v>
      </c>
      <c r="H9" s="145">
        <f>SUM($C5:H5)-H8</f>
        <v>-49661.86</v>
      </c>
      <c r="I9" s="145">
        <f>SUM($C5:I5)-I8</f>
        <v>-67832.679999999993</v>
      </c>
      <c r="J9" s="145">
        <f>SUM($C5:J5)-J8</f>
        <v>-83457.389999999985</v>
      </c>
      <c r="K9" s="145">
        <f>SUM($C5:K5)-K8</f>
        <v>-62496.619999999995</v>
      </c>
      <c r="L9" s="145">
        <f>SUM($C5:L5)-L8</f>
        <v>-60332.760000000009</v>
      </c>
      <c r="M9" s="145">
        <f>SUM($C5:M5)-M8</f>
        <v>-59557.760000000009</v>
      </c>
      <c r="N9" s="145">
        <f>SUM($C5:N5)-N8</f>
        <v>-58782.760000000009</v>
      </c>
      <c r="O9" s="146"/>
    </row>
    <row r="10" spans="1:17" x14ac:dyDescent="0.3"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7" s="102" customFormat="1" ht="12" x14ac:dyDescent="0.25">
      <c r="A11" s="235" t="s">
        <v>266</v>
      </c>
      <c r="B11" s="99" t="s">
        <v>16</v>
      </c>
      <c r="C11" s="100">
        <v>10795.81</v>
      </c>
      <c r="D11" s="100"/>
      <c r="E11" s="100"/>
      <c r="G11" s="100"/>
      <c r="H11" s="100">
        <v>14445.02</v>
      </c>
      <c r="I11" s="100"/>
      <c r="J11" s="100">
        <v>11230.36</v>
      </c>
      <c r="K11" s="100">
        <v>30214.639999999999</v>
      </c>
      <c r="L11" s="100"/>
      <c r="M11" s="100"/>
      <c r="N11" s="100"/>
      <c r="O11" s="103">
        <f>SUM(C11:N11)</f>
        <v>66685.83</v>
      </c>
    </row>
    <row r="12" spans="1:17" s="102" customFormat="1" ht="12" x14ac:dyDescent="0.25">
      <c r="A12" s="235"/>
      <c r="B12" s="99" t="s">
        <v>29</v>
      </c>
      <c r="C12" s="100">
        <v>10109.94</v>
      </c>
      <c r="D12" s="100">
        <v>1659.69</v>
      </c>
      <c r="E12" s="100">
        <v>0</v>
      </c>
      <c r="F12" s="100">
        <v>539</v>
      </c>
      <c r="G12" s="100"/>
      <c r="H12" s="100">
        <v>14445</v>
      </c>
      <c r="I12" s="100">
        <v>0</v>
      </c>
      <c r="J12" s="100">
        <v>11230</v>
      </c>
      <c r="K12" s="100">
        <v>30214</v>
      </c>
      <c r="L12" s="100">
        <v>0</v>
      </c>
      <c r="M12" s="100">
        <v>0</v>
      </c>
      <c r="N12" s="100">
        <v>0</v>
      </c>
      <c r="O12" s="103">
        <f>SUM(C12:N12)</f>
        <v>68197.63</v>
      </c>
    </row>
    <row r="13" spans="1:17" s="67" customFormat="1" ht="12.6" customHeight="1" x14ac:dyDescent="0.3">
      <c r="A13" s="155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66">
        <f>SUM(C13:N13)</f>
        <v>0</v>
      </c>
    </row>
    <row r="14" spans="1:17" s="67" customFormat="1" ht="12.6" customHeight="1" x14ac:dyDescent="0.3">
      <c r="A14" s="156"/>
      <c r="B14" s="116" t="s">
        <v>32</v>
      </c>
      <c r="C14" s="117">
        <v>43921.45</v>
      </c>
      <c r="D14" s="117">
        <v>13320.93</v>
      </c>
      <c r="E14" s="117"/>
      <c r="F14" s="115">
        <v>539.27</v>
      </c>
      <c r="G14" s="117">
        <v>17873.09</v>
      </c>
      <c r="H14" s="117"/>
      <c r="I14" s="117">
        <v>724.75</v>
      </c>
      <c r="J14" s="117">
        <f>1617.8+26586.38</f>
        <v>28204.18</v>
      </c>
      <c r="K14" s="229">
        <f>2062.83+7777.37</f>
        <v>9840.2000000000007</v>
      </c>
      <c r="L14" s="117"/>
      <c r="M14" s="117"/>
      <c r="N14" s="117"/>
      <c r="O14" s="118">
        <f>SUM(C14:N14)</f>
        <v>114423.86999999998</v>
      </c>
    </row>
    <row r="15" spans="1:17" s="102" customFormat="1" ht="12" x14ac:dyDescent="0.25">
      <c r="A15" s="236" t="s">
        <v>267</v>
      </c>
      <c r="B15" s="99" t="s">
        <v>16</v>
      </c>
      <c r="C15" s="100"/>
      <c r="D15" s="100"/>
      <c r="E15" s="100"/>
      <c r="F15" s="100"/>
      <c r="G15" s="100">
        <v>15390.57</v>
      </c>
      <c r="H15" s="100"/>
      <c r="I15" s="100"/>
      <c r="J15" s="100"/>
      <c r="K15" s="100"/>
      <c r="L15" s="100"/>
      <c r="M15" s="100"/>
      <c r="N15" s="100"/>
      <c r="O15" s="103">
        <f t="shared" ref="O15:O34" si="3">SUM(C15:N15)</f>
        <v>15390.57</v>
      </c>
    </row>
    <row r="16" spans="1:17" s="102" customFormat="1" ht="12" x14ac:dyDescent="0.25">
      <c r="A16" s="235"/>
      <c r="B16" s="99" t="s">
        <v>29</v>
      </c>
      <c r="C16" s="100">
        <v>0</v>
      </c>
      <c r="D16" s="100">
        <v>0</v>
      </c>
      <c r="E16" s="100">
        <v>16000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3">
        <f t="shared" si="3"/>
        <v>16000</v>
      </c>
    </row>
    <row r="17" spans="1:15" s="67" customFormat="1" ht="12.6" customHeight="1" x14ac:dyDescent="0.3">
      <c r="A17" s="154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>
        <f>SUM(C17:N17)</f>
        <v>0</v>
      </c>
    </row>
    <row r="18" spans="1:15" s="67" customFormat="1" ht="12.6" customHeight="1" x14ac:dyDescent="0.3">
      <c r="A18" s="157"/>
      <c r="B18" s="116" t="s">
        <v>32</v>
      </c>
      <c r="C18" s="117"/>
      <c r="D18" s="117"/>
      <c r="E18" s="117">
        <v>18837.689999999999</v>
      </c>
      <c r="F18" s="117"/>
      <c r="G18" s="117"/>
      <c r="H18" s="117">
        <v>3275.39</v>
      </c>
      <c r="I18" s="117">
        <f>17680.62</f>
        <v>17680.62</v>
      </c>
      <c r="J18" s="117"/>
      <c r="K18" s="117"/>
      <c r="L18" s="117"/>
      <c r="M18" s="117"/>
      <c r="N18" s="117"/>
      <c r="O18" s="118">
        <f t="shared" si="3"/>
        <v>39793.699999999997</v>
      </c>
    </row>
    <row r="19" spans="1:15" s="102" customFormat="1" ht="12" x14ac:dyDescent="0.25">
      <c r="A19" s="236" t="s">
        <v>268</v>
      </c>
      <c r="B19" s="99" t="s">
        <v>16</v>
      </c>
      <c r="C19" s="100"/>
      <c r="D19" s="100">
        <v>103.05</v>
      </c>
      <c r="E19" s="100"/>
      <c r="F19" s="100">
        <v>182.06</v>
      </c>
      <c r="G19" s="100"/>
      <c r="H19" s="100">
        <v>50.71</v>
      </c>
      <c r="I19" s="100"/>
      <c r="J19" s="100">
        <v>100.72</v>
      </c>
      <c r="K19" s="100"/>
      <c r="L19" s="100">
        <v>188.63</v>
      </c>
      <c r="M19" s="100"/>
      <c r="N19" s="100"/>
      <c r="O19" s="103">
        <f t="shared" si="3"/>
        <v>625.16999999999996</v>
      </c>
    </row>
    <row r="20" spans="1:15" s="102" customFormat="1" ht="12" x14ac:dyDescent="0.25">
      <c r="A20" s="235"/>
      <c r="B20" s="99" t="s">
        <v>29</v>
      </c>
      <c r="C20" s="100">
        <v>75</v>
      </c>
      <c r="D20" s="100">
        <v>75</v>
      </c>
      <c r="E20" s="100">
        <v>75</v>
      </c>
      <c r="F20" s="100">
        <v>75</v>
      </c>
      <c r="G20" s="100">
        <v>75</v>
      </c>
      <c r="H20" s="100">
        <v>75</v>
      </c>
      <c r="I20" s="100">
        <v>75</v>
      </c>
      <c r="J20" s="100">
        <v>75</v>
      </c>
      <c r="K20" s="100">
        <v>75</v>
      </c>
      <c r="L20" s="100">
        <v>75</v>
      </c>
      <c r="M20" s="100">
        <v>75</v>
      </c>
      <c r="N20" s="100">
        <v>75</v>
      </c>
      <c r="O20" s="103">
        <f>SUM(C20:N20)</f>
        <v>900</v>
      </c>
    </row>
    <row r="21" spans="1:15" s="67" customFormat="1" ht="12.6" customHeight="1" x14ac:dyDescent="0.3">
      <c r="A21" s="154"/>
      <c r="B21" s="65" t="s">
        <v>31</v>
      </c>
      <c r="C21" s="115">
        <v>75</v>
      </c>
      <c r="D21" s="115">
        <v>75</v>
      </c>
      <c r="E21" s="115">
        <v>75</v>
      </c>
      <c r="F21" s="115">
        <v>75</v>
      </c>
      <c r="G21" s="115">
        <v>75</v>
      </c>
      <c r="H21" s="115">
        <v>75</v>
      </c>
      <c r="I21" s="115">
        <v>75</v>
      </c>
      <c r="J21" s="115">
        <v>75</v>
      </c>
      <c r="K21" s="115">
        <v>75</v>
      </c>
      <c r="L21" s="115">
        <v>75</v>
      </c>
      <c r="M21" s="115">
        <v>75</v>
      </c>
      <c r="N21" s="115">
        <v>75</v>
      </c>
      <c r="O21" s="66">
        <f t="shared" si="3"/>
        <v>900</v>
      </c>
    </row>
    <row r="22" spans="1:15" s="67" customFormat="1" ht="12.6" customHeight="1" x14ac:dyDescent="0.3">
      <c r="A22" s="157"/>
      <c r="B22" s="116" t="s">
        <v>32</v>
      </c>
      <c r="C22" s="117">
        <v>46.81</v>
      </c>
      <c r="D22" s="117"/>
      <c r="E22" s="117">
        <v>119.07</v>
      </c>
      <c r="F22" s="117"/>
      <c r="G22" s="117"/>
      <c r="H22" s="117">
        <f>35.64+106.03+3.52+157.45+24.46</f>
        <v>327.09999999999997</v>
      </c>
      <c r="I22" s="117">
        <v>52.32</v>
      </c>
      <c r="J22" s="117"/>
      <c r="K22" s="117">
        <v>91.96</v>
      </c>
      <c r="L22" s="117"/>
      <c r="M22" s="117"/>
      <c r="N22" s="117"/>
      <c r="O22" s="118">
        <f t="shared" si="3"/>
        <v>637.26</v>
      </c>
    </row>
    <row r="23" spans="1:15" s="102" customFormat="1" ht="12" x14ac:dyDescent="0.25">
      <c r="A23" s="236" t="s">
        <v>269</v>
      </c>
      <c r="B23" s="99" t="s">
        <v>16</v>
      </c>
      <c r="C23" s="100"/>
      <c r="D23" s="100"/>
      <c r="E23" s="100"/>
      <c r="F23" s="100"/>
      <c r="G23" s="100"/>
      <c r="H23" s="100">
        <v>403.11</v>
      </c>
      <c r="I23" s="100"/>
      <c r="J23" s="100">
        <v>76.489999999999995</v>
      </c>
      <c r="K23" s="100"/>
      <c r="L23" s="100">
        <v>151.11000000000001</v>
      </c>
      <c r="M23" s="100"/>
      <c r="N23" s="100"/>
      <c r="O23" s="103">
        <f t="shared" si="3"/>
        <v>630.71</v>
      </c>
    </row>
    <row r="24" spans="1:15" s="102" customFormat="1" ht="12" x14ac:dyDescent="0.25">
      <c r="A24" s="235"/>
      <c r="B24" s="99" t="s">
        <v>29</v>
      </c>
      <c r="C24" s="100">
        <v>75</v>
      </c>
      <c r="D24" s="100">
        <v>75</v>
      </c>
      <c r="E24" s="100">
        <v>75</v>
      </c>
      <c r="F24" s="100">
        <v>75</v>
      </c>
      <c r="G24" s="100">
        <v>75</v>
      </c>
      <c r="H24" s="100">
        <v>75</v>
      </c>
      <c r="I24" s="100">
        <v>75</v>
      </c>
      <c r="J24" s="100">
        <v>75</v>
      </c>
      <c r="K24" s="100">
        <v>75</v>
      </c>
      <c r="L24" s="100">
        <v>75</v>
      </c>
      <c r="M24" s="100">
        <v>75</v>
      </c>
      <c r="N24" s="100">
        <v>75</v>
      </c>
      <c r="O24" s="103">
        <f>SUM(C24:N24)</f>
        <v>900</v>
      </c>
    </row>
    <row r="25" spans="1:15" s="67" customFormat="1" ht="12.6" customHeight="1" x14ac:dyDescent="0.3">
      <c r="A25" s="154"/>
      <c r="B25" s="65" t="s">
        <v>31</v>
      </c>
      <c r="C25" s="115">
        <v>75</v>
      </c>
      <c r="D25" s="115">
        <v>75</v>
      </c>
      <c r="E25" s="115">
        <v>75</v>
      </c>
      <c r="F25" s="115">
        <v>75</v>
      </c>
      <c r="G25" s="115">
        <v>75</v>
      </c>
      <c r="H25" s="115">
        <v>75</v>
      </c>
      <c r="I25" s="115">
        <v>75</v>
      </c>
      <c r="J25" s="115">
        <v>75</v>
      </c>
      <c r="K25" s="115">
        <v>75</v>
      </c>
      <c r="L25" s="115">
        <v>75</v>
      </c>
      <c r="M25" s="115">
        <v>75</v>
      </c>
      <c r="N25" s="115">
        <v>75</v>
      </c>
      <c r="O25" s="66">
        <f t="shared" si="3"/>
        <v>900</v>
      </c>
    </row>
    <row r="26" spans="1:15" s="67" customFormat="1" ht="12.6" customHeight="1" x14ac:dyDescent="0.3">
      <c r="A26" s="157"/>
      <c r="B26" s="116" t="s">
        <v>32</v>
      </c>
      <c r="C26" s="117">
        <v>82.01</v>
      </c>
      <c r="D26" s="117"/>
      <c r="E26" s="117"/>
      <c r="F26" s="117"/>
      <c r="G26" s="117">
        <v>106.3</v>
      </c>
      <c r="H26" s="117">
        <f>286.01</f>
        <v>286.01</v>
      </c>
      <c r="I26" s="117">
        <v>124.3</v>
      </c>
      <c r="J26" s="117"/>
      <c r="K26" s="117">
        <v>83.72</v>
      </c>
      <c r="L26" s="117"/>
      <c r="M26" s="117"/>
      <c r="N26" s="117"/>
      <c r="O26" s="118">
        <f t="shared" si="3"/>
        <v>682.34</v>
      </c>
    </row>
    <row r="27" spans="1:15" s="102" customFormat="1" ht="12" x14ac:dyDescent="0.25">
      <c r="A27" s="236" t="s">
        <v>270</v>
      </c>
      <c r="B27" s="99" t="s">
        <v>16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3">
        <f t="shared" si="3"/>
        <v>0</v>
      </c>
    </row>
    <row r="28" spans="1:15" s="102" customFormat="1" ht="12" x14ac:dyDescent="0.25">
      <c r="A28" s="235"/>
      <c r="B28" s="99" t="s">
        <v>29</v>
      </c>
      <c r="C28" s="100">
        <v>25</v>
      </c>
      <c r="D28" s="100">
        <v>25</v>
      </c>
      <c r="E28" s="100">
        <v>25</v>
      </c>
      <c r="F28" s="100">
        <v>25</v>
      </c>
      <c r="G28" s="100">
        <v>25</v>
      </c>
      <c r="H28" s="100">
        <v>25</v>
      </c>
      <c r="I28" s="100">
        <v>25</v>
      </c>
      <c r="J28" s="100">
        <v>25</v>
      </c>
      <c r="K28" s="100">
        <v>25</v>
      </c>
      <c r="L28" s="100">
        <v>25</v>
      </c>
      <c r="M28" s="100">
        <v>25</v>
      </c>
      <c r="N28" s="100">
        <v>25</v>
      </c>
      <c r="O28" s="103">
        <f>SUM(C28:N28)</f>
        <v>300</v>
      </c>
    </row>
    <row r="29" spans="1:15" s="67" customFormat="1" ht="12.6" customHeight="1" x14ac:dyDescent="0.3">
      <c r="A29" s="154"/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66">
        <f t="shared" si="3"/>
        <v>0</v>
      </c>
    </row>
    <row r="30" spans="1:15" s="67" customFormat="1" ht="12.6" customHeight="1" x14ac:dyDescent="0.3">
      <c r="A30" s="157"/>
      <c r="B30" s="116" t="s">
        <v>32</v>
      </c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8">
        <f t="shared" si="3"/>
        <v>0</v>
      </c>
    </row>
    <row r="31" spans="1:15" s="102" customFormat="1" ht="12" x14ac:dyDescent="0.25">
      <c r="A31" s="236" t="s">
        <v>271</v>
      </c>
      <c r="B31" s="99" t="s">
        <v>16</v>
      </c>
      <c r="C31" s="100">
        <v>383.78</v>
      </c>
      <c r="D31" s="100">
        <v>1069.77</v>
      </c>
      <c r="E31" s="100">
        <v>730.99</v>
      </c>
      <c r="F31" s="100">
        <v>451.82</v>
      </c>
      <c r="G31" s="100">
        <v>994.58</v>
      </c>
      <c r="H31" s="100">
        <v>108.45</v>
      </c>
      <c r="I31" s="100">
        <v>1186.3800000000001</v>
      </c>
      <c r="J31" s="100">
        <v>678.68</v>
      </c>
      <c r="K31" s="100">
        <v>1904.38</v>
      </c>
      <c r="L31" s="100">
        <v>785.35</v>
      </c>
      <c r="M31" s="100">
        <v>272.85000000000002</v>
      </c>
      <c r="N31" s="100"/>
      <c r="O31" s="103">
        <f t="shared" si="3"/>
        <v>8567.0300000000007</v>
      </c>
    </row>
    <row r="32" spans="1:15" s="102" customFormat="1" ht="12" x14ac:dyDescent="0.25">
      <c r="A32" s="235"/>
      <c r="B32" s="99" t="s">
        <v>29</v>
      </c>
      <c r="C32" s="100">
        <v>600</v>
      </c>
      <c r="D32" s="100">
        <v>600</v>
      </c>
      <c r="E32" s="100">
        <v>600</v>
      </c>
      <c r="F32" s="100">
        <v>600</v>
      </c>
      <c r="G32" s="100">
        <v>600</v>
      </c>
      <c r="H32" s="100">
        <v>600</v>
      </c>
      <c r="I32" s="100">
        <v>600</v>
      </c>
      <c r="J32" s="100">
        <v>600</v>
      </c>
      <c r="K32" s="100">
        <v>600</v>
      </c>
      <c r="L32" s="100">
        <v>600</v>
      </c>
      <c r="M32" s="100">
        <v>600</v>
      </c>
      <c r="N32" s="100">
        <v>600</v>
      </c>
      <c r="O32" s="103">
        <f>SUM(C32:N32)</f>
        <v>7200</v>
      </c>
    </row>
    <row r="33" spans="1:15" s="67" customFormat="1" ht="12.6" customHeight="1" x14ac:dyDescent="0.3">
      <c r="A33" s="154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 t="shared" si="3"/>
        <v>0</v>
      </c>
    </row>
    <row r="34" spans="1:15" s="67" customFormat="1" ht="12.6" customHeight="1" x14ac:dyDescent="0.3">
      <c r="A34" s="157"/>
      <c r="B34" s="116" t="s">
        <v>32</v>
      </c>
      <c r="C34" s="117">
        <v>44.72</v>
      </c>
      <c r="D34" s="117">
        <v>62.43</v>
      </c>
      <c r="E34" s="117"/>
      <c r="F34" s="117">
        <v>31.86</v>
      </c>
      <c r="G34" s="117">
        <v>77.010000000000005</v>
      </c>
      <c r="H34" s="117">
        <f>19.43+93.88</f>
        <v>113.31</v>
      </c>
      <c r="I34" s="117">
        <f>174.79+387.04+45.18</f>
        <v>607.01</v>
      </c>
      <c r="J34" s="117"/>
      <c r="K34" s="117">
        <v>32.14</v>
      </c>
      <c r="L34" s="117"/>
      <c r="M34" s="117"/>
      <c r="N34" s="117"/>
      <c r="O34" s="118">
        <f t="shared" si="3"/>
        <v>968.4799999999999</v>
      </c>
    </row>
    <row r="35" spans="1:15" s="102" customFormat="1" ht="12" x14ac:dyDescent="0.25">
      <c r="A35" s="236" t="s">
        <v>272</v>
      </c>
      <c r="B35" s="99" t="s">
        <v>16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3">
        <f t="shared" ref="O35:O66" si="4">SUM(C35:N35)</f>
        <v>0</v>
      </c>
    </row>
    <row r="36" spans="1:15" s="102" customFormat="1" ht="12" x14ac:dyDescent="0.25">
      <c r="A36" s="235"/>
      <c r="B36" s="99" t="s">
        <v>29</v>
      </c>
      <c r="C36" s="100">
        <v>0</v>
      </c>
      <c r="D36" s="100">
        <v>0</v>
      </c>
      <c r="E36" s="100">
        <v>0</v>
      </c>
      <c r="F36" s="100">
        <v>0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100">
        <v>0</v>
      </c>
      <c r="N36" s="100">
        <v>0</v>
      </c>
      <c r="O36" s="103">
        <f>SUM(C36:N36)</f>
        <v>0</v>
      </c>
    </row>
    <row r="37" spans="1:15" s="67" customFormat="1" ht="12.6" customHeight="1" x14ac:dyDescent="0.3">
      <c r="A37" s="154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 t="shared" si="4"/>
        <v>0</v>
      </c>
    </row>
    <row r="38" spans="1:15" s="67" customFormat="1" ht="12.6" customHeight="1" x14ac:dyDescent="0.3">
      <c r="A38" s="157"/>
      <c r="B38" s="116" t="s">
        <v>32</v>
      </c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>
        <f t="shared" si="4"/>
        <v>0</v>
      </c>
    </row>
    <row r="39" spans="1:15" s="102" customFormat="1" ht="12" x14ac:dyDescent="0.25">
      <c r="A39" s="236" t="s">
        <v>273</v>
      </c>
      <c r="B39" s="99" t="s">
        <v>16</v>
      </c>
      <c r="C39" s="100"/>
      <c r="D39" s="100"/>
      <c r="E39" s="100"/>
      <c r="F39" s="100">
        <v>8.3699999999999992</v>
      </c>
      <c r="G39" s="100"/>
      <c r="H39" s="100"/>
      <c r="I39" s="100"/>
      <c r="J39" s="100"/>
      <c r="K39" s="100"/>
      <c r="L39" s="100">
        <v>35.58</v>
      </c>
      <c r="M39" s="100"/>
      <c r="N39" s="100"/>
      <c r="O39" s="103">
        <f t="shared" si="4"/>
        <v>43.949999999999996</v>
      </c>
    </row>
    <row r="40" spans="1:15" s="102" customFormat="1" ht="12" x14ac:dyDescent="0.25">
      <c r="A40" s="235"/>
      <c r="B40" s="99" t="s">
        <v>29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100">
        <v>0</v>
      </c>
      <c r="N40" s="100">
        <v>0</v>
      </c>
      <c r="O40" s="103">
        <f>SUM(C40:N40)</f>
        <v>0</v>
      </c>
    </row>
    <row r="41" spans="1:15" s="64" customFormat="1" ht="12.6" customHeight="1" x14ac:dyDescent="0.3">
      <c r="A41" s="154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 t="shared" si="4"/>
        <v>0</v>
      </c>
    </row>
    <row r="42" spans="1:15" s="64" customFormat="1" ht="12.6" customHeight="1" x14ac:dyDescent="0.3">
      <c r="A42" s="157"/>
      <c r="B42" s="7" t="s">
        <v>32</v>
      </c>
      <c r="C42" s="114"/>
      <c r="D42" s="114">
        <v>3.75</v>
      </c>
      <c r="E42" s="114"/>
      <c r="F42" s="114"/>
      <c r="G42" s="114"/>
      <c r="H42" s="114"/>
      <c r="I42" s="114"/>
      <c r="J42" s="114"/>
      <c r="K42" s="114">
        <v>10.46</v>
      </c>
      <c r="L42" s="114">
        <v>38.630000000000003</v>
      </c>
      <c r="M42" s="114"/>
      <c r="N42" s="114"/>
      <c r="O42" s="24">
        <f t="shared" si="4"/>
        <v>52.84</v>
      </c>
    </row>
    <row r="43" spans="1:15" s="102" customFormat="1" ht="12" x14ac:dyDescent="0.25">
      <c r="A43" s="236" t="s">
        <v>274</v>
      </c>
      <c r="B43" s="99" t="s">
        <v>16</v>
      </c>
      <c r="C43" s="100"/>
      <c r="D43" s="100"/>
      <c r="E43" s="100">
        <v>5.32</v>
      </c>
      <c r="F43" s="100"/>
      <c r="G43" s="100"/>
      <c r="H43" s="100"/>
      <c r="I43" s="100"/>
      <c r="J43" s="100"/>
      <c r="K43" s="100"/>
      <c r="L43" s="100">
        <v>24.51</v>
      </c>
      <c r="M43" s="100"/>
      <c r="N43" s="100"/>
      <c r="O43" s="103">
        <f t="shared" si="4"/>
        <v>29.830000000000002</v>
      </c>
    </row>
    <row r="44" spans="1:15" s="102" customFormat="1" ht="12" x14ac:dyDescent="0.25">
      <c r="A44" s="235"/>
      <c r="B44" s="99" t="s">
        <v>29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100">
        <v>0</v>
      </c>
      <c r="N44" s="100">
        <v>0</v>
      </c>
      <c r="O44" s="103">
        <f>SUM(C44:N44)</f>
        <v>0</v>
      </c>
    </row>
    <row r="45" spans="1:15" s="64" customFormat="1" ht="12.6" customHeight="1" x14ac:dyDescent="0.3">
      <c r="A45" s="154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 t="shared" si="4"/>
        <v>0</v>
      </c>
    </row>
    <row r="46" spans="1:15" s="64" customFormat="1" ht="12.6" customHeight="1" x14ac:dyDescent="0.3">
      <c r="A46" s="157"/>
      <c r="B46" s="7" t="s">
        <v>32</v>
      </c>
      <c r="C46" s="114"/>
      <c r="D46" s="114"/>
      <c r="E46" s="114"/>
      <c r="F46" s="114"/>
      <c r="G46" s="114"/>
      <c r="H46" s="114"/>
      <c r="I46" s="114">
        <v>10.46</v>
      </c>
      <c r="J46" s="114">
        <v>25.91</v>
      </c>
      <c r="K46" s="114"/>
      <c r="L46" s="114"/>
      <c r="M46" s="114"/>
      <c r="N46" s="114"/>
      <c r="O46" s="24">
        <f t="shared" si="4"/>
        <v>36.370000000000005</v>
      </c>
    </row>
    <row r="47" spans="1:15" s="102" customFormat="1" ht="12" x14ac:dyDescent="0.25">
      <c r="A47" s="236" t="s">
        <v>275</v>
      </c>
      <c r="B47" s="99" t="s">
        <v>16</v>
      </c>
      <c r="C47" s="100"/>
      <c r="D47" s="100"/>
      <c r="E47" s="100"/>
      <c r="F47" s="100">
        <v>21.96</v>
      </c>
      <c r="G47" s="100"/>
      <c r="H47" s="100"/>
      <c r="I47" s="100"/>
      <c r="J47" s="100"/>
      <c r="K47" s="100"/>
      <c r="L47" s="100"/>
      <c r="M47" s="100"/>
      <c r="N47" s="100"/>
      <c r="O47" s="103">
        <f t="shared" si="4"/>
        <v>21.96</v>
      </c>
    </row>
    <row r="48" spans="1:15" s="102" customFormat="1" ht="12" x14ac:dyDescent="0.25">
      <c r="A48" s="235"/>
      <c r="B48" s="99" t="s">
        <v>29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3">
        <f>SUM(C48:N48)</f>
        <v>0</v>
      </c>
    </row>
    <row r="49" spans="1:15" s="64" customFormat="1" ht="12.6" customHeight="1" x14ac:dyDescent="0.3">
      <c r="A49" s="154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 t="shared" si="4"/>
        <v>0</v>
      </c>
    </row>
    <row r="50" spans="1:15" s="64" customFormat="1" ht="12.6" customHeight="1" x14ac:dyDescent="0.3">
      <c r="A50" s="157"/>
      <c r="B50" s="7" t="s">
        <v>32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24">
        <f t="shared" si="4"/>
        <v>0</v>
      </c>
    </row>
    <row r="51" spans="1:15" s="102" customFormat="1" ht="12" x14ac:dyDescent="0.25">
      <c r="A51" s="236" t="s">
        <v>276</v>
      </c>
      <c r="B51" s="99" t="s">
        <v>16</v>
      </c>
      <c r="C51" s="100"/>
      <c r="D51" s="100"/>
      <c r="E51" s="100"/>
      <c r="F51" s="100"/>
      <c r="G51" s="100">
        <v>35.07</v>
      </c>
      <c r="H51" s="100"/>
      <c r="I51" s="100">
        <v>20.93</v>
      </c>
      <c r="J51" s="100"/>
      <c r="K51" s="100"/>
      <c r="L51" s="100"/>
      <c r="M51" s="100"/>
      <c r="N51" s="100"/>
      <c r="O51" s="103">
        <f t="shared" si="4"/>
        <v>56</v>
      </c>
    </row>
    <row r="52" spans="1:15" s="102" customFormat="1" ht="12" x14ac:dyDescent="0.25">
      <c r="A52" s="235"/>
      <c r="B52" s="99" t="s">
        <v>29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0</v>
      </c>
      <c r="N52" s="100">
        <v>0</v>
      </c>
      <c r="O52" s="103">
        <f>SUM(C52:N52)</f>
        <v>0</v>
      </c>
    </row>
    <row r="53" spans="1:15" s="64" customFormat="1" ht="12.6" customHeight="1" x14ac:dyDescent="0.3">
      <c r="A53" s="154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 t="shared" si="4"/>
        <v>0</v>
      </c>
    </row>
    <row r="54" spans="1:15" s="64" customFormat="1" ht="12.6" customHeight="1" x14ac:dyDescent="0.3">
      <c r="A54" s="157"/>
      <c r="B54" s="7" t="s">
        <v>32</v>
      </c>
      <c r="C54" s="114"/>
      <c r="D54" s="114">
        <v>192.62</v>
      </c>
      <c r="E54" s="114"/>
      <c r="F54" s="114"/>
      <c r="G54" s="114">
        <f>49.2+58.89</f>
        <v>108.09</v>
      </c>
      <c r="H54" s="114">
        <v>43.95</v>
      </c>
      <c r="I54" s="114">
        <f>39.13+45.08</f>
        <v>84.210000000000008</v>
      </c>
      <c r="J54" s="114">
        <f>485.87+520.59+19.05+147.6+14.2+600.54+38.82</f>
        <v>1826.6699999999998</v>
      </c>
      <c r="K54" s="114">
        <v>39.75</v>
      </c>
      <c r="L54" s="114">
        <f>23.14+7.49</f>
        <v>30.630000000000003</v>
      </c>
      <c r="M54" s="114"/>
      <c r="N54" s="114"/>
      <c r="O54" s="24">
        <f t="shared" si="4"/>
        <v>2325.92</v>
      </c>
    </row>
    <row r="55" spans="1:15" s="102" customFormat="1" ht="12" x14ac:dyDescent="0.25">
      <c r="A55" s="236" t="s">
        <v>277</v>
      </c>
      <c r="B55" s="99" t="s">
        <v>16</v>
      </c>
      <c r="C55" s="100"/>
      <c r="D55" s="100"/>
      <c r="E55" s="100"/>
      <c r="F55" s="100"/>
      <c r="G55" s="100"/>
      <c r="H55" s="100"/>
      <c r="I55" s="100"/>
      <c r="J55" s="100">
        <v>887.93</v>
      </c>
      <c r="K55" s="100"/>
      <c r="L55" s="100"/>
      <c r="M55" s="100"/>
      <c r="N55" s="100"/>
      <c r="O55" s="103">
        <f t="shared" si="4"/>
        <v>887.93</v>
      </c>
    </row>
    <row r="56" spans="1:15" s="102" customFormat="1" ht="12" x14ac:dyDescent="0.25">
      <c r="A56" s="235"/>
      <c r="B56" s="99" t="s">
        <v>29</v>
      </c>
      <c r="C56" s="100">
        <v>0</v>
      </c>
      <c r="D56" s="100">
        <v>0</v>
      </c>
      <c r="E56" s="100">
        <v>0</v>
      </c>
      <c r="F56" s="100">
        <v>0</v>
      </c>
      <c r="G56" s="100">
        <v>2500</v>
      </c>
      <c r="H56" s="100">
        <v>0</v>
      </c>
      <c r="I56" s="100">
        <v>0</v>
      </c>
      <c r="J56" s="100">
        <v>2500</v>
      </c>
      <c r="K56" s="100">
        <v>0</v>
      </c>
      <c r="L56" s="100">
        <v>0</v>
      </c>
      <c r="M56" s="100">
        <v>0</v>
      </c>
      <c r="N56" s="100">
        <v>0</v>
      </c>
      <c r="O56" s="103">
        <f>SUM(C56:N56)</f>
        <v>5000</v>
      </c>
    </row>
    <row r="57" spans="1:15" s="64" customFormat="1" ht="12.6" customHeight="1" x14ac:dyDescent="0.3">
      <c r="A57" s="154"/>
      <c r="B57" s="5" t="s">
        <v>31</v>
      </c>
      <c r="C57" s="113"/>
      <c r="D57" s="113"/>
      <c r="E57" s="113"/>
      <c r="F57" s="113"/>
      <c r="G57" s="113"/>
      <c r="H57" s="113"/>
      <c r="I57" s="113"/>
      <c r="J57" s="113">
        <v>1500</v>
      </c>
      <c r="K57" s="113"/>
      <c r="L57" s="113"/>
      <c r="M57" s="113"/>
      <c r="N57" s="113"/>
      <c r="O57" s="17">
        <f t="shared" si="4"/>
        <v>1500</v>
      </c>
    </row>
    <row r="58" spans="1:15" s="64" customFormat="1" ht="12.6" customHeight="1" x14ac:dyDescent="0.3">
      <c r="A58" s="157"/>
      <c r="B58" s="7" t="s">
        <v>32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24">
        <f t="shared" si="4"/>
        <v>0</v>
      </c>
    </row>
    <row r="59" spans="1:15" s="102" customFormat="1" ht="12" x14ac:dyDescent="0.25">
      <c r="A59" s="236" t="s">
        <v>278</v>
      </c>
      <c r="B59" s="99" t="s">
        <v>16</v>
      </c>
      <c r="C59" s="100"/>
      <c r="D59" s="100"/>
      <c r="E59" s="100"/>
      <c r="F59" s="100"/>
      <c r="G59" s="100"/>
      <c r="H59" s="100"/>
      <c r="I59" s="100"/>
      <c r="J59" s="100"/>
      <c r="K59" s="100">
        <v>1000</v>
      </c>
      <c r="L59" s="100"/>
      <c r="M59" s="100"/>
      <c r="N59" s="100"/>
      <c r="O59" s="103">
        <f t="shared" si="4"/>
        <v>1000</v>
      </c>
    </row>
    <row r="60" spans="1:15" s="102" customFormat="1" ht="12" x14ac:dyDescent="0.25">
      <c r="A60" s="235"/>
      <c r="B60" s="99" t="s">
        <v>29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3">
        <f>SUM(C60:N60)</f>
        <v>0</v>
      </c>
    </row>
    <row r="61" spans="1:15" s="64" customFormat="1" ht="12.6" customHeight="1" x14ac:dyDescent="0.3">
      <c r="A61" s="154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 t="shared" si="4"/>
        <v>0</v>
      </c>
    </row>
    <row r="62" spans="1:15" s="64" customFormat="1" ht="12.6" customHeight="1" x14ac:dyDescent="0.3">
      <c r="A62" s="157"/>
      <c r="B62" s="7" t="s">
        <v>32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24">
        <f t="shared" si="4"/>
        <v>0</v>
      </c>
    </row>
    <row r="63" spans="1:15" s="102" customFormat="1" ht="12" x14ac:dyDescent="0.25">
      <c r="A63" s="236" t="s">
        <v>279</v>
      </c>
      <c r="B63" s="99" t="s">
        <v>16</v>
      </c>
      <c r="C63" s="100"/>
      <c r="D63" s="100"/>
      <c r="E63" s="100"/>
      <c r="F63" s="100"/>
      <c r="G63" s="100"/>
      <c r="H63" s="100"/>
      <c r="I63" s="100"/>
      <c r="J63" s="100"/>
      <c r="K63" s="100">
        <v>70.28</v>
      </c>
      <c r="L63" s="100"/>
      <c r="M63" s="100"/>
      <c r="N63" s="100"/>
      <c r="O63" s="103">
        <f>SUM(C63:N63)</f>
        <v>70.28</v>
      </c>
    </row>
    <row r="64" spans="1:15" s="102" customFormat="1" ht="12" x14ac:dyDescent="0.25">
      <c r="A64" s="235"/>
      <c r="B64" s="99" t="s">
        <v>29</v>
      </c>
      <c r="C64" s="100">
        <v>0</v>
      </c>
      <c r="D64" s="100">
        <v>0</v>
      </c>
      <c r="E64" s="100">
        <v>0</v>
      </c>
      <c r="F64" s="100">
        <v>0</v>
      </c>
      <c r="G64" s="100">
        <v>70</v>
      </c>
      <c r="H64" s="100">
        <v>0</v>
      </c>
      <c r="I64" s="100">
        <v>0</v>
      </c>
      <c r="J64" s="100">
        <v>0</v>
      </c>
      <c r="K64" s="100">
        <v>70</v>
      </c>
      <c r="L64" s="100">
        <v>0</v>
      </c>
      <c r="M64" s="100">
        <v>0</v>
      </c>
      <c r="N64" s="100">
        <v>0</v>
      </c>
      <c r="O64" s="103">
        <f>SUM(C64:N64)</f>
        <v>140</v>
      </c>
    </row>
    <row r="65" spans="1:15" s="64" customFormat="1" ht="12.6" customHeight="1" x14ac:dyDescent="0.3">
      <c r="A65" s="154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 t="shared" si="4"/>
        <v>0</v>
      </c>
    </row>
    <row r="66" spans="1:15" s="64" customFormat="1" ht="12.6" customHeight="1" x14ac:dyDescent="0.3">
      <c r="A66" s="157"/>
      <c r="B66" s="7" t="s">
        <v>32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24">
        <f t="shared" si="4"/>
        <v>0</v>
      </c>
    </row>
    <row r="67" spans="1:15" s="102" customFormat="1" ht="12.6" customHeight="1" x14ac:dyDescent="0.25">
      <c r="A67" s="236" t="s">
        <v>280</v>
      </c>
      <c r="B67" s="99" t="s">
        <v>16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>
        <v>8.36</v>
      </c>
      <c r="M67" s="100">
        <v>23.34</v>
      </c>
      <c r="N67" s="100"/>
      <c r="O67" s="103">
        <f t="shared" ref="O67:O98" si="5">SUM(C67:N67)</f>
        <v>31.7</v>
      </c>
    </row>
    <row r="68" spans="1:15" s="102" customFormat="1" ht="12" x14ac:dyDescent="0.25">
      <c r="A68" s="235"/>
      <c r="B68" s="99" t="s">
        <v>29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3">
        <f>SUM(C68:N68)</f>
        <v>0</v>
      </c>
    </row>
    <row r="69" spans="1:15" s="64" customFormat="1" x14ac:dyDescent="0.3">
      <c r="A69" s="154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 t="shared" si="5"/>
        <v>0</v>
      </c>
    </row>
    <row r="70" spans="1:15" s="64" customFormat="1" x14ac:dyDescent="0.3">
      <c r="A70" s="157"/>
      <c r="B70" s="7" t="s">
        <v>32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24">
        <f t="shared" si="5"/>
        <v>0</v>
      </c>
    </row>
    <row r="71" spans="1:15" s="102" customFormat="1" ht="12" x14ac:dyDescent="0.25">
      <c r="A71" s="236" t="s">
        <v>281</v>
      </c>
      <c r="B71" s="99" t="s">
        <v>16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>
        <v>455.5</v>
      </c>
      <c r="M71" s="100"/>
      <c r="N71" s="100"/>
      <c r="O71" s="103">
        <f t="shared" si="5"/>
        <v>455.5</v>
      </c>
    </row>
    <row r="72" spans="1:15" s="102" customFormat="1" ht="12" x14ac:dyDescent="0.25">
      <c r="A72" s="235"/>
      <c r="B72" s="99" t="s">
        <v>29</v>
      </c>
      <c r="C72" s="100">
        <v>0</v>
      </c>
      <c r="D72" s="100">
        <v>0</v>
      </c>
      <c r="E72" s="100">
        <v>0</v>
      </c>
      <c r="F72" s="100">
        <v>0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3">
        <f>SUM(C72:N72)</f>
        <v>0</v>
      </c>
    </row>
    <row r="73" spans="1:15" s="64" customFormat="1" x14ac:dyDescent="0.3">
      <c r="A73" s="154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 t="shared" si="5"/>
        <v>0</v>
      </c>
    </row>
    <row r="74" spans="1:15" s="64" customFormat="1" x14ac:dyDescent="0.3">
      <c r="A74" s="157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24">
        <f t="shared" si="5"/>
        <v>0</v>
      </c>
    </row>
    <row r="75" spans="1:15" s="102" customFormat="1" ht="12" x14ac:dyDescent="0.25">
      <c r="A75" s="236" t="s">
        <v>282</v>
      </c>
      <c r="B75" s="99" t="s">
        <v>16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>
        <v>50.31</v>
      </c>
      <c r="M75" s="100"/>
      <c r="N75" s="100"/>
      <c r="O75" s="103">
        <f t="shared" si="5"/>
        <v>50.31</v>
      </c>
    </row>
    <row r="76" spans="1:15" s="102" customFormat="1" ht="12" x14ac:dyDescent="0.25">
      <c r="A76" s="235"/>
      <c r="B76" s="99" t="s">
        <v>29</v>
      </c>
      <c r="C76" s="100">
        <v>0</v>
      </c>
      <c r="D76" s="100">
        <v>0</v>
      </c>
      <c r="E76" s="100">
        <v>0</v>
      </c>
      <c r="F76" s="100">
        <v>0</v>
      </c>
      <c r="G76" s="100">
        <v>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3">
        <f>SUM(C76:N76)</f>
        <v>0</v>
      </c>
    </row>
    <row r="77" spans="1:15" s="64" customFormat="1" x14ac:dyDescent="0.3">
      <c r="A77" s="154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7">
        <f t="shared" si="5"/>
        <v>0</v>
      </c>
    </row>
    <row r="78" spans="1:15" s="64" customFormat="1" x14ac:dyDescent="0.3">
      <c r="A78" s="157"/>
      <c r="B78" s="7" t="s">
        <v>32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24">
        <f t="shared" si="5"/>
        <v>0</v>
      </c>
    </row>
    <row r="79" spans="1:15" s="102" customFormat="1" ht="12" x14ac:dyDescent="0.25">
      <c r="A79" s="236" t="s">
        <v>283</v>
      </c>
      <c r="B79" s="99" t="s">
        <v>16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3">
        <f t="shared" si="5"/>
        <v>0</v>
      </c>
    </row>
    <row r="80" spans="1:15" s="102" customFormat="1" ht="12" x14ac:dyDescent="0.25">
      <c r="A80" s="235"/>
      <c r="B80" s="99" t="s">
        <v>29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700</v>
      </c>
      <c r="J80" s="100">
        <v>0</v>
      </c>
      <c r="K80" s="100">
        <v>0</v>
      </c>
      <c r="L80" s="100">
        <v>1500</v>
      </c>
      <c r="M80" s="100">
        <v>0</v>
      </c>
      <c r="N80" s="100">
        <v>0</v>
      </c>
      <c r="O80" s="103">
        <f>SUM(C80:N80)</f>
        <v>2200</v>
      </c>
    </row>
    <row r="81" spans="1:15" s="64" customFormat="1" x14ac:dyDescent="0.3">
      <c r="A81" s="154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7">
        <f t="shared" si="5"/>
        <v>0</v>
      </c>
    </row>
    <row r="82" spans="1:15" s="64" customFormat="1" x14ac:dyDescent="0.3">
      <c r="A82" s="157"/>
      <c r="B82" s="7" t="s">
        <v>32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24">
        <f t="shared" si="5"/>
        <v>0</v>
      </c>
    </row>
    <row r="83" spans="1:15" s="102" customFormat="1" ht="12" x14ac:dyDescent="0.25">
      <c r="A83" s="236" t="s">
        <v>284</v>
      </c>
      <c r="B83" s="99" t="s">
        <v>16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3">
        <f t="shared" si="5"/>
        <v>0</v>
      </c>
    </row>
    <row r="84" spans="1:15" s="102" customFormat="1" ht="12" x14ac:dyDescent="0.25">
      <c r="A84" s="235"/>
      <c r="B84" s="99" t="s">
        <v>29</v>
      </c>
      <c r="C84" s="100">
        <v>0</v>
      </c>
      <c r="D84" s="100">
        <v>0</v>
      </c>
      <c r="E84" s="100">
        <v>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3">
        <f>SUM(C84:N84)</f>
        <v>0</v>
      </c>
    </row>
    <row r="85" spans="1:15" s="64" customFormat="1" x14ac:dyDescent="0.3">
      <c r="A85" s="155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7">
        <f t="shared" si="5"/>
        <v>0</v>
      </c>
    </row>
    <row r="86" spans="1:15" s="64" customFormat="1" x14ac:dyDescent="0.3">
      <c r="A86" s="156"/>
      <c r="B86" s="7" t="s">
        <v>32</v>
      </c>
      <c r="C86" s="114"/>
      <c r="D86" s="114">
        <v>92.79</v>
      </c>
      <c r="E86" s="114"/>
      <c r="F86" s="114"/>
      <c r="G86" s="114"/>
      <c r="H86" s="114"/>
      <c r="I86" s="114"/>
      <c r="J86" s="114">
        <v>72.95</v>
      </c>
      <c r="K86" s="114"/>
      <c r="L86" s="114"/>
      <c r="M86" s="114"/>
      <c r="N86" s="114"/>
      <c r="O86" s="24">
        <f t="shared" si="5"/>
        <v>165.74</v>
      </c>
    </row>
    <row r="87" spans="1:15" s="102" customFormat="1" ht="12" x14ac:dyDescent="0.25">
      <c r="A87" s="236" t="s">
        <v>285</v>
      </c>
      <c r="B87" s="99" t="s">
        <v>16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3">
        <f t="shared" si="5"/>
        <v>0</v>
      </c>
    </row>
    <row r="88" spans="1:15" s="102" customFormat="1" ht="12" x14ac:dyDescent="0.25">
      <c r="A88" s="235"/>
      <c r="B88" s="99" t="s">
        <v>29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3">
        <f>SUM(C88:N88)</f>
        <v>0</v>
      </c>
    </row>
    <row r="89" spans="1:15" s="64" customFormat="1" x14ac:dyDescent="0.3">
      <c r="A89" s="155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7">
        <f t="shared" si="5"/>
        <v>0</v>
      </c>
    </row>
    <row r="90" spans="1:15" s="64" customFormat="1" x14ac:dyDescent="0.3">
      <c r="A90" s="156"/>
      <c r="B90" s="7" t="s">
        <v>32</v>
      </c>
      <c r="C90" s="114"/>
      <c r="D90" s="114">
        <v>16.75</v>
      </c>
      <c r="E90" s="114"/>
      <c r="F90" s="114"/>
      <c r="G90" s="114">
        <f>20.94+29.33</f>
        <v>50.269999999999996</v>
      </c>
      <c r="H90" s="114"/>
      <c r="I90" s="114"/>
      <c r="J90" s="114"/>
      <c r="K90" s="114"/>
      <c r="L90" s="114">
        <v>41.88</v>
      </c>
      <c r="M90" s="114"/>
      <c r="N90" s="114"/>
      <c r="O90" s="24">
        <f t="shared" si="5"/>
        <v>108.9</v>
      </c>
    </row>
    <row r="91" spans="1:15" s="102" customFormat="1" ht="12" x14ac:dyDescent="0.25">
      <c r="A91" s="236" t="s">
        <v>286</v>
      </c>
      <c r="B91" s="99" t="s">
        <v>16</v>
      </c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3">
        <f t="shared" si="5"/>
        <v>0</v>
      </c>
    </row>
    <row r="92" spans="1:15" s="102" customFormat="1" ht="12" x14ac:dyDescent="0.25">
      <c r="A92" s="235"/>
      <c r="B92" s="99" t="s">
        <v>29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100">
        <v>0</v>
      </c>
      <c r="N92" s="100">
        <v>0</v>
      </c>
      <c r="O92" s="103">
        <f>SUM(C92:N92)</f>
        <v>0</v>
      </c>
    </row>
    <row r="93" spans="1:15" s="64" customFormat="1" x14ac:dyDescent="0.3">
      <c r="A93" s="155"/>
      <c r="B93" s="5" t="s">
        <v>31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7">
        <f t="shared" si="5"/>
        <v>0</v>
      </c>
    </row>
    <row r="94" spans="1:15" s="64" customFormat="1" x14ac:dyDescent="0.3">
      <c r="A94" s="156"/>
      <c r="B94" s="7" t="s">
        <v>32</v>
      </c>
      <c r="C94" s="114"/>
      <c r="D94" s="114"/>
      <c r="E94" s="114"/>
      <c r="F94" s="114"/>
      <c r="G94" s="114"/>
      <c r="H94" s="114">
        <v>62.82</v>
      </c>
      <c r="I94" s="114"/>
      <c r="J94" s="114"/>
      <c r="K94" s="114"/>
      <c r="L94" s="114"/>
      <c r="M94" s="114"/>
      <c r="N94" s="114"/>
      <c r="O94" s="24">
        <f t="shared" si="5"/>
        <v>62.82</v>
      </c>
    </row>
    <row r="95" spans="1:15" s="102" customFormat="1" ht="12" x14ac:dyDescent="0.25">
      <c r="A95" s="236" t="s">
        <v>287</v>
      </c>
      <c r="B95" s="99" t="s">
        <v>16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3">
        <f t="shared" si="5"/>
        <v>0</v>
      </c>
    </row>
    <row r="96" spans="1:15" s="102" customFormat="1" ht="12" x14ac:dyDescent="0.25">
      <c r="A96" s="235"/>
      <c r="B96" s="99" t="s">
        <v>29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100">
        <v>0</v>
      </c>
      <c r="N96" s="100">
        <v>0</v>
      </c>
      <c r="O96" s="103">
        <f>SUM(C96:N96)</f>
        <v>0</v>
      </c>
    </row>
    <row r="97" spans="1:15" s="64" customFormat="1" x14ac:dyDescent="0.3">
      <c r="A97" s="155"/>
      <c r="B97" s="5" t="s">
        <v>31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7">
        <f t="shared" si="5"/>
        <v>0</v>
      </c>
    </row>
    <row r="98" spans="1:15" s="64" customFormat="1" x14ac:dyDescent="0.3">
      <c r="A98" s="156"/>
      <c r="B98" s="7" t="s">
        <v>32</v>
      </c>
      <c r="C98" s="114"/>
      <c r="D98" s="114"/>
      <c r="E98" s="114"/>
      <c r="F98" s="114"/>
      <c r="G98" s="114"/>
      <c r="H98" s="114"/>
      <c r="I98" s="114">
        <v>219.74</v>
      </c>
      <c r="J98" s="114"/>
      <c r="K98" s="114"/>
      <c r="L98" s="114"/>
      <c r="M98" s="114"/>
      <c r="N98" s="114"/>
      <c r="O98" s="24">
        <f t="shared" si="5"/>
        <v>219.74</v>
      </c>
    </row>
    <row r="99" spans="1:15" s="102" customFormat="1" ht="12" x14ac:dyDescent="0.25">
      <c r="A99" s="236" t="s">
        <v>288</v>
      </c>
      <c r="B99" s="99" t="s">
        <v>16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3">
        <f t="shared" ref="O99:O114" si="6">SUM(C99:N99)</f>
        <v>0</v>
      </c>
    </row>
    <row r="100" spans="1:15" s="102" customFormat="1" ht="12" x14ac:dyDescent="0.25">
      <c r="A100" s="235"/>
      <c r="B100" s="99" t="s">
        <v>29</v>
      </c>
      <c r="C100" s="100">
        <v>0</v>
      </c>
      <c r="D100" s="100">
        <v>0</v>
      </c>
      <c r="E100" s="100">
        <v>0</v>
      </c>
      <c r="F100" s="100">
        <v>0</v>
      </c>
      <c r="G100" s="100">
        <v>0</v>
      </c>
      <c r="H100" s="100">
        <v>0</v>
      </c>
      <c r="I100" s="100">
        <v>0</v>
      </c>
      <c r="J100" s="100">
        <v>0</v>
      </c>
      <c r="K100" s="100">
        <v>0</v>
      </c>
      <c r="L100" s="100">
        <v>0</v>
      </c>
      <c r="M100" s="100">
        <v>0</v>
      </c>
      <c r="N100" s="100">
        <v>0</v>
      </c>
      <c r="O100" s="103">
        <f>SUM(C100:N100)</f>
        <v>0</v>
      </c>
    </row>
    <row r="101" spans="1:15" s="64" customFormat="1" x14ac:dyDescent="0.3">
      <c r="A101" s="155"/>
      <c r="B101" s="5" t="s">
        <v>31</v>
      </c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7">
        <f t="shared" si="6"/>
        <v>0</v>
      </c>
    </row>
    <row r="102" spans="1:15" s="64" customFormat="1" x14ac:dyDescent="0.3">
      <c r="A102" s="156"/>
      <c r="B102" s="7" t="s">
        <v>32</v>
      </c>
      <c r="C102" s="114"/>
      <c r="D102" s="114"/>
      <c r="E102" s="114"/>
      <c r="F102" s="114"/>
      <c r="G102" s="114"/>
      <c r="H102" s="114"/>
      <c r="I102" s="114">
        <v>142.41</v>
      </c>
      <c r="J102" s="114"/>
      <c r="K102" s="114"/>
      <c r="L102" s="114"/>
      <c r="M102" s="114"/>
      <c r="N102" s="114"/>
      <c r="O102" s="24">
        <f t="shared" si="6"/>
        <v>142.41</v>
      </c>
    </row>
    <row r="103" spans="1:15" s="102" customFormat="1" ht="12" x14ac:dyDescent="0.25">
      <c r="A103" s="236"/>
      <c r="B103" s="99" t="s">
        <v>16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3">
        <f t="shared" si="6"/>
        <v>0</v>
      </c>
    </row>
    <row r="104" spans="1:15" s="102" customFormat="1" ht="12" x14ac:dyDescent="0.25">
      <c r="A104" s="235"/>
      <c r="B104" s="99" t="s">
        <v>29</v>
      </c>
      <c r="C104" s="100">
        <v>0</v>
      </c>
      <c r="D104" s="100">
        <v>0</v>
      </c>
      <c r="E104" s="100">
        <v>0</v>
      </c>
      <c r="F104" s="100">
        <v>0</v>
      </c>
      <c r="G104" s="100">
        <v>0</v>
      </c>
      <c r="H104" s="100">
        <v>0</v>
      </c>
      <c r="I104" s="100">
        <v>0</v>
      </c>
      <c r="J104" s="100">
        <v>0</v>
      </c>
      <c r="K104" s="100">
        <v>0</v>
      </c>
      <c r="L104" s="100">
        <v>0</v>
      </c>
      <c r="M104" s="100">
        <v>0</v>
      </c>
      <c r="N104" s="100">
        <v>0</v>
      </c>
      <c r="O104" s="103">
        <f t="shared" si="6"/>
        <v>0</v>
      </c>
    </row>
    <row r="105" spans="1:15" s="64" customFormat="1" x14ac:dyDescent="0.3">
      <c r="A105" s="155"/>
      <c r="B105" s="5" t="s">
        <v>31</v>
      </c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7">
        <f>SUM(C105:N105)</f>
        <v>0</v>
      </c>
    </row>
    <row r="106" spans="1:15" s="64" customFormat="1" x14ac:dyDescent="0.3">
      <c r="A106" s="156"/>
      <c r="B106" s="7" t="s">
        <v>32</v>
      </c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24">
        <f t="shared" si="6"/>
        <v>0</v>
      </c>
    </row>
    <row r="107" spans="1:15" s="102" customFormat="1" ht="12" x14ac:dyDescent="0.25">
      <c r="A107" s="236"/>
      <c r="B107" s="99" t="s">
        <v>16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3">
        <f t="shared" si="6"/>
        <v>0</v>
      </c>
    </row>
    <row r="108" spans="1:15" s="102" customFormat="1" ht="12" x14ac:dyDescent="0.25">
      <c r="A108" s="235"/>
      <c r="B108" s="99" t="s">
        <v>29</v>
      </c>
      <c r="C108" s="100">
        <v>0</v>
      </c>
      <c r="D108" s="100">
        <v>0</v>
      </c>
      <c r="E108" s="100">
        <v>0</v>
      </c>
      <c r="F108" s="100">
        <v>0</v>
      </c>
      <c r="G108" s="100">
        <v>0</v>
      </c>
      <c r="H108" s="100">
        <v>0</v>
      </c>
      <c r="I108" s="100">
        <v>0</v>
      </c>
      <c r="J108" s="100">
        <v>0</v>
      </c>
      <c r="K108" s="100">
        <v>0</v>
      </c>
      <c r="L108" s="100">
        <v>0</v>
      </c>
      <c r="M108" s="100">
        <v>0</v>
      </c>
      <c r="N108" s="100">
        <v>0</v>
      </c>
      <c r="O108" s="103">
        <f t="shared" si="6"/>
        <v>0</v>
      </c>
    </row>
    <row r="109" spans="1:15" s="64" customFormat="1" x14ac:dyDescent="0.3">
      <c r="A109" s="155"/>
      <c r="B109" s="5" t="s">
        <v>31</v>
      </c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7">
        <f>SUM(C109:N109)</f>
        <v>0</v>
      </c>
    </row>
    <row r="110" spans="1:15" s="64" customFormat="1" x14ac:dyDescent="0.3">
      <c r="A110" s="156"/>
      <c r="B110" s="7" t="s">
        <v>32</v>
      </c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24">
        <f t="shared" si="6"/>
        <v>0</v>
      </c>
    </row>
    <row r="111" spans="1:15" s="102" customFormat="1" ht="12" x14ac:dyDescent="0.25">
      <c r="A111" s="236"/>
      <c r="B111" s="99" t="s">
        <v>16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3">
        <f t="shared" si="6"/>
        <v>0</v>
      </c>
    </row>
    <row r="112" spans="1:15" s="102" customFormat="1" ht="12" x14ac:dyDescent="0.25">
      <c r="A112" s="235"/>
      <c r="B112" s="99" t="s">
        <v>29</v>
      </c>
      <c r="C112" s="100">
        <v>0</v>
      </c>
      <c r="D112" s="100">
        <v>0</v>
      </c>
      <c r="E112" s="100">
        <v>0</v>
      </c>
      <c r="F112" s="100">
        <v>0</v>
      </c>
      <c r="G112" s="100">
        <v>0</v>
      </c>
      <c r="H112" s="100">
        <v>0</v>
      </c>
      <c r="I112" s="100">
        <v>0</v>
      </c>
      <c r="J112" s="100">
        <v>0</v>
      </c>
      <c r="K112" s="100">
        <v>0</v>
      </c>
      <c r="L112" s="100">
        <v>0</v>
      </c>
      <c r="M112" s="100">
        <v>0</v>
      </c>
      <c r="N112" s="100">
        <v>0</v>
      </c>
      <c r="O112" s="103">
        <f t="shared" si="6"/>
        <v>0</v>
      </c>
    </row>
    <row r="113" spans="1:15" s="64" customFormat="1" x14ac:dyDescent="0.3">
      <c r="A113" s="155"/>
      <c r="B113" s="5" t="s">
        <v>31</v>
      </c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7">
        <f>SUM(C113:N113)</f>
        <v>0</v>
      </c>
    </row>
    <row r="114" spans="1:15" s="64" customFormat="1" x14ac:dyDescent="0.3">
      <c r="A114" s="156"/>
      <c r="B114" s="7" t="s">
        <v>32</v>
      </c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24">
        <f t="shared" si="6"/>
        <v>0</v>
      </c>
    </row>
    <row r="115" spans="1:15" s="102" customFormat="1" ht="12" x14ac:dyDescent="0.25">
      <c r="A115" s="243"/>
    </row>
    <row r="116" spans="1:15" s="102" customFormat="1" ht="12" x14ac:dyDescent="0.25">
      <c r="A116" s="237"/>
    </row>
    <row r="117" spans="1:15" s="64" customFormat="1" x14ac:dyDescent="0.3">
      <c r="A117" s="158"/>
    </row>
    <row r="118" spans="1:15" s="64" customFormat="1" x14ac:dyDescent="0.3">
      <c r="A118" s="158"/>
    </row>
    <row r="119" spans="1:15" s="102" customFormat="1" ht="12" x14ac:dyDescent="0.25">
      <c r="A119" s="237"/>
    </row>
    <row r="120" spans="1:15" s="102" customFormat="1" ht="12" x14ac:dyDescent="0.25">
      <c r="A120" s="237"/>
    </row>
    <row r="121" spans="1:15" s="64" customFormat="1" x14ac:dyDescent="0.3">
      <c r="A121" s="158"/>
    </row>
    <row r="122" spans="1:15" s="64" customFormat="1" x14ac:dyDescent="0.3">
      <c r="A122" s="158"/>
    </row>
    <row r="123" spans="1:15" s="102" customFormat="1" ht="12" x14ac:dyDescent="0.25">
      <c r="A123" s="237"/>
    </row>
    <row r="124" spans="1:15" s="102" customFormat="1" ht="12" x14ac:dyDescent="0.25">
      <c r="A124" s="237"/>
    </row>
    <row r="125" spans="1:15" s="64" customFormat="1" ht="11.4" customHeight="1" x14ac:dyDescent="0.3">
      <c r="A125" s="158"/>
    </row>
    <row r="126" spans="1:15" s="64" customFormat="1" x14ac:dyDescent="0.3">
      <c r="A126" s="158"/>
    </row>
    <row r="127" spans="1:15" s="102" customFormat="1" ht="12" x14ac:dyDescent="0.25">
      <c r="A127" s="237"/>
    </row>
    <row r="128" spans="1:15" s="102" customFormat="1" ht="12" x14ac:dyDescent="0.25">
      <c r="A128" s="237"/>
    </row>
    <row r="129" spans="1:1" s="64" customFormat="1" x14ac:dyDescent="0.3">
      <c r="A129" s="158"/>
    </row>
    <row r="130" spans="1:1" s="64" customFormat="1" x14ac:dyDescent="0.3">
      <c r="A130" s="158"/>
    </row>
    <row r="131" spans="1:1" s="102" customFormat="1" ht="12" x14ac:dyDescent="0.25">
      <c r="A131" s="237"/>
    </row>
    <row r="132" spans="1:1" s="102" customFormat="1" ht="12" x14ac:dyDescent="0.25">
      <c r="A132" s="237"/>
    </row>
    <row r="133" spans="1:1" s="64" customFormat="1" x14ac:dyDescent="0.3">
      <c r="A133" s="158"/>
    </row>
    <row r="134" spans="1:1" s="64" customFormat="1" x14ac:dyDescent="0.3">
      <c r="A134" s="158"/>
    </row>
    <row r="135" spans="1:1" s="102" customFormat="1" ht="12" x14ac:dyDescent="0.25">
      <c r="A135" s="237"/>
    </row>
    <row r="136" spans="1:1" s="102" customFormat="1" ht="12" x14ac:dyDescent="0.25">
      <c r="A136" s="237"/>
    </row>
    <row r="137" spans="1:1" s="64" customFormat="1" x14ac:dyDescent="0.3">
      <c r="A137" s="158"/>
    </row>
    <row r="138" spans="1:1" s="64" customFormat="1" x14ac:dyDescent="0.3">
      <c r="A138" s="158"/>
    </row>
    <row r="139" spans="1:1" s="102" customFormat="1" ht="12" x14ac:dyDescent="0.25">
      <c r="A139" s="237"/>
    </row>
    <row r="140" spans="1:1" s="102" customFormat="1" ht="12" x14ac:dyDescent="0.25">
      <c r="A140" s="237"/>
    </row>
    <row r="141" spans="1:1" s="64" customFormat="1" x14ac:dyDescent="0.3">
      <c r="A141" s="158"/>
    </row>
    <row r="142" spans="1:1" s="64" customFormat="1" x14ac:dyDescent="0.3">
      <c r="A142" s="158"/>
    </row>
    <row r="143" spans="1:1" s="102" customFormat="1" ht="12" x14ac:dyDescent="0.25">
      <c r="A143" s="237"/>
    </row>
    <row r="144" spans="1:1" s="102" customFormat="1" ht="12" x14ac:dyDescent="0.25">
      <c r="A144" s="237"/>
    </row>
    <row r="145" spans="1:1" s="64" customFormat="1" x14ac:dyDescent="0.3">
      <c r="A145" s="158"/>
    </row>
    <row r="146" spans="1:1" s="64" customFormat="1" x14ac:dyDescent="0.3">
      <c r="A146" s="158"/>
    </row>
    <row r="147" spans="1:1" s="102" customFormat="1" ht="12" x14ac:dyDescent="0.25">
      <c r="A147" s="237"/>
    </row>
    <row r="148" spans="1:1" s="102" customFormat="1" ht="12" x14ac:dyDescent="0.25">
      <c r="A148" s="237"/>
    </row>
    <row r="149" spans="1:1" s="64" customFormat="1" x14ac:dyDescent="0.3">
      <c r="A149" s="158"/>
    </row>
    <row r="150" spans="1:1" s="64" customFormat="1" x14ac:dyDescent="0.3">
      <c r="A150" s="158"/>
    </row>
    <row r="151" spans="1:1" s="102" customFormat="1" ht="12" x14ac:dyDescent="0.25">
      <c r="A151" s="237"/>
    </row>
    <row r="152" spans="1:1" s="102" customFormat="1" ht="12" x14ac:dyDescent="0.25">
      <c r="A152" s="237"/>
    </row>
    <row r="153" spans="1:1" s="64" customFormat="1" x14ac:dyDescent="0.3">
      <c r="A153" s="158"/>
    </row>
    <row r="154" spans="1:1" s="64" customFormat="1" x14ac:dyDescent="0.3">
      <c r="A154" s="158"/>
    </row>
    <row r="155" spans="1:1" s="102" customFormat="1" ht="12" x14ac:dyDescent="0.25">
      <c r="A155" s="237"/>
    </row>
    <row r="156" spans="1:1" s="102" customFormat="1" ht="12" x14ac:dyDescent="0.25">
      <c r="A156" s="237"/>
    </row>
    <row r="157" spans="1:1" s="64" customFormat="1" x14ac:dyDescent="0.3">
      <c r="A157" s="158"/>
    </row>
    <row r="158" spans="1:1" s="64" customFormat="1" x14ac:dyDescent="0.3">
      <c r="A158" s="158"/>
    </row>
    <row r="159" spans="1:1" s="102" customFormat="1" ht="12" x14ac:dyDescent="0.25">
      <c r="A159" s="237"/>
    </row>
    <row r="160" spans="1:1" s="102" customFormat="1" ht="12" x14ac:dyDescent="0.25">
      <c r="A160" s="237"/>
    </row>
    <row r="161" spans="1:1" s="64" customFormat="1" x14ac:dyDescent="0.3">
      <c r="A161" s="158"/>
    </row>
    <row r="162" spans="1:1" s="64" customFormat="1" x14ac:dyDescent="0.3">
      <c r="A162" s="158"/>
    </row>
    <row r="163" spans="1:1" s="102" customFormat="1" ht="12" x14ac:dyDescent="0.25">
      <c r="A163" s="237"/>
    </row>
    <row r="164" spans="1:1" s="102" customFormat="1" ht="12" x14ac:dyDescent="0.25">
      <c r="A164" s="237"/>
    </row>
    <row r="165" spans="1:1" s="64" customFormat="1" x14ac:dyDescent="0.3">
      <c r="A165" s="158"/>
    </row>
    <row r="166" spans="1:1" s="64" customFormat="1" x14ac:dyDescent="0.3">
      <c r="A166" s="158"/>
    </row>
    <row r="167" spans="1:1" s="102" customFormat="1" ht="12" x14ac:dyDescent="0.25">
      <c r="A167" s="237"/>
    </row>
    <row r="168" spans="1:1" s="102" customFormat="1" ht="12" x14ac:dyDescent="0.25">
      <c r="A168" s="237"/>
    </row>
    <row r="169" spans="1:1" s="64" customFormat="1" x14ac:dyDescent="0.3">
      <c r="A169" s="158"/>
    </row>
    <row r="170" spans="1:1" s="64" customFormat="1" x14ac:dyDescent="0.3">
      <c r="A170" s="158"/>
    </row>
    <row r="171" spans="1:1" s="102" customFormat="1" ht="12" x14ac:dyDescent="0.25">
      <c r="A171" s="237"/>
    </row>
    <row r="172" spans="1:1" s="102" customFormat="1" ht="12" x14ac:dyDescent="0.25">
      <c r="A172" s="237"/>
    </row>
    <row r="173" spans="1:1" s="64" customFormat="1" x14ac:dyDescent="0.3">
      <c r="A173" s="158"/>
    </row>
    <row r="174" spans="1:1" s="64" customFormat="1" x14ac:dyDescent="0.3">
      <c r="A174" s="158"/>
    </row>
    <row r="175" spans="1:1" s="102" customFormat="1" ht="12" x14ac:dyDescent="0.25">
      <c r="A175" s="237"/>
    </row>
    <row r="176" spans="1:1" s="102" customFormat="1" ht="12" x14ac:dyDescent="0.25">
      <c r="A176" s="237"/>
    </row>
    <row r="177" spans="1:1" s="64" customFormat="1" x14ac:dyDescent="0.3">
      <c r="A177" s="158"/>
    </row>
    <row r="178" spans="1:1" s="64" customFormat="1" x14ac:dyDescent="0.3">
      <c r="A178" s="158"/>
    </row>
    <row r="179" spans="1:1" s="102" customFormat="1" ht="12" x14ac:dyDescent="0.25">
      <c r="A179" s="237"/>
    </row>
    <row r="180" spans="1:1" s="102" customFormat="1" ht="12" x14ac:dyDescent="0.25">
      <c r="A180" s="237"/>
    </row>
    <row r="181" spans="1:1" s="64" customFormat="1" x14ac:dyDescent="0.3">
      <c r="A181" s="158"/>
    </row>
    <row r="182" spans="1:1" s="64" customFormat="1" x14ac:dyDescent="0.3">
      <c r="A182" s="158"/>
    </row>
    <row r="183" spans="1:1" s="102" customFormat="1" ht="12" x14ac:dyDescent="0.25">
      <c r="A183" s="237"/>
    </row>
    <row r="184" spans="1:1" s="102" customFormat="1" ht="12" x14ac:dyDescent="0.25">
      <c r="A184" s="237"/>
    </row>
    <row r="185" spans="1:1" s="64" customFormat="1" x14ac:dyDescent="0.3">
      <c r="A185" s="158"/>
    </row>
    <row r="186" spans="1:1" s="64" customFormat="1" x14ac:dyDescent="0.3">
      <c r="A186" s="158"/>
    </row>
    <row r="187" spans="1:1" s="102" customFormat="1" ht="12" x14ac:dyDescent="0.25">
      <c r="A187" s="237"/>
    </row>
    <row r="188" spans="1:1" s="102" customFormat="1" ht="12" x14ac:dyDescent="0.25">
      <c r="A188" s="237"/>
    </row>
    <row r="189" spans="1:1" s="64" customFormat="1" x14ac:dyDescent="0.3">
      <c r="A189" s="158"/>
    </row>
    <row r="190" spans="1:1" s="64" customFormat="1" x14ac:dyDescent="0.3">
      <c r="A190" s="158"/>
    </row>
    <row r="191" spans="1:1" s="102" customFormat="1" ht="12" x14ac:dyDescent="0.25">
      <c r="A191" s="237"/>
    </row>
    <row r="192" spans="1:1" s="102" customFormat="1" ht="12" x14ac:dyDescent="0.25">
      <c r="A192" s="237"/>
    </row>
    <row r="193" spans="1:1" s="64" customFormat="1" x14ac:dyDescent="0.3">
      <c r="A193" s="158"/>
    </row>
    <row r="194" spans="1:1" s="64" customFormat="1" x14ac:dyDescent="0.3">
      <c r="A194" s="158"/>
    </row>
    <row r="195" spans="1:1" s="102" customFormat="1" ht="12" x14ac:dyDescent="0.25">
      <c r="A195" s="237"/>
    </row>
    <row r="196" spans="1:1" s="102" customFormat="1" ht="12" x14ac:dyDescent="0.25">
      <c r="A196" s="237"/>
    </row>
    <row r="197" spans="1:1" s="64" customFormat="1" x14ac:dyDescent="0.3">
      <c r="A197" s="158"/>
    </row>
    <row r="198" spans="1:1" s="64" customFormat="1" x14ac:dyDescent="0.3">
      <c r="A198" s="158"/>
    </row>
    <row r="199" spans="1:1" s="102" customFormat="1" ht="12" x14ac:dyDescent="0.25">
      <c r="A199" s="237"/>
    </row>
    <row r="200" spans="1:1" s="102" customFormat="1" ht="12" x14ac:dyDescent="0.25">
      <c r="A200" s="237"/>
    </row>
    <row r="201" spans="1:1" s="64" customFormat="1" x14ac:dyDescent="0.3">
      <c r="A201" s="158"/>
    </row>
    <row r="202" spans="1:1" s="64" customFormat="1" x14ac:dyDescent="0.3">
      <c r="A202" s="158"/>
    </row>
    <row r="203" spans="1:1" s="102" customFormat="1" ht="12" x14ac:dyDescent="0.25">
      <c r="A203" s="237"/>
    </row>
    <row r="204" spans="1:1" s="102" customFormat="1" ht="12" x14ac:dyDescent="0.25">
      <c r="A204" s="237"/>
    </row>
    <row r="205" spans="1:1" s="64" customFormat="1" x14ac:dyDescent="0.3">
      <c r="A205" s="158"/>
    </row>
    <row r="206" spans="1:1" s="64" customFormat="1" x14ac:dyDescent="0.3">
      <c r="A206" s="158"/>
    </row>
    <row r="207" spans="1:1" s="102" customFormat="1" ht="12" x14ac:dyDescent="0.25">
      <c r="A207" s="237"/>
    </row>
    <row r="208" spans="1:1" s="102" customFormat="1" ht="12" x14ac:dyDescent="0.25">
      <c r="A208" s="237"/>
    </row>
    <row r="209" spans="1:1" s="64" customFormat="1" x14ac:dyDescent="0.3">
      <c r="A209" s="158"/>
    </row>
    <row r="210" spans="1:1" s="64" customFormat="1" x14ac:dyDescent="0.3">
      <c r="A210" s="158"/>
    </row>
    <row r="211" spans="1:1" s="102" customFormat="1" ht="12" x14ac:dyDescent="0.25">
      <c r="A211" s="237"/>
    </row>
    <row r="212" spans="1:1" s="102" customFormat="1" ht="12" x14ac:dyDescent="0.25">
      <c r="A212" s="237"/>
    </row>
    <row r="213" spans="1:1" s="64" customFormat="1" x14ac:dyDescent="0.3">
      <c r="A213" s="158"/>
    </row>
    <row r="214" spans="1:1" s="64" customFormat="1" x14ac:dyDescent="0.3">
      <c r="A214" s="158"/>
    </row>
    <row r="215" spans="1:1" s="102" customFormat="1" ht="12" x14ac:dyDescent="0.25">
      <c r="A215" s="237"/>
    </row>
    <row r="216" spans="1:1" s="102" customFormat="1" ht="12" x14ac:dyDescent="0.25">
      <c r="A216" s="237"/>
    </row>
    <row r="217" spans="1:1" s="64" customFormat="1" x14ac:dyDescent="0.3">
      <c r="A217" s="108"/>
    </row>
    <row r="218" spans="1:1" s="64" customFormat="1" x14ac:dyDescent="0.3">
      <c r="A218" s="108"/>
    </row>
  </sheetData>
  <mergeCells count="54">
    <mergeCell ref="A215:A216"/>
    <mergeCell ref="A3:A6"/>
    <mergeCell ref="A195:A196"/>
    <mergeCell ref="A199:A200"/>
    <mergeCell ref="A203:A204"/>
    <mergeCell ref="A207:A208"/>
    <mergeCell ref="A211:A212"/>
    <mergeCell ref="A175:A176"/>
    <mergeCell ref="A179:A180"/>
    <mergeCell ref="A183:A184"/>
    <mergeCell ref="A187:A188"/>
    <mergeCell ref="A191:A192"/>
    <mergeCell ref="A155:A156"/>
    <mergeCell ref="A159:A160"/>
    <mergeCell ref="A163:A164"/>
    <mergeCell ref="A167:A168"/>
    <mergeCell ref="A131:A132"/>
    <mergeCell ref="A171:A172"/>
    <mergeCell ref="A135:A136"/>
    <mergeCell ref="A139:A140"/>
    <mergeCell ref="A143:A144"/>
    <mergeCell ref="A147:A148"/>
    <mergeCell ref="A151:A152"/>
    <mergeCell ref="A111:A112"/>
    <mergeCell ref="A115:A116"/>
    <mergeCell ref="A119:A120"/>
    <mergeCell ref="A123:A124"/>
    <mergeCell ref="A127:A128"/>
    <mergeCell ref="A91:A92"/>
    <mergeCell ref="A95:A96"/>
    <mergeCell ref="A99:A100"/>
    <mergeCell ref="A103:A104"/>
    <mergeCell ref="A107:A108"/>
    <mergeCell ref="A67:A68"/>
    <mergeCell ref="A75:A76"/>
    <mergeCell ref="A79:A80"/>
    <mergeCell ref="A83:A84"/>
    <mergeCell ref="A87:A88"/>
    <mergeCell ref="A1:O1"/>
    <mergeCell ref="A71:A72"/>
    <mergeCell ref="A11:A12"/>
    <mergeCell ref="A15:A16"/>
    <mergeCell ref="A19:A20"/>
    <mergeCell ref="A23:A24"/>
    <mergeCell ref="A27:A28"/>
    <mergeCell ref="A31:A32"/>
    <mergeCell ref="A35:A36"/>
    <mergeCell ref="A39:A40"/>
    <mergeCell ref="A43:A44"/>
    <mergeCell ref="A47:A48"/>
    <mergeCell ref="A51:A52"/>
    <mergeCell ref="A55:A56"/>
    <mergeCell ref="A59:A60"/>
    <mergeCell ref="A63:A64"/>
  </mergeCells>
  <conditionalFormatting sqref="C6:N6">
    <cfRule type="cellIs" dxfId="15" priority="1" operator="greaterThan">
      <formula>C5*1.15</formula>
    </cfRule>
    <cfRule type="cellIs" dxfId="14" priority="2" operator="lessThan">
      <formula>C5*0.85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3CFD-538B-4E35-BBED-FFEA596B879C}">
  <sheetPr codeName="Sheet10"/>
  <dimension ref="A1:P218"/>
  <sheetViews>
    <sheetView zoomScale="10" zoomScaleNormal="10" workbookViewId="0">
      <pane xSplit="1" ySplit="2" topLeftCell="B3" activePane="bottomRight" state="frozen"/>
      <selection pane="topRight" activeCell="M13" sqref="M13"/>
      <selection pane="bottomLeft" activeCell="M13" sqref="M13"/>
      <selection pane="bottomRight" activeCell="M13" sqref="M13"/>
    </sheetView>
  </sheetViews>
  <sheetFormatPr defaultColWidth="9.109375" defaultRowHeight="14.4" x14ac:dyDescent="0.3"/>
  <cols>
    <col min="1" max="1" width="29.44140625" style="52" customWidth="1"/>
    <col min="2" max="2" width="22.88671875" style="52" bestFit="1" customWidth="1"/>
    <col min="3" max="14" width="13" style="52" customWidth="1"/>
    <col min="15" max="15" width="13.109375" style="52" customWidth="1"/>
    <col min="16" max="16384" width="9.109375" style="52"/>
  </cols>
  <sheetData>
    <row r="1" spans="1:16" ht="27.75" customHeight="1" x14ac:dyDescent="0.6">
      <c r="A1" s="232" t="s">
        <v>289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16" x14ac:dyDescent="0.3">
      <c r="A2" s="68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69" t="s">
        <v>7</v>
      </c>
      <c r="J2" s="69" t="s">
        <v>8</v>
      </c>
      <c r="K2" s="69" t="s">
        <v>9</v>
      </c>
      <c r="L2" s="69" t="s">
        <v>10</v>
      </c>
      <c r="M2" s="69" t="s">
        <v>11</v>
      </c>
      <c r="N2" s="69" t="s">
        <v>12</v>
      </c>
      <c r="O2" s="69" t="s">
        <v>13</v>
      </c>
    </row>
    <row r="3" spans="1:16" s="102" customFormat="1" ht="14.4" customHeight="1" x14ac:dyDescent="0.25">
      <c r="A3" s="239" t="s">
        <v>15</v>
      </c>
      <c r="B3" s="181" t="s">
        <v>16</v>
      </c>
      <c r="C3" s="182">
        <f>SUMIFS(C$11:C1000,$B$11:$B1000,"Actual 2024")</f>
        <v>0</v>
      </c>
      <c r="D3" s="182">
        <f>SUMIFS(D$11:D1000,$B$11:$B1000,"Actual 2024")</f>
        <v>360.23</v>
      </c>
      <c r="E3" s="182">
        <f>SUMIFS(E$11:E1000,$B$11:$B1000,"Actual 2024")</f>
        <v>695.32</v>
      </c>
      <c r="F3" s="182">
        <f>SUMIFS(F$11:F1000,$B$11:$B1000,"Actual 2024")</f>
        <v>0</v>
      </c>
      <c r="G3" s="182">
        <f>SUMIFS(G$11:G1000,$B$11:$B1000,"Actual 2024")</f>
        <v>85.42</v>
      </c>
      <c r="H3" s="182">
        <f>SUMIFS(H$11:H1000,$B$11:$B1000,"Actual 2024")</f>
        <v>0</v>
      </c>
      <c r="I3" s="185">
        <f>SUMIFS(I$11:I1000,$B$11:$B1000,"Actual 2024")</f>
        <v>0</v>
      </c>
      <c r="J3" s="185">
        <f>SUMIFS(J$11:J1000,$B$11:$B1000,"Actual 2024")</f>
        <v>0</v>
      </c>
      <c r="K3" s="185">
        <f>SUMIFS(K$11:K1000,$B$11:$B1000,"Actual 2024")</f>
        <v>0</v>
      </c>
      <c r="L3" s="185">
        <f>SUMIFS(L$11:L1000,$B$11:$B1000,"Actual 2024")</f>
        <v>0</v>
      </c>
      <c r="M3" s="185">
        <f>SUMIFS(M$11:M1000,$B$11:$B1000,"Actual 2024")</f>
        <v>0</v>
      </c>
      <c r="N3" s="185">
        <f>SUMIFS(N$11:N1000,$B$11:$B1000,"Actual 2024")</f>
        <v>0</v>
      </c>
      <c r="O3" s="183">
        <f>SUMIFS(O$11:O1000,$B$11:$B1000,"Actual 2024")</f>
        <v>1140.9700000000003</v>
      </c>
    </row>
    <row r="4" spans="1:16" s="102" customFormat="1" ht="14.4" customHeight="1" x14ac:dyDescent="0.25">
      <c r="A4" s="240"/>
      <c r="B4" s="184" t="s">
        <v>27</v>
      </c>
      <c r="C4" s="189">
        <f>SUMIFS(C$11:C1000,$B$11:$B1000,"Estimated")</f>
        <v>3500</v>
      </c>
      <c r="D4" s="189">
        <f>SUMIFS(D$11:D1000,$B$11:$B1000,"Estimated")</f>
        <v>0</v>
      </c>
      <c r="E4" s="189">
        <f>SUMIFS(E$11:E1000,$B$11:$B1000,"Estimated")</f>
        <v>0</v>
      </c>
      <c r="F4" s="189">
        <f>SUMIFS(F$11:F1000,$B$11:$B1000,"Estimated")</f>
        <v>0</v>
      </c>
      <c r="G4" s="189">
        <f>SUMIFS(G$11:G1000,$B$11:$B1000,"Estimated")</f>
        <v>0</v>
      </c>
      <c r="H4" s="189">
        <f>SUMIFS(H$11:H1000,$B$11:$B1000,"Estimated")</f>
        <v>0</v>
      </c>
      <c r="I4" s="189">
        <f>SUMIFS(I$11:I1000,$B$11:$B1000,"Estimated")</f>
        <v>0</v>
      </c>
      <c r="J4" s="189">
        <f>SUMIFS(J$11:J1000,$B$11:$B1000,"Estimated")</f>
        <v>0</v>
      </c>
      <c r="K4" s="189">
        <f>SUMIFS(K$11:K1000,$B$11:$B1000,"Estimated")</f>
        <v>0</v>
      </c>
      <c r="L4" s="189">
        <f>SUMIFS(L$11:L1000,$B$11:$B1000,"Estimated")</f>
        <v>0</v>
      </c>
      <c r="M4" s="189">
        <f>SUMIFS(M$11:M1000,$B$11:$B1000,"Estimated")</f>
        <v>0</v>
      </c>
      <c r="N4" s="189">
        <f>SUMIFS(N$11:N1000,$B$11:$B1000,"Estimated")</f>
        <v>0</v>
      </c>
      <c r="O4" s="190">
        <f>SUMIFS(O$11:O1000,$B$11:$B1000,"Estimated")</f>
        <v>3500</v>
      </c>
    </row>
    <row r="5" spans="1:16" s="166" customFormat="1" ht="14.4" customHeight="1" x14ac:dyDescent="0.3">
      <c r="A5" s="240"/>
      <c r="B5" s="162" t="s">
        <v>18</v>
      </c>
      <c r="C5" s="163">
        <v>0</v>
      </c>
      <c r="D5" s="163">
        <v>0</v>
      </c>
      <c r="E5" s="163">
        <v>0</v>
      </c>
      <c r="F5" s="163">
        <v>0</v>
      </c>
      <c r="G5" s="163">
        <v>0</v>
      </c>
      <c r="H5" s="169">
        <v>0</v>
      </c>
      <c r="I5" s="163">
        <v>0</v>
      </c>
      <c r="J5" s="163">
        <v>0</v>
      </c>
      <c r="K5" s="163">
        <v>0</v>
      </c>
      <c r="L5" s="163">
        <v>0</v>
      </c>
      <c r="M5" s="163">
        <v>0</v>
      </c>
      <c r="N5" s="163">
        <v>0</v>
      </c>
      <c r="O5" s="168">
        <f t="shared" ref="O5" si="0">SUM(C5:N5)</f>
        <v>0</v>
      </c>
      <c r="P5" s="166">
        <v>0</v>
      </c>
    </row>
    <row r="6" spans="1:16" s="166" customFormat="1" ht="15" thickBot="1" x14ac:dyDescent="0.35">
      <c r="A6" s="241"/>
      <c r="B6" s="174" t="s">
        <v>19</v>
      </c>
      <c r="C6" s="175">
        <f>SUMIFS(C$11:C1005,$B$11:$B1005,"Actual")</f>
        <v>0</v>
      </c>
      <c r="D6" s="175">
        <f>SUMIFS(D$11:D1005,$B$11:$B1005,"Actual")</f>
        <v>0</v>
      </c>
      <c r="E6" s="175">
        <f>SUMIFS(E$11:E1005,$B$11:$B1005,"Actual")</f>
        <v>0</v>
      </c>
      <c r="F6" s="175">
        <f>SUMIFS(F$11:F1005,$B$11:$B1005,"Actual")</f>
        <v>1593.8</v>
      </c>
      <c r="G6" s="175">
        <f>SUMIFS(G$11:G1005,$B$11:$B1005,"Actual")</f>
        <v>0</v>
      </c>
      <c r="H6" s="175">
        <f>SUMIFS(H$11:H1005,$B$11:$B1005,"Actual")</f>
        <v>0</v>
      </c>
      <c r="I6" s="177">
        <f>SUMIFS(I$11:I1005,$B$11:$B1005,"Actual")</f>
        <v>0</v>
      </c>
      <c r="J6" s="177">
        <f>SUMIFS(J$11:J1005,$B$11:$B1005,"Actual")</f>
        <v>93.76</v>
      </c>
      <c r="K6" s="177">
        <f>SUMIFS(K$11:K1005,$B$11:$B1005,"Actual")</f>
        <v>0</v>
      </c>
      <c r="L6" s="177">
        <f>SUMIFS(L$11:L1005,$B$11:$B1005,"Actual")</f>
        <v>0</v>
      </c>
      <c r="M6" s="177">
        <f>SUMIFS(M$11:M1005,$B$11:$B1005,"Actual")</f>
        <v>0</v>
      </c>
      <c r="N6" s="177">
        <f>SUMIFS(N$11:N1005,$B$11:$B1005,"Actual")</f>
        <v>0</v>
      </c>
      <c r="O6" s="176">
        <f>SUMIFS(O$11:O1005,$B$11:$B1005,"Actual")</f>
        <v>1687.56</v>
      </c>
    </row>
    <row r="7" spans="1:16" s="64" customFormat="1" ht="15" thickTop="1" x14ac:dyDescent="0.3">
      <c r="A7" s="134"/>
      <c r="B7" s="70" t="s">
        <v>21</v>
      </c>
      <c r="C7" s="60">
        <f t="shared" ref="C7:I7" si="1">C5-C6</f>
        <v>0</v>
      </c>
      <c r="D7" s="60">
        <f t="shared" si="1"/>
        <v>0</v>
      </c>
      <c r="E7" s="60">
        <f t="shared" si="1"/>
        <v>0</v>
      </c>
      <c r="F7" s="60">
        <f t="shared" si="1"/>
        <v>-1593.8</v>
      </c>
      <c r="G7" s="60">
        <f t="shared" si="1"/>
        <v>0</v>
      </c>
      <c r="H7" s="60">
        <f t="shared" si="1"/>
        <v>0</v>
      </c>
      <c r="I7" s="60">
        <f t="shared" si="1"/>
        <v>0</v>
      </c>
      <c r="J7" s="60">
        <f t="shared" ref="J7:N7" si="2">J5-J6</f>
        <v>-93.76</v>
      </c>
      <c r="K7" s="60">
        <f t="shared" si="2"/>
        <v>0</v>
      </c>
      <c r="L7" s="60">
        <f t="shared" si="2"/>
        <v>0</v>
      </c>
      <c r="M7" s="60">
        <f t="shared" si="2"/>
        <v>0</v>
      </c>
      <c r="N7" s="60">
        <f t="shared" si="2"/>
        <v>0</v>
      </c>
      <c r="O7" s="75">
        <f>O5-O6</f>
        <v>-1687.56</v>
      </c>
    </row>
    <row r="8" spans="1:16" s="142" customFormat="1" x14ac:dyDescent="0.3">
      <c r="A8" s="138"/>
      <c r="B8" s="139" t="s">
        <v>23</v>
      </c>
      <c r="C8" s="140">
        <f>SUM($C6:C6)</f>
        <v>0</v>
      </c>
      <c r="D8" s="140">
        <f>SUM($C6:D6)</f>
        <v>0</v>
      </c>
      <c r="E8" s="140">
        <f>SUM($C6:E6)</f>
        <v>0</v>
      </c>
      <c r="F8" s="140">
        <f>SUM($C6:F6)</f>
        <v>1593.8</v>
      </c>
      <c r="G8" s="140">
        <f>SUM($C6:G6)</f>
        <v>1593.8</v>
      </c>
      <c r="H8" s="140">
        <f>SUM($C6:H6)</f>
        <v>1593.8</v>
      </c>
      <c r="I8" s="140">
        <f>SUM($C6:I6)</f>
        <v>1593.8</v>
      </c>
      <c r="J8" s="140">
        <f>SUM($C6:J6)</f>
        <v>1687.56</v>
      </c>
      <c r="K8" s="140">
        <f>SUM($C6:K6)</f>
        <v>1687.56</v>
      </c>
      <c r="L8" s="140">
        <f>SUM($C6:L6)</f>
        <v>1687.56</v>
      </c>
      <c r="M8" s="140">
        <f>SUM($C6:M6)</f>
        <v>1687.56</v>
      </c>
      <c r="N8" s="140">
        <f>SUM($C6:N6)</f>
        <v>1687.56</v>
      </c>
      <c r="O8" s="141">
        <f>O6</f>
        <v>1687.56</v>
      </c>
    </row>
    <row r="9" spans="1:16" s="142" customFormat="1" x14ac:dyDescent="0.3">
      <c r="A9" s="143"/>
      <c r="B9" s="144" t="s">
        <v>25</v>
      </c>
      <c r="C9" s="145">
        <f>SUM($C5:C5)-C8</f>
        <v>0</v>
      </c>
      <c r="D9" s="145">
        <f>SUM($C5:D5)-D8</f>
        <v>0</v>
      </c>
      <c r="E9" s="145">
        <f>SUM($C5:E5)-E8</f>
        <v>0</v>
      </c>
      <c r="F9" s="145">
        <f>SUM($C5:F5)-F8</f>
        <v>-1593.8</v>
      </c>
      <c r="G9" s="145">
        <f>SUM($C5:G5)-G8</f>
        <v>-1593.8</v>
      </c>
      <c r="H9" s="145">
        <f>SUM($C5:H5)-H8</f>
        <v>-1593.8</v>
      </c>
      <c r="I9" s="145">
        <f>SUM($C5:I5)-I8</f>
        <v>-1593.8</v>
      </c>
      <c r="J9" s="145">
        <f>SUM($C5:J5)-J8</f>
        <v>-1687.56</v>
      </c>
      <c r="K9" s="145">
        <f>SUM($C5:K5)-K8</f>
        <v>-1687.56</v>
      </c>
      <c r="L9" s="145">
        <f>SUM($C5:L5)-L8</f>
        <v>-1687.56</v>
      </c>
      <c r="M9" s="145">
        <f>SUM($C5:M5)-M8</f>
        <v>-1687.56</v>
      </c>
      <c r="N9" s="145">
        <f>SUM($C5:N5)-N8</f>
        <v>-1687.56</v>
      </c>
      <c r="O9" s="146"/>
    </row>
    <row r="10" spans="1:16" x14ac:dyDescent="0.3">
      <c r="A10" s="54"/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6" s="102" customFormat="1" ht="12" x14ac:dyDescent="0.25">
      <c r="A11" s="236" t="s">
        <v>290</v>
      </c>
      <c r="B11" s="99" t="s">
        <v>16</v>
      </c>
      <c r="C11" s="100"/>
      <c r="D11" s="100">
        <v>360.23</v>
      </c>
      <c r="E11" s="100">
        <v>695.32</v>
      </c>
      <c r="F11" s="100"/>
      <c r="G11" s="100">
        <v>85.42</v>
      </c>
      <c r="H11" s="100"/>
      <c r="I11" s="100"/>
      <c r="J11" s="100"/>
      <c r="K11" s="100"/>
      <c r="L11" s="100"/>
      <c r="M11" s="100"/>
      <c r="N11" s="100"/>
      <c r="O11" s="103">
        <f>SUM(C11:N11)</f>
        <v>1140.9700000000003</v>
      </c>
    </row>
    <row r="12" spans="1:16" s="102" customFormat="1" ht="12" x14ac:dyDescent="0.25">
      <c r="A12" s="235"/>
      <c r="B12" s="99" t="s">
        <v>29</v>
      </c>
      <c r="C12" s="100">
        <v>3500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3">
        <f>SUM(C12:N12)</f>
        <v>3500</v>
      </c>
    </row>
    <row r="13" spans="1:16" s="67" customFormat="1" ht="12.6" customHeight="1" x14ac:dyDescent="0.3">
      <c r="A13" s="154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66">
        <f>SUM(C13:N13)</f>
        <v>0</v>
      </c>
    </row>
    <row r="14" spans="1:16" s="67" customFormat="1" ht="12.6" customHeight="1" x14ac:dyDescent="0.3">
      <c r="A14" s="157"/>
      <c r="B14" s="116" t="s">
        <v>32</v>
      </c>
      <c r="C14" s="117"/>
      <c r="D14" s="117"/>
      <c r="E14" s="117"/>
      <c r="F14" s="117">
        <v>1593.8</v>
      </c>
      <c r="G14" s="117"/>
      <c r="H14" s="117"/>
      <c r="I14" s="117"/>
      <c r="J14" s="117">
        <v>93.76</v>
      </c>
      <c r="K14" s="117"/>
      <c r="L14" s="117"/>
      <c r="M14" s="117"/>
      <c r="N14" s="117"/>
      <c r="O14" s="118">
        <f>SUM(C14:N14)</f>
        <v>1687.56</v>
      </c>
    </row>
    <row r="15" spans="1:16" s="102" customFormat="1" ht="12" x14ac:dyDescent="0.25">
      <c r="A15" s="236"/>
      <c r="B15" s="99" t="s">
        <v>16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3">
        <f t="shared" ref="O15:O18" si="3">SUM(C15:N15)</f>
        <v>0</v>
      </c>
    </row>
    <row r="16" spans="1:16" s="102" customFormat="1" ht="12" x14ac:dyDescent="0.25">
      <c r="A16" s="235"/>
      <c r="B16" s="99" t="s">
        <v>29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3">
        <f>SUM(C16:N16)</f>
        <v>0</v>
      </c>
    </row>
    <row r="17" spans="1:15" s="67" customFormat="1" ht="12.6" customHeight="1" x14ac:dyDescent="0.3">
      <c r="A17" s="155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>
        <f t="shared" si="3"/>
        <v>0</v>
      </c>
    </row>
    <row r="18" spans="1:15" s="67" customFormat="1" ht="12.6" customHeight="1" x14ac:dyDescent="0.3">
      <c r="A18" s="156"/>
      <c r="B18" s="116" t="s">
        <v>32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8">
        <f t="shared" si="3"/>
        <v>0</v>
      </c>
    </row>
    <row r="19" spans="1:15" s="102" customFormat="1" ht="12" x14ac:dyDescent="0.25">
      <c r="A19" s="236"/>
      <c r="B19" s="99" t="s">
        <v>16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3">
        <f t="shared" ref="O19:O30" si="4">SUM(C19:N19)</f>
        <v>0</v>
      </c>
    </row>
    <row r="20" spans="1:15" s="102" customFormat="1" ht="12" x14ac:dyDescent="0.25">
      <c r="A20" s="235"/>
      <c r="B20" s="99" t="s">
        <v>29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3">
        <f>SUM(C20:N20)</f>
        <v>0</v>
      </c>
    </row>
    <row r="21" spans="1:15" s="67" customFormat="1" ht="12.6" customHeight="1" x14ac:dyDescent="0.3">
      <c r="A21" s="155"/>
      <c r="B21" s="65" t="s">
        <v>31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66">
        <f t="shared" si="4"/>
        <v>0</v>
      </c>
    </row>
    <row r="22" spans="1:15" s="67" customFormat="1" ht="12.6" customHeight="1" x14ac:dyDescent="0.3">
      <c r="A22" s="156"/>
      <c r="B22" s="116" t="s">
        <v>32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8">
        <f t="shared" si="4"/>
        <v>0</v>
      </c>
    </row>
    <row r="23" spans="1:15" s="102" customFormat="1" ht="12" x14ac:dyDescent="0.25">
      <c r="A23" s="236"/>
      <c r="B23" s="99" t="s">
        <v>16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3">
        <f t="shared" si="4"/>
        <v>0</v>
      </c>
    </row>
    <row r="24" spans="1:15" s="102" customFormat="1" ht="12" x14ac:dyDescent="0.25">
      <c r="A24" s="235"/>
      <c r="B24" s="99" t="s">
        <v>29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>
        <v>0</v>
      </c>
      <c r="N24" s="100">
        <v>0</v>
      </c>
      <c r="O24" s="103">
        <f>SUM(C24:N24)</f>
        <v>0</v>
      </c>
    </row>
    <row r="25" spans="1:15" s="67" customFormat="1" ht="12.6" customHeight="1" x14ac:dyDescent="0.3">
      <c r="A25" s="155"/>
      <c r="B25" s="65" t="s">
        <v>31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66">
        <f t="shared" si="4"/>
        <v>0</v>
      </c>
    </row>
    <row r="26" spans="1:15" s="67" customFormat="1" ht="12.6" customHeight="1" x14ac:dyDescent="0.3">
      <c r="A26" s="156"/>
      <c r="B26" s="116" t="s">
        <v>32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8">
        <f t="shared" si="4"/>
        <v>0</v>
      </c>
    </row>
    <row r="27" spans="1:15" s="102" customFormat="1" ht="12" x14ac:dyDescent="0.25">
      <c r="A27" s="236"/>
      <c r="B27" s="99" t="s">
        <v>16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3">
        <f t="shared" si="4"/>
        <v>0</v>
      </c>
    </row>
    <row r="28" spans="1:15" s="102" customFormat="1" ht="12" x14ac:dyDescent="0.25">
      <c r="A28" s="235"/>
      <c r="B28" s="99" t="s">
        <v>29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100">
        <v>0</v>
      </c>
      <c r="N28" s="100">
        <v>0</v>
      </c>
      <c r="O28" s="103">
        <f>SUM(C28:N28)</f>
        <v>0</v>
      </c>
    </row>
    <row r="29" spans="1:15" s="67" customFormat="1" ht="12.6" customHeight="1" x14ac:dyDescent="0.3">
      <c r="A29" s="155"/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66">
        <f t="shared" si="4"/>
        <v>0</v>
      </c>
    </row>
    <row r="30" spans="1:15" s="67" customFormat="1" ht="12.6" customHeight="1" x14ac:dyDescent="0.3">
      <c r="A30" s="156"/>
      <c r="B30" s="116" t="s">
        <v>32</v>
      </c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8">
        <f t="shared" si="4"/>
        <v>0</v>
      </c>
    </row>
    <row r="31" spans="1:15" s="102" customFormat="1" ht="12" x14ac:dyDescent="0.25">
      <c r="A31" s="236"/>
      <c r="B31" s="99" t="s">
        <v>16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3">
        <f t="shared" ref="O31:O94" si="5">SUM(C31:N31)</f>
        <v>0</v>
      </c>
    </row>
    <row r="32" spans="1:15" s="102" customFormat="1" ht="12" x14ac:dyDescent="0.25">
      <c r="A32" s="235"/>
      <c r="B32" s="99" t="s">
        <v>29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3">
        <f>SUM(C32:N32)</f>
        <v>0</v>
      </c>
    </row>
    <row r="33" spans="1:15" s="67" customFormat="1" ht="12.6" customHeight="1" x14ac:dyDescent="0.3">
      <c r="A33" s="155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 t="shared" si="5"/>
        <v>0</v>
      </c>
    </row>
    <row r="34" spans="1:15" s="67" customFormat="1" ht="12.6" customHeight="1" x14ac:dyDescent="0.3">
      <c r="A34" s="156"/>
      <c r="B34" s="116" t="s">
        <v>32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8">
        <f t="shared" si="5"/>
        <v>0</v>
      </c>
    </row>
    <row r="35" spans="1:15" s="102" customFormat="1" ht="12" x14ac:dyDescent="0.25">
      <c r="A35" s="236"/>
      <c r="B35" s="99" t="s">
        <v>16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3">
        <f t="shared" si="5"/>
        <v>0</v>
      </c>
    </row>
    <row r="36" spans="1:15" s="102" customFormat="1" ht="12" x14ac:dyDescent="0.25">
      <c r="A36" s="235"/>
      <c r="B36" s="99" t="s">
        <v>29</v>
      </c>
      <c r="C36" s="100">
        <v>0</v>
      </c>
      <c r="D36" s="100">
        <v>0</v>
      </c>
      <c r="E36" s="100">
        <v>0</v>
      </c>
      <c r="F36" s="100">
        <v>0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100">
        <v>0</v>
      </c>
      <c r="N36" s="100">
        <v>0</v>
      </c>
      <c r="O36" s="103">
        <f>SUM(C36:N36)</f>
        <v>0</v>
      </c>
    </row>
    <row r="37" spans="1:15" s="67" customFormat="1" ht="12.6" customHeight="1" x14ac:dyDescent="0.3">
      <c r="A37" s="155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 t="shared" si="5"/>
        <v>0</v>
      </c>
    </row>
    <row r="38" spans="1:15" s="67" customFormat="1" ht="12.6" customHeight="1" x14ac:dyDescent="0.3">
      <c r="A38" s="156"/>
      <c r="B38" s="116" t="s">
        <v>32</v>
      </c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>
        <f t="shared" si="5"/>
        <v>0</v>
      </c>
    </row>
    <row r="39" spans="1:15" s="102" customFormat="1" ht="12" x14ac:dyDescent="0.25">
      <c r="A39" s="236"/>
      <c r="B39" s="99" t="s">
        <v>16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3">
        <f t="shared" si="5"/>
        <v>0</v>
      </c>
    </row>
    <row r="40" spans="1:15" s="102" customFormat="1" ht="12" x14ac:dyDescent="0.25">
      <c r="A40" s="235"/>
      <c r="B40" s="99" t="s">
        <v>29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100">
        <v>0</v>
      </c>
      <c r="N40" s="100">
        <v>0</v>
      </c>
      <c r="O40" s="103">
        <f>SUM(C40:N40)</f>
        <v>0</v>
      </c>
    </row>
    <row r="41" spans="1:15" s="64" customFormat="1" ht="12.6" customHeight="1" x14ac:dyDescent="0.3">
      <c r="A41" s="155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 t="shared" si="5"/>
        <v>0</v>
      </c>
    </row>
    <row r="42" spans="1:15" s="64" customFormat="1" ht="12.6" customHeight="1" x14ac:dyDescent="0.3">
      <c r="A42" s="156"/>
      <c r="B42" s="7" t="s">
        <v>32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24">
        <f t="shared" si="5"/>
        <v>0</v>
      </c>
    </row>
    <row r="43" spans="1:15" s="102" customFormat="1" ht="12" x14ac:dyDescent="0.25">
      <c r="A43" s="236"/>
      <c r="B43" s="99" t="s">
        <v>16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3">
        <f t="shared" si="5"/>
        <v>0</v>
      </c>
    </row>
    <row r="44" spans="1:15" s="102" customFormat="1" ht="12" x14ac:dyDescent="0.25">
      <c r="A44" s="235"/>
      <c r="B44" s="99" t="s">
        <v>29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100">
        <v>0</v>
      </c>
      <c r="N44" s="100">
        <v>0</v>
      </c>
      <c r="O44" s="103">
        <f>SUM(C44:N44)</f>
        <v>0</v>
      </c>
    </row>
    <row r="45" spans="1:15" s="64" customFormat="1" ht="12.6" customHeight="1" x14ac:dyDescent="0.3">
      <c r="A45" s="155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 t="shared" si="5"/>
        <v>0</v>
      </c>
    </row>
    <row r="46" spans="1:15" s="64" customFormat="1" ht="12.6" customHeight="1" x14ac:dyDescent="0.3">
      <c r="A46" s="156"/>
      <c r="B46" s="7" t="s">
        <v>32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24">
        <f t="shared" si="5"/>
        <v>0</v>
      </c>
    </row>
    <row r="47" spans="1:15" s="102" customFormat="1" ht="12" x14ac:dyDescent="0.25">
      <c r="A47" s="236"/>
      <c r="B47" s="99" t="s">
        <v>16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3">
        <f t="shared" si="5"/>
        <v>0</v>
      </c>
    </row>
    <row r="48" spans="1:15" s="102" customFormat="1" ht="12" x14ac:dyDescent="0.25">
      <c r="A48" s="235"/>
      <c r="B48" s="99" t="s">
        <v>29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3">
        <f>SUM(C48:N48)</f>
        <v>0</v>
      </c>
    </row>
    <row r="49" spans="1:15" s="64" customFormat="1" ht="12.6" customHeight="1" x14ac:dyDescent="0.3">
      <c r="A49" s="155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 t="shared" si="5"/>
        <v>0</v>
      </c>
    </row>
    <row r="50" spans="1:15" s="64" customFormat="1" ht="12.6" customHeight="1" x14ac:dyDescent="0.3">
      <c r="A50" s="156"/>
      <c r="B50" s="7" t="s">
        <v>32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24">
        <f t="shared" si="5"/>
        <v>0</v>
      </c>
    </row>
    <row r="51" spans="1:15" s="102" customFormat="1" ht="12" x14ac:dyDescent="0.25">
      <c r="A51" s="236"/>
      <c r="B51" s="99" t="s">
        <v>16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3">
        <f t="shared" si="5"/>
        <v>0</v>
      </c>
    </row>
    <row r="52" spans="1:15" s="102" customFormat="1" ht="12" x14ac:dyDescent="0.25">
      <c r="A52" s="235"/>
      <c r="B52" s="99" t="s">
        <v>29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0</v>
      </c>
      <c r="N52" s="100">
        <v>0</v>
      </c>
      <c r="O52" s="103">
        <f>SUM(C52:N52)</f>
        <v>0</v>
      </c>
    </row>
    <row r="53" spans="1:15" s="64" customFormat="1" ht="12.6" customHeight="1" x14ac:dyDescent="0.3">
      <c r="A53" s="155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 t="shared" si="5"/>
        <v>0</v>
      </c>
    </row>
    <row r="54" spans="1:15" s="64" customFormat="1" ht="12.6" customHeight="1" x14ac:dyDescent="0.3">
      <c r="A54" s="156"/>
      <c r="B54" s="7" t="s">
        <v>32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24">
        <f t="shared" si="5"/>
        <v>0</v>
      </c>
    </row>
    <row r="55" spans="1:15" s="102" customFormat="1" ht="12" x14ac:dyDescent="0.25">
      <c r="A55" s="236"/>
      <c r="B55" s="99" t="s">
        <v>16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3">
        <f t="shared" si="5"/>
        <v>0</v>
      </c>
    </row>
    <row r="56" spans="1:15" s="102" customFormat="1" ht="12" x14ac:dyDescent="0.25">
      <c r="A56" s="235"/>
      <c r="B56" s="99" t="s">
        <v>29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3">
        <f>SUM(C56:N56)</f>
        <v>0</v>
      </c>
    </row>
    <row r="57" spans="1:15" s="64" customFormat="1" ht="12.6" customHeight="1" x14ac:dyDescent="0.3">
      <c r="A57" s="155"/>
      <c r="B57" s="5" t="s">
        <v>31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7">
        <f t="shared" si="5"/>
        <v>0</v>
      </c>
    </row>
    <row r="58" spans="1:15" s="64" customFormat="1" ht="12.6" customHeight="1" x14ac:dyDescent="0.3">
      <c r="A58" s="156"/>
      <c r="B58" s="7" t="s">
        <v>32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24">
        <f t="shared" si="5"/>
        <v>0</v>
      </c>
    </row>
    <row r="59" spans="1:15" s="102" customFormat="1" ht="12" x14ac:dyDescent="0.25">
      <c r="A59" s="236"/>
      <c r="B59" s="99" t="s">
        <v>16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3">
        <f t="shared" si="5"/>
        <v>0</v>
      </c>
    </row>
    <row r="60" spans="1:15" s="102" customFormat="1" ht="12" x14ac:dyDescent="0.25">
      <c r="A60" s="235"/>
      <c r="B60" s="99" t="s">
        <v>29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3">
        <f>SUM(C60:N60)</f>
        <v>0</v>
      </c>
    </row>
    <row r="61" spans="1:15" s="64" customFormat="1" ht="12.6" customHeight="1" x14ac:dyDescent="0.3">
      <c r="A61" s="155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 t="shared" si="5"/>
        <v>0</v>
      </c>
    </row>
    <row r="62" spans="1:15" s="64" customFormat="1" ht="12.6" customHeight="1" x14ac:dyDescent="0.3">
      <c r="A62" s="156"/>
      <c r="B62" s="7" t="s">
        <v>32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24">
        <f t="shared" si="5"/>
        <v>0</v>
      </c>
    </row>
    <row r="63" spans="1:15" s="102" customFormat="1" ht="12" x14ac:dyDescent="0.25">
      <c r="A63" s="236"/>
      <c r="B63" s="99" t="s">
        <v>16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3">
        <f t="shared" si="5"/>
        <v>0</v>
      </c>
    </row>
    <row r="64" spans="1:15" s="102" customFormat="1" ht="12" x14ac:dyDescent="0.25">
      <c r="A64" s="235"/>
      <c r="B64" s="99" t="s">
        <v>29</v>
      </c>
      <c r="C64" s="100">
        <v>0</v>
      </c>
      <c r="D64" s="100">
        <v>0</v>
      </c>
      <c r="E64" s="100">
        <v>0</v>
      </c>
      <c r="F64" s="100">
        <v>0</v>
      </c>
      <c r="G64" s="100">
        <v>0</v>
      </c>
      <c r="H64" s="100">
        <v>0</v>
      </c>
      <c r="I64" s="100">
        <v>0</v>
      </c>
      <c r="J64" s="100">
        <v>0</v>
      </c>
      <c r="K64" s="100">
        <v>0</v>
      </c>
      <c r="L64" s="100">
        <v>0</v>
      </c>
      <c r="M64" s="100">
        <v>0</v>
      </c>
      <c r="N64" s="100">
        <v>0</v>
      </c>
      <c r="O64" s="103">
        <f>SUM(C64:N64)</f>
        <v>0</v>
      </c>
    </row>
    <row r="65" spans="1:15" s="64" customFormat="1" ht="12.6" customHeight="1" x14ac:dyDescent="0.3">
      <c r="A65" s="155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 t="shared" si="5"/>
        <v>0</v>
      </c>
    </row>
    <row r="66" spans="1:15" s="64" customFormat="1" ht="12.6" customHeight="1" x14ac:dyDescent="0.3">
      <c r="A66" s="156"/>
      <c r="B66" s="7" t="s">
        <v>32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24">
        <f t="shared" si="5"/>
        <v>0</v>
      </c>
    </row>
    <row r="67" spans="1:15" s="102" customFormat="1" ht="12.6" customHeight="1" x14ac:dyDescent="0.25">
      <c r="A67" s="236"/>
      <c r="B67" s="99" t="s">
        <v>16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3">
        <f t="shared" si="5"/>
        <v>0</v>
      </c>
    </row>
    <row r="68" spans="1:15" s="102" customFormat="1" ht="12" x14ac:dyDescent="0.25">
      <c r="A68" s="235"/>
      <c r="B68" s="99" t="s">
        <v>29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3">
        <f>SUM(C68:N68)</f>
        <v>0</v>
      </c>
    </row>
    <row r="69" spans="1:15" s="64" customFormat="1" x14ac:dyDescent="0.3">
      <c r="A69" s="155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 t="shared" si="5"/>
        <v>0</v>
      </c>
    </row>
    <row r="70" spans="1:15" s="64" customFormat="1" x14ac:dyDescent="0.3">
      <c r="A70" s="156"/>
      <c r="B70" s="7" t="s">
        <v>32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24">
        <f t="shared" si="5"/>
        <v>0</v>
      </c>
    </row>
    <row r="71" spans="1:15" s="102" customFormat="1" ht="12" x14ac:dyDescent="0.25">
      <c r="A71" s="236"/>
      <c r="B71" s="99" t="s">
        <v>16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3">
        <f t="shared" si="5"/>
        <v>0</v>
      </c>
    </row>
    <row r="72" spans="1:15" s="102" customFormat="1" ht="12" x14ac:dyDescent="0.25">
      <c r="A72" s="235"/>
      <c r="B72" s="99" t="s">
        <v>29</v>
      </c>
      <c r="C72" s="100">
        <v>0</v>
      </c>
      <c r="D72" s="100">
        <v>0</v>
      </c>
      <c r="E72" s="100">
        <v>0</v>
      </c>
      <c r="F72" s="100">
        <v>0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3">
        <f>SUM(C72:N72)</f>
        <v>0</v>
      </c>
    </row>
    <row r="73" spans="1:15" s="64" customFormat="1" x14ac:dyDescent="0.3">
      <c r="A73" s="155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 t="shared" si="5"/>
        <v>0</v>
      </c>
    </row>
    <row r="74" spans="1:15" s="64" customFormat="1" x14ac:dyDescent="0.3">
      <c r="A74" s="156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24">
        <f t="shared" si="5"/>
        <v>0</v>
      </c>
    </row>
    <row r="75" spans="1:15" s="102" customFormat="1" ht="12" x14ac:dyDescent="0.25">
      <c r="A75" s="236"/>
      <c r="B75" s="99" t="s">
        <v>16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3">
        <f t="shared" si="5"/>
        <v>0</v>
      </c>
    </row>
    <row r="76" spans="1:15" s="102" customFormat="1" ht="12" x14ac:dyDescent="0.25">
      <c r="A76" s="235"/>
      <c r="B76" s="99" t="s">
        <v>29</v>
      </c>
      <c r="C76" s="100">
        <v>0</v>
      </c>
      <c r="D76" s="100">
        <v>0</v>
      </c>
      <c r="E76" s="100">
        <v>0</v>
      </c>
      <c r="F76" s="100">
        <v>0</v>
      </c>
      <c r="G76" s="100">
        <v>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3">
        <f>SUM(C76:N76)</f>
        <v>0</v>
      </c>
    </row>
    <row r="77" spans="1:15" s="64" customFormat="1" x14ac:dyDescent="0.3">
      <c r="A77" s="155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7">
        <f t="shared" si="5"/>
        <v>0</v>
      </c>
    </row>
    <row r="78" spans="1:15" s="64" customFormat="1" x14ac:dyDescent="0.3">
      <c r="A78" s="156"/>
      <c r="B78" s="7" t="s">
        <v>32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24">
        <f t="shared" si="5"/>
        <v>0</v>
      </c>
    </row>
    <row r="79" spans="1:15" s="102" customFormat="1" ht="12" x14ac:dyDescent="0.25">
      <c r="A79" s="236"/>
      <c r="B79" s="99" t="s">
        <v>16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3">
        <f t="shared" si="5"/>
        <v>0</v>
      </c>
    </row>
    <row r="80" spans="1:15" s="102" customFormat="1" ht="12" x14ac:dyDescent="0.25">
      <c r="A80" s="235"/>
      <c r="B80" s="99" t="s">
        <v>29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3">
        <f>SUM(C80:N80)</f>
        <v>0</v>
      </c>
    </row>
    <row r="81" spans="1:15" s="64" customFormat="1" x14ac:dyDescent="0.3">
      <c r="A81" s="155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7">
        <f t="shared" si="5"/>
        <v>0</v>
      </c>
    </row>
    <row r="82" spans="1:15" s="64" customFormat="1" x14ac:dyDescent="0.3">
      <c r="A82" s="156"/>
      <c r="B82" s="7" t="s">
        <v>32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24">
        <f t="shared" si="5"/>
        <v>0</v>
      </c>
    </row>
    <row r="83" spans="1:15" s="102" customFormat="1" ht="12" x14ac:dyDescent="0.25">
      <c r="A83" s="236"/>
      <c r="B83" s="99" t="s">
        <v>16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3">
        <f t="shared" si="5"/>
        <v>0</v>
      </c>
    </row>
    <row r="84" spans="1:15" s="102" customFormat="1" ht="12" x14ac:dyDescent="0.25">
      <c r="A84" s="235"/>
      <c r="B84" s="99" t="s">
        <v>29</v>
      </c>
      <c r="C84" s="100">
        <v>0</v>
      </c>
      <c r="D84" s="100">
        <v>0</v>
      </c>
      <c r="E84" s="100">
        <v>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3">
        <f>SUM(C84:N84)</f>
        <v>0</v>
      </c>
    </row>
    <row r="85" spans="1:15" s="64" customFormat="1" x14ac:dyDescent="0.3">
      <c r="A85" s="155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7">
        <f t="shared" si="5"/>
        <v>0</v>
      </c>
    </row>
    <row r="86" spans="1:15" s="64" customFormat="1" x14ac:dyDescent="0.3">
      <c r="A86" s="156"/>
      <c r="B86" s="7" t="s">
        <v>32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24">
        <f t="shared" si="5"/>
        <v>0</v>
      </c>
    </row>
    <row r="87" spans="1:15" s="102" customFormat="1" ht="12" x14ac:dyDescent="0.25">
      <c r="A87" s="236"/>
      <c r="B87" s="99" t="s">
        <v>16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3">
        <f t="shared" si="5"/>
        <v>0</v>
      </c>
    </row>
    <row r="88" spans="1:15" s="102" customFormat="1" ht="12" x14ac:dyDescent="0.25">
      <c r="A88" s="235"/>
      <c r="B88" s="99" t="s">
        <v>29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3">
        <f>SUM(C88:N88)</f>
        <v>0</v>
      </c>
    </row>
    <row r="89" spans="1:15" s="64" customFormat="1" x14ac:dyDescent="0.3">
      <c r="A89" s="155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7">
        <f t="shared" si="5"/>
        <v>0</v>
      </c>
    </row>
    <row r="90" spans="1:15" s="64" customFormat="1" x14ac:dyDescent="0.3">
      <c r="A90" s="156"/>
      <c r="B90" s="7" t="s">
        <v>32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24">
        <f t="shared" si="5"/>
        <v>0</v>
      </c>
    </row>
    <row r="91" spans="1:15" s="102" customFormat="1" ht="12" x14ac:dyDescent="0.25">
      <c r="A91" s="236"/>
      <c r="B91" s="99" t="s">
        <v>16</v>
      </c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3">
        <f t="shared" si="5"/>
        <v>0</v>
      </c>
    </row>
    <row r="92" spans="1:15" s="102" customFormat="1" ht="12" x14ac:dyDescent="0.25">
      <c r="A92" s="235"/>
      <c r="B92" s="99" t="s">
        <v>29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100">
        <v>0</v>
      </c>
      <c r="N92" s="100">
        <v>0</v>
      </c>
      <c r="O92" s="103">
        <f>SUM(C92:N92)</f>
        <v>0</v>
      </c>
    </row>
    <row r="93" spans="1:15" s="64" customFormat="1" x14ac:dyDescent="0.3">
      <c r="A93" s="155"/>
      <c r="B93" s="5" t="s">
        <v>31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7">
        <f t="shared" si="5"/>
        <v>0</v>
      </c>
    </row>
    <row r="94" spans="1:15" s="64" customFormat="1" x14ac:dyDescent="0.3">
      <c r="A94" s="156"/>
      <c r="B94" s="7" t="s">
        <v>32</v>
      </c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24">
        <f t="shared" si="5"/>
        <v>0</v>
      </c>
    </row>
    <row r="95" spans="1:15" s="102" customFormat="1" ht="12" x14ac:dyDescent="0.25">
      <c r="A95" s="236"/>
      <c r="B95" s="99" t="s">
        <v>16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3">
        <f t="shared" ref="O95:O110" si="6">SUM(C95:N95)</f>
        <v>0</v>
      </c>
    </row>
    <row r="96" spans="1:15" s="102" customFormat="1" ht="12" x14ac:dyDescent="0.25">
      <c r="A96" s="235"/>
      <c r="B96" s="99" t="s">
        <v>29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100">
        <v>0</v>
      </c>
      <c r="N96" s="100">
        <v>0</v>
      </c>
      <c r="O96" s="103">
        <f>SUM(C96:N96)</f>
        <v>0</v>
      </c>
    </row>
    <row r="97" spans="1:15" s="64" customFormat="1" x14ac:dyDescent="0.3">
      <c r="A97" s="155"/>
      <c r="B97" s="5" t="s">
        <v>31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7">
        <f t="shared" si="6"/>
        <v>0</v>
      </c>
    </row>
    <row r="98" spans="1:15" s="64" customFormat="1" x14ac:dyDescent="0.3">
      <c r="A98" s="156"/>
      <c r="B98" s="7" t="s">
        <v>32</v>
      </c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24">
        <f t="shared" si="6"/>
        <v>0</v>
      </c>
    </row>
    <row r="99" spans="1:15" s="102" customFormat="1" ht="12" x14ac:dyDescent="0.25">
      <c r="A99" s="236"/>
      <c r="B99" s="99" t="s">
        <v>16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3">
        <f t="shared" si="6"/>
        <v>0</v>
      </c>
    </row>
    <row r="100" spans="1:15" s="102" customFormat="1" ht="12" x14ac:dyDescent="0.25">
      <c r="A100" s="235"/>
      <c r="B100" s="99" t="s">
        <v>29</v>
      </c>
      <c r="C100" s="100">
        <v>0</v>
      </c>
      <c r="D100" s="100">
        <v>0</v>
      </c>
      <c r="E100" s="100">
        <v>0</v>
      </c>
      <c r="F100" s="100">
        <v>0</v>
      </c>
      <c r="G100" s="100">
        <v>0</v>
      </c>
      <c r="H100" s="100">
        <v>0</v>
      </c>
      <c r="I100" s="100">
        <v>0</v>
      </c>
      <c r="J100" s="100">
        <v>0</v>
      </c>
      <c r="K100" s="100">
        <v>0</v>
      </c>
      <c r="L100" s="100">
        <v>0</v>
      </c>
      <c r="M100" s="100">
        <v>0</v>
      </c>
      <c r="N100" s="100">
        <v>0</v>
      </c>
      <c r="O100" s="103">
        <f>SUM(C100:N100)</f>
        <v>0</v>
      </c>
    </row>
    <row r="101" spans="1:15" s="64" customFormat="1" x14ac:dyDescent="0.3">
      <c r="A101" s="155"/>
      <c r="B101" s="5" t="s">
        <v>31</v>
      </c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7">
        <f t="shared" si="6"/>
        <v>0</v>
      </c>
    </row>
    <row r="102" spans="1:15" s="64" customFormat="1" x14ac:dyDescent="0.3">
      <c r="A102" s="156"/>
      <c r="B102" s="7" t="s">
        <v>32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24">
        <f t="shared" si="6"/>
        <v>0</v>
      </c>
    </row>
    <row r="103" spans="1:15" s="102" customFormat="1" ht="12" x14ac:dyDescent="0.25">
      <c r="A103" s="236"/>
      <c r="B103" s="99" t="s">
        <v>16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3">
        <f t="shared" si="6"/>
        <v>0</v>
      </c>
    </row>
    <row r="104" spans="1:15" s="102" customFormat="1" ht="12" x14ac:dyDescent="0.25">
      <c r="A104" s="235"/>
      <c r="B104" s="99" t="s">
        <v>29</v>
      </c>
      <c r="C104" s="100">
        <v>0</v>
      </c>
      <c r="D104" s="100">
        <v>0</v>
      </c>
      <c r="E104" s="100">
        <v>0</v>
      </c>
      <c r="F104" s="100">
        <v>0</v>
      </c>
      <c r="G104" s="100">
        <v>0</v>
      </c>
      <c r="H104" s="100">
        <v>0</v>
      </c>
      <c r="I104" s="100">
        <v>0</v>
      </c>
      <c r="J104" s="100">
        <v>0</v>
      </c>
      <c r="K104" s="100">
        <v>0</v>
      </c>
      <c r="L104" s="100">
        <v>0</v>
      </c>
      <c r="M104" s="100">
        <v>0</v>
      </c>
      <c r="N104" s="100">
        <v>0</v>
      </c>
      <c r="O104" s="103">
        <f>SUM(C104:N104)</f>
        <v>0</v>
      </c>
    </row>
    <row r="105" spans="1:15" s="64" customFormat="1" x14ac:dyDescent="0.3">
      <c r="A105" s="155"/>
      <c r="B105" s="5" t="s">
        <v>31</v>
      </c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7">
        <f t="shared" si="6"/>
        <v>0</v>
      </c>
    </row>
    <row r="106" spans="1:15" s="64" customFormat="1" x14ac:dyDescent="0.3">
      <c r="A106" s="156"/>
      <c r="B106" s="7" t="s">
        <v>32</v>
      </c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24">
        <f t="shared" si="6"/>
        <v>0</v>
      </c>
    </row>
    <row r="107" spans="1:15" s="102" customFormat="1" ht="12" x14ac:dyDescent="0.25">
      <c r="A107" s="236"/>
      <c r="B107" s="99" t="s">
        <v>16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3">
        <f t="shared" si="6"/>
        <v>0</v>
      </c>
    </row>
    <row r="108" spans="1:15" s="102" customFormat="1" ht="12" x14ac:dyDescent="0.25">
      <c r="A108" s="235"/>
      <c r="B108" s="99" t="s">
        <v>29</v>
      </c>
      <c r="C108" s="100">
        <v>0</v>
      </c>
      <c r="D108" s="100">
        <v>0</v>
      </c>
      <c r="E108" s="100">
        <v>0</v>
      </c>
      <c r="F108" s="100">
        <v>0</v>
      </c>
      <c r="G108" s="100">
        <v>0</v>
      </c>
      <c r="H108" s="100">
        <v>0</v>
      </c>
      <c r="I108" s="100">
        <v>0</v>
      </c>
      <c r="J108" s="100">
        <v>0</v>
      </c>
      <c r="K108" s="100">
        <v>0</v>
      </c>
      <c r="L108" s="100">
        <v>0</v>
      </c>
      <c r="M108" s="100">
        <v>0</v>
      </c>
      <c r="N108" s="100">
        <v>0</v>
      </c>
      <c r="O108" s="103">
        <f t="shared" si="6"/>
        <v>0</v>
      </c>
    </row>
    <row r="109" spans="1:15" s="64" customFormat="1" x14ac:dyDescent="0.3">
      <c r="A109" s="155"/>
      <c r="B109" s="5" t="s">
        <v>31</v>
      </c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7">
        <f>SUM(C109:N109)</f>
        <v>0</v>
      </c>
    </row>
    <row r="110" spans="1:15" s="64" customFormat="1" x14ac:dyDescent="0.3">
      <c r="A110" s="156"/>
      <c r="B110" s="7" t="s">
        <v>32</v>
      </c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24">
        <f t="shared" si="6"/>
        <v>0</v>
      </c>
    </row>
    <row r="111" spans="1:15" s="102" customFormat="1" ht="12" x14ac:dyDescent="0.25">
      <c r="A111" s="243"/>
      <c r="B111" s="99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29"/>
    </row>
    <row r="112" spans="1:15" s="102" customFormat="1" ht="12" x14ac:dyDescent="0.25">
      <c r="A112" s="237"/>
    </row>
    <row r="113" spans="1:1" s="64" customFormat="1" x14ac:dyDescent="0.3">
      <c r="A113" s="159"/>
    </row>
    <row r="114" spans="1:1" s="64" customFormat="1" x14ac:dyDescent="0.3">
      <c r="A114" s="159"/>
    </row>
    <row r="115" spans="1:1" s="102" customFormat="1" ht="12" x14ac:dyDescent="0.25">
      <c r="A115" s="252"/>
    </row>
    <row r="116" spans="1:1" s="102" customFormat="1" ht="12" x14ac:dyDescent="0.25">
      <c r="A116" s="252"/>
    </row>
    <row r="117" spans="1:1" s="64" customFormat="1" x14ac:dyDescent="0.3">
      <c r="A117" s="159"/>
    </row>
    <row r="118" spans="1:1" s="64" customFormat="1" x14ac:dyDescent="0.3">
      <c r="A118" s="159"/>
    </row>
    <row r="119" spans="1:1" s="102" customFormat="1" ht="12" x14ac:dyDescent="0.25">
      <c r="A119" s="252"/>
    </row>
    <row r="120" spans="1:1" s="102" customFormat="1" ht="12" x14ac:dyDescent="0.25">
      <c r="A120" s="252"/>
    </row>
    <row r="121" spans="1:1" s="64" customFormat="1" x14ac:dyDescent="0.3">
      <c r="A121" s="159"/>
    </row>
    <row r="122" spans="1:1" s="64" customFormat="1" x14ac:dyDescent="0.3">
      <c r="A122" s="159"/>
    </row>
    <row r="123" spans="1:1" s="102" customFormat="1" ht="12" x14ac:dyDescent="0.25">
      <c r="A123" s="252"/>
    </row>
    <row r="124" spans="1:1" s="102" customFormat="1" ht="12" x14ac:dyDescent="0.25">
      <c r="A124" s="252"/>
    </row>
    <row r="125" spans="1:1" s="64" customFormat="1" ht="11.4" customHeight="1" x14ac:dyDescent="0.3">
      <c r="A125" s="159"/>
    </row>
    <row r="126" spans="1:1" s="64" customFormat="1" x14ac:dyDescent="0.3">
      <c r="A126" s="159"/>
    </row>
    <row r="127" spans="1:1" s="102" customFormat="1" ht="12" x14ac:dyDescent="0.25">
      <c r="A127" s="252"/>
    </row>
    <row r="128" spans="1:1" s="102" customFormat="1" ht="12" x14ac:dyDescent="0.25">
      <c r="A128" s="252"/>
    </row>
    <row r="129" spans="1:1" s="64" customFormat="1" x14ac:dyDescent="0.3">
      <c r="A129" s="159"/>
    </row>
    <row r="130" spans="1:1" s="64" customFormat="1" x14ac:dyDescent="0.3">
      <c r="A130" s="159"/>
    </row>
    <row r="131" spans="1:1" s="102" customFormat="1" ht="12" x14ac:dyDescent="0.25">
      <c r="A131" s="252"/>
    </row>
    <row r="132" spans="1:1" s="102" customFormat="1" ht="12" x14ac:dyDescent="0.25">
      <c r="A132" s="252"/>
    </row>
    <row r="133" spans="1:1" s="64" customFormat="1" x14ac:dyDescent="0.3">
      <c r="A133" s="159"/>
    </row>
    <row r="134" spans="1:1" s="64" customFormat="1" x14ac:dyDescent="0.3">
      <c r="A134" s="159"/>
    </row>
    <row r="135" spans="1:1" s="102" customFormat="1" ht="12" x14ac:dyDescent="0.25">
      <c r="A135" s="252"/>
    </row>
    <row r="136" spans="1:1" s="102" customFormat="1" ht="12" x14ac:dyDescent="0.25">
      <c r="A136" s="252"/>
    </row>
    <row r="137" spans="1:1" s="64" customFormat="1" x14ac:dyDescent="0.3">
      <c r="A137" s="159"/>
    </row>
    <row r="138" spans="1:1" s="64" customFormat="1" x14ac:dyDescent="0.3">
      <c r="A138" s="159"/>
    </row>
    <row r="139" spans="1:1" s="102" customFormat="1" ht="12" x14ac:dyDescent="0.25">
      <c r="A139" s="252"/>
    </row>
    <row r="140" spans="1:1" s="102" customFormat="1" ht="12" x14ac:dyDescent="0.25">
      <c r="A140" s="252"/>
    </row>
    <row r="141" spans="1:1" s="64" customFormat="1" x14ac:dyDescent="0.3">
      <c r="A141" s="159"/>
    </row>
    <row r="142" spans="1:1" s="64" customFormat="1" x14ac:dyDescent="0.3">
      <c r="A142" s="159"/>
    </row>
    <row r="143" spans="1:1" s="102" customFormat="1" ht="12" x14ac:dyDescent="0.25">
      <c r="A143" s="252"/>
    </row>
    <row r="144" spans="1:1" s="102" customFormat="1" ht="12" x14ac:dyDescent="0.25">
      <c r="A144" s="252"/>
    </row>
    <row r="145" spans="1:1" s="64" customFormat="1" x14ac:dyDescent="0.3">
      <c r="A145" s="159"/>
    </row>
    <row r="146" spans="1:1" s="64" customFormat="1" x14ac:dyDescent="0.3">
      <c r="A146" s="159"/>
    </row>
    <row r="147" spans="1:1" s="102" customFormat="1" ht="12" x14ac:dyDescent="0.25">
      <c r="A147" s="252"/>
    </row>
    <row r="148" spans="1:1" s="102" customFormat="1" ht="12" x14ac:dyDescent="0.25">
      <c r="A148" s="252"/>
    </row>
    <row r="149" spans="1:1" s="64" customFormat="1" x14ac:dyDescent="0.3">
      <c r="A149" s="159"/>
    </row>
    <row r="150" spans="1:1" s="64" customFormat="1" x14ac:dyDescent="0.3">
      <c r="A150" s="159"/>
    </row>
    <row r="151" spans="1:1" s="102" customFormat="1" ht="12" x14ac:dyDescent="0.25">
      <c r="A151" s="252"/>
    </row>
    <row r="152" spans="1:1" s="102" customFormat="1" ht="12" x14ac:dyDescent="0.25">
      <c r="A152" s="252"/>
    </row>
    <row r="153" spans="1:1" s="64" customFormat="1" x14ac:dyDescent="0.3">
      <c r="A153" s="159"/>
    </row>
    <row r="154" spans="1:1" s="64" customFormat="1" x14ac:dyDescent="0.3">
      <c r="A154" s="159"/>
    </row>
    <row r="155" spans="1:1" s="102" customFormat="1" ht="12" x14ac:dyDescent="0.25">
      <c r="A155" s="252"/>
    </row>
    <row r="156" spans="1:1" s="102" customFormat="1" ht="12" x14ac:dyDescent="0.25">
      <c r="A156" s="252"/>
    </row>
    <row r="157" spans="1:1" s="64" customFormat="1" x14ac:dyDescent="0.3">
      <c r="A157" s="159"/>
    </row>
    <row r="158" spans="1:1" s="64" customFormat="1" x14ac:dyDescent="0.3">
      <c r="A158" s="159"/>
    </row>
    <row r="159" spans="1:1" s="102" customFormat="1" ht="12" x14ac:dyDescent="0.25">
      <c r="A159" s="252"/>
    </row>
    <row r="160" spans="1:1" s="102" customFormat="1" ht="12" x14ac:dyDescent="0.25">
      <c r="A160" s="252"/>
    </row>
    <row r="161" spans="1:1" s="64" customFormat="1" x14ac:dyDescent="0.3">
      <c r="A161" s="159"/>
    </row>
    <row r="162" spans="1:1" s="64" customFormat="1" x14ac:dyDescent="0.3">
      <c r="A162" s="159"/>
    </row>
    <row r="163" spans="1:1" s="102" customFormat="1" ht="12" x14ac:dyDescent="0.25">
      <c r="A163" s="252"/>
    </row>
    <row r="164" spans="1:1" s="102" customFormat="1" ht="12" x14ac:dyDescent="0.25">
      <c r="A164" s="252"/>
    </row>
    <row r="165" spans="1:1" s="64" customFormat="1" x14ac:dyDescent="0.3">
      <c r="A165" s="159"/>
    </row>
    <row r="166" spans="1:1" s="64" customFormat="1" x14ac:dyDescent="0.3">
      <c r="A166" s="159"/>
    </row>
    <row r="167" spans="1:1" s="102" customFormat="1" ht="12" x14ac:dyDescent="0.25">
      <c r="A167" s="252"/>
    </row>
    <row r="168" spans="1:1" s="102" customFormat="1" ht="12" x14ac:dyDescent="0.25">
      <c r="A168" s="252"/>
    </row>
    <row r="169" spans="1:1" s="64" customFormat="1" x14ac:dyDescent="0.3">
      <c r="A169" s="159"/>
    </row>
    <row r="170" spans="1:1" s="64" customFormat="1" x14ac:dyDescent="0.3">
      <c r="A170" s="159"/>
    </row>
    <row r="171" spans="1:1" s="102" customFormat="1" ht="12" x14ac:dyDescent="0.25">
      <c r="A171" s="252"/>
    </row>
    <row r="172" spans="1:1" s="102" customFormat="1" ht="12" x14ac:dyDescent="0.25">
      <c r="A172" s="252"/>
    </row>
    <row r="173" spans="1:1" s="64" customFormat="1" x14ac:dyDescent="0.3">
      <c r="A173" s="159"/>
    </row>
    <row r="174" spans="1:1" s="64" customFormat="1" x14ac:dyDescent="0.3">
      <c r="A174" s="159"/>
    </row>
    <row r="175" spans="1:1" s="102" customFormat="1" ht="12" x14ac:dyDescent="0.25">
      <c r="A175" s="252"/>
    </row>
    <row r="176" spans="1:1" s="102" customFormat="1" ht="12" x14ac:dyDescent="0.25">
      <c r="A176" s="252"/>
    </row>
    <row r="177" spans="1:1" s="64" customFormat="1" x14ac:dyDescent="0.3">
      <c r="A177" s="159"/>
    </row>
    <row r="178" spans="1:1" s="64" customFormat="1" x14ac:dyDescent="0.3">
      <c r="A178" s="159"/>
    </row>
    <row r="179" spans="1:1" s="102" customFormat="1" ht="12" x14ac:dyDescent="0.25">
      <c r="A179" s="252"/>
    </row>
    <row r="180" spans="1:1" s="102" customFormat="1" ht="12" x14ac:dyDescent="0.25">
      <c r="A180" s="252"/>
    </row>
    <row r="181" spans="1:1" s="64" customFormat="1" x14ac:dyDescent="0.3">
      <c r="A181" s="159"/>
    </row>
    <row r="182" spans="1:1" s="64" customFormat="1" x14ac:dyDescent="0.3">
      <c r="A182" s="159"/>
    </row>
    <row r="183" spans="1:1" s="102" customFormat="1" ht="12" x14ac:dyDescent="0.25">
      <c r="A183" s="252"/>
    </row>
    <row r="184" spans="1:1" s="102" customFormat="1" ht="12" x14ac:dyDescent="0.25">
      <c r="A184" s="252"/>
    </row>
    <row r="185" spans="1:1" s="64" customFormat="1" x14ac:dyDescent="0.3">
      <c r="A185" s="159"/>
    </row>
    <row r="186" spans="1:1" s="64" customFormat="1" x14ac:dyDescent="0.3">
      <c r="A186" s="159"/>
    </row>
    <row r="187" spans="1:1" s="102" customFormat="1" ht="12" x14ac:dyDescent="0.25">
      <c r="A187" s="252"/>
    </row>
    <row r="188" spans="1:1" s="102" customFormat="1" ht="12" x14ac:dyDescent="0.25">
      <c r="A188" s="252"/>
    </row>
    <row r="189" spans="1:1" s="64" customFormat="1" x14ac:dyDescent="0.3">
      <c r="A189" s="159"/>
    </row>
    <row r="190" spans="1:1" s="64" customFormat="1" x14ac:dyDescent="0.3">
      <c r="A190" s="159"/>
    </row>
    <row r="191" spans="1:1" s="102" customFormat="1" ht="12" x14ac:dyDescent="0.25">
      <c r="A191" s="252"/>
    </row>
    <row r="192" spans="1:1" s="102" customFormat="1" ht="12" x14ac:dyDescent="0.25">
      <c r="A192" s="252"/>
    </row>
    <row r="193" spans="1:1" s="64" customFormat="1" x14ac:dyDescent="0.3">
      <c r="A193" s="159"/>
    </row>
    <row r="194" spans="1:1" s="64" customFormat="1" x14ac:dyDescent="0.3">
      <c r="A194" s="159"/>
    </row>
    <row r="195" spans="1:1" s="102" customFormat="1" ht="12" x14ac:dyDescent="0.25">
      <c r="A195" s="252"/>
    </row>
    <row r="196" spans="1:1" s="102" customFormat="1" ht="12" x14ac:dyDescent="0.25">
      <c r="A196" s="252"/>
    </row>
    <row r="197" spans="1:1" s="64" customFormat="1" x14ac:dyDescent="0.3">
      <c r="A197" s="159"/>
    </row>
    <row r="198" spans="1:1" s="64" customFormat="1" x14ac:dyDescent="0.3">
      <c r="A198" s="159"/>
    </row>
    <row r="199" spans="1:1" s="102" customFormat="1" ht="12" x14ac:dyDescent="0.25">
      <c r="A199" s="252"/>
    </row>
    <row r="200" spans="1:1" s="102" customFormat="1" ht="12" x14ac:dyDescent="0.25">
      <c r="A200" s="252"/>
    </row>
    <row r="201" spans="1:1" s="64" customFormat="1" x14ac:dyDescent="0.3">
      <c r="A201" s="159"/>
    </row>
    <row r="202" spans="1:1" s="64" customFormat="1" x14ac:dyDescent="0.3">
      <c r="A202" s="159"/>
    </row>
    <row r="203" spans="1:1" s="102" customFormat="1" ht="12" x14ac:dyDescent="0.25">
      <c r="A203" s="252"/>
    </row>
    <row r="204" spans="1:1" s="102" customFormat="1" ht="12" x14ac:dyDescent="0.25">
      <c r="A204" s="252"/>
    </row>
    <row r="205" spans="1:1" s="64" customFormat="1" x14ac:dyDescent="0.3">
      <c r="A205" s="159"/>
    </row>
    <row r="206" spans="1:1" s="64" customFormat="1" x14ac:dyDescent="0.3">
      <c r="A206" s="159"/>
    </row>
    <row r="207" spans="1:1" s="102" customFormat="1" ht="12" x14ac:dyDescent="0.25">
      <c r="A207" s="252"/>
    </row>
    <row r="208" spans="1:1" s="102" customFormat="1" ht="12" x14ac:dyDescent="0.25">
      <c r="A208" s="252"/>
    </row>
    <row r="209" spans="1:1" s="64" customFormat="1" x14ac:dyDescent="0.3">
      <c r="A209" s="159"/>
    </row>
    <row r="210" spans="1:1" s="64" customFormat="1" x14ac:dyDescent="0.3">
      <c r="A210" s="159"/>
    </row>
    <row r="211" spans="1:1" s="102" customFormat="1" ht="12" x14ac:dyDescent="0.25">
      <c r="A211" s="252"/>
    </row>
    <row r="212" spans="1:1" s="102" customFormat="1" ht="12" x14ac:dyDescent="0.25">
      <c r="A212" s="252"/>
    </row>
    <row r="213" spans="1:1" s="64" customFormat="1" x14ac:dyDescent="0.3">
      <c r="A213" s="159"/>
    </row>
    <row r="214" spans="1:1" s="64" customFormat="1" x14ac:dyDescent="0.3">
      <c r="A214" s="159"/>
    </row>
    <row r="215" spans="1:1" s="102" customFormat="1" ht="12" x14ac:dyDescent="0.25">
      <c r="A215" s="252"/>
    </row>
    <row r="216" spans="1:1" s="102" customFormat="1" ht="12" x14ac:dyDescent="0.25">
      <c r="A216" s="252"/>
    </row>
    <row r="217" spans="1:1" s="64" customFormat="1" x14ac:dyDescent="0.3">
      <c r="A217" s="107"/>
    </row>
    <row r="218" spans="1:1" s="64" customFormat="1" x14ac:dyDescent="0.3">
      <c r="A218" s="107"/>
    </row>
  </sheetData>
  <mergeCells count="54">
    <mergeCell ref="A215:A216"/>
    <mergeCell ref="A3:A6"/>
    <mergeCell ref="A195:A196"/>
    <mergeCell ref="A199:A200"/>
    <mergeCell ref="A203:A204"/>
    <mergeCell ref="A207:A208"/>
    <mergeCell ref="A211:A212"/>
    <mergeCell ref="A175:A176"/>
    <mergeCell ref="A179:A180"/>
    <mergeCell ref="A183:A184"/>
    <mergeCell ref="A187:A188"/>
    <mergeCell ref="A191:A192"/>
    <mergeCell ref="A155:A156"/>
    <mergeCell ref="A159:A160"/>
    <mergeCell ref="A163:A164"/>
    <mergeCell ref="A167:A168"/>
    <mergeCell ref="A131:A132"/>
    <mergeCell ref="A171:A172"/>
    <mergeCell ref="A135:A136"/>
    <mergeCell ref="A139:A140"/>
    <mergeCell ref="A143:A144"/>
    <mergeCell ref="A147:A148"/>
    <mergeCell ref="A151:A152"/>
    <mergeCell ref="A111:A112"/>
    <mergeCell ref="A115:A116"/>
    <mergeCell ref="A119:A120"/>
    <mergeCell ref="A123:A124"/>
    <mergeCell ref="A127:A128"/>
    <mergeCell ref="A99:A100"/>
    <mergeCell ref="A103:A104"/>
    <mergeCell ref="A107:A108"/>
    <mergeCell ref="A87:A88"/>
    <mergeCell ref="A91:A92"/>
    <mergeCell ref="A55:A56"/>
    <mergeCell ref="A59:A60"/>
    <mergeCell ref="A63:A64"/>
    <mergeCell ref="A67:A68"/>
    <mergeCell ref="A95:A96"/>
    <mergeCell ref="A1:O1"/>
    <mergeCell ref="A71:A72"/>
    <mergeCell ref="A75:A76"/>
    <mergeCell ref="A79:A80"/>
    <mergeCell ref="A83:A84"/>
    <mergeCell ref="A11:A12"/>
    <mergeCell ref="A15:A16"/>
    <mergeCell ref="A19:A20"/>
    <mergeCell ref="A23:A24"/>
    <mergeCell ref="A27:A28"/>
    <mergeCell ref="A31:A32"/>
    <mergeCell ref="A35:A36"/>
    <mergeCell ref="A39:A40"/>
    <mergeCell ref="A43:A44"/>
    <mergeCell ref="A47:A48"/>
    <mergeCell ref="A51:A52"/>
  </mergeCells>
  <conditionalFormatting sqref="C6:N6">
    <cfRule type="cellIs" dxfId="13" priority="1" operator="greaterThan">
      <formula>C5*1.15</formula>
    </cfRule>
    <cfRule type="cellIs" dxfId="12" priority="2" operator="lessThan">
      <formula>C5*0.85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1EDD-F99A-4959-B8A5-1C3573E1447D}">
  <sheetPr codeName="Sheet11"/>
  <dimension ref="A1:P218"/>
  <sheetViews>
    <sheetView zoomScale="46" zoomScaleNormal="10" workbookViewId="0">
      <pane xSplit="1" ySplit="2" topLeftCell="H13" activePane="bottomRight" state="frozen"/>
      <selection pane="topRight" activeCell="M13" sqref="M13"/>
      <selection pane="bottomLeft" activeCell="M13" sqref="M13"/>
      <selection pane="bottomRight" activeCell="A19" sqref="A19:A20"/>
    </sheetView>
  </sheetViews>
  <sheetFormatPr defaultColWidth="9.109375" defaultRowHeight="14.4" x14ac:dyDescent="0.3"/>
  <cols>
    <col min="1" max="1" width="48.109375" style="52" bestFit="1" customWidth="1"/>
    <col min="2" max="2" width="22.88671875" style="52" bestFit="1" customWidth="1"/>
    <col min="3" max="14" width="13" style="52" customWidth="1"/>
    <col min="15" max="15" width="13.109375" style="52" customWidth="1"/>
    <col min="16" max="16384" width="9.109375" style="52"/>
  </cols>
  <sheetData>
    <row r="1" spans="1:16" ht="27.75" customHeight="1" x14ac:dyDescent="0.6">
      <c r="A1" s="232" t="s">
        <v>291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16" x14ac:dyDescent="0.3">
      <c r="A2" s="68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69" t="s">
        <v>7</v>
      </c>
      <c r="J2" s="69" t="s">
        <v>8</v>
      </c>
      <c r="K2" s="69" t="s">
        <v>9</v>
      </c>
      <c r="L2" s="69" t="s">
        <v>10</v>
      </c>
      <c r="M2" s="69" t="s">
        <v>11</v>
      </c>
      <c r="N2" s="69" t="s">
        <v>12</v>
      </c>
      <c r="O2" s="69" t="s">
        <v>13</v>
      </c>
    </row>
    <row r="3" spans="1:16" s="102" customFormat="1" ht="14.4" customHeight="1" x14ac:dyDescent="0.25">
      <c r="A3" s="239" t="s">
        <v>15</v>
      </c>
      <c r="B3" s="181" t="s">
        <v>16</v>
      </c>
      <c r="C3" s="130">
        <v>3692.5</v>
      </c>
      <c r="D3" s="182">
        <f>SUMIFS(D$11:D996,$B$11:$B996,"Actual 2024")</f>
        <v>0</v>
      </c>
      <c r="E3" s="182">
        <f>SUMIFS(E$11:E996,$B$11:$B996,"Actual 2024")</f>
        <v>0</v>
      </c>
      <c r="F3" s="182">
        <f>SUMIFS(F$11:F996,$B$11:$B996,"Actual 2024")</f>
        <v>0</v>
      </c>
      <c r="G3" s="182">
        <f>SUMIFS(G$11:G996,$B$11:$B996,"Actual 2024")</f>
        <v>0</v>
      </c>
      <c r="H3" s="182">
        <f>SUMIFS(H$11:H996,$B$11:$B996,"Actual 2024")</f>
        <v>0</v>
      </c>
      <c r="I3" s="185">
        <f>SUMIFS(I$11:I996,$B$11:$B996,"Actual 2024")</f>
        <v>0</v>
      </c>
      <c r="J3" s="185">
        <f>SUMIFS(J$11:J996,$B$11:$B996,"Actual 2024")</f>
        <v>0</v>
      </c>
      <c r="K3" s="185">
        <f>SUMIFS(K$11:K996,$B$11:$B996,"Actual 2024")</f>
        <v>0</v>
      </c>
      <c r="L3" s="185">
        <f>SUMIFS(L$11:L996,$B$11:$B996,"Actual 2024")</f>
        <v>0</v>
      </c>
      <c r="M3" s="185">
        <f>SUMIFS(M$11:M996,$B$11:$B996,"Actual 2024")</f>
        <v>0</v>
      </c>
      <c r="N3" s="185">
        <f>SUMIFS(N$11:N996,$B$11:$B996,"Actual 2024")</f>
        <v>0</v>
      </c>
      <c r="O3" s="183">
        <f>SUMIFS(O$11:O996,$B$11:$B996,"Actual 2024")</f>
        <v>0</v>
      </c>
    </row>
    <row r="4" spans="1:16" s="102" customFormat="1" ht="14.4" customHeight="1" x14ac:dyDescent="0.25">
      <c r="A4" s="240"/>
      <c r="B4" s="184" t="s">
        <v>27</v>
      </c>
      <c r="C4" s="189">
        <f>SUMIFS(C$11:C996,$B$11:$B996,"Estimated")</f>
        <v>38895.53</v>
      </c>
      <c r="D4" s="189">
        <f>SUMIFS(D$11:D996,$B$11:$B996,"Estimated")</f>
        <v>0</v>
      </c>
      <c r="E4" s="189">
        <f>SUMIFS(E$11:E996,$B$11:$B996,"Estimated")</f>
        <v>0</v>
      </c>
      <c r="F4" s="189">
        <f>SUMIFS(F$11:F996,$B$11:$B996,"Estimated")</f>
        <v>236.17</v>
      </c>
      <c r="G4" s="189">
        <f>SUMIFS(G$11:G996,$B$11:$B996,"Estimated")</f>
        <v>0</v>
      </c>
      <c r="H4" s="189">
        <f>SUMIFS(H$11:H996,$B$11:$B996,"Estimated")</f>
        <v>0</v>
      </c>
      <c r="I4" s="192">
        <f>SUMIFS(I$11:I996,$B$11:$B996,"Estimated")</f>
        <v>0</v>
      </c>
      <c r="J4" s="192">
        <f>SUMIFS(J$11:J996,$B$11:$B996,"Estimated")</f>
        <v>0</v>
      </c>
      <c r="K4" s="192">
        <f>SUMIFS(K$11:K996,$B$11:$B996,"Estimated")</f>
        <v>0</v>
      </c>
      <c r="L4" s="192">
        <f>SUMIFS(L$11:L996,$B$11:$B996,"Estimated")</f>
        <v>0</v>
      </c>
      <c r="M4" s="192">
        <f>SUMIFS(M$11:M996,$B$11:$B996,"Estimated")</f>
        <v>0</v>
      </c>
      <c r="N4" s="192">
        <f>SUMIFS(N$11:N996,$B$11:$B996,"Estimated")</f>
        <v>0</v>
      </c>
      <c r="O4" s="191">
        <f>SUMIFS(O$11:O996,$B$11:$B996,"Estimated")</f>
        <v>39131.699999999997</v>
      </c>
    </row>
    <row r="5" spans="1:16" s="166" customFormat="1" ht="14.4" customHeight="1" x14ac:dyDescent="0.3">
      <c r="A5" s="240"/>
      <c r="B5" s="162" t="s">
        <v>18</v>
      </c>
      <c r="C5" s="163">
        <v>0</v>
      </c>
      <c r="D5" s="163">
        <v>0</v>
      </c>
      <c r="E5" s="163">
        <v>0</v>
      </c>
      <c r="F5" s="163">
        <v>0</v>
      </c>
      <c r="G5" s="163">
        <v>0</v>
      </c>
      <c r="H5" s="163">
        <v>0</v>
      </c>
      <c r="I5" s="167">
        <v>0</v>
      </c>
      <c r="J5" s="167">
        <v>0</v>
      </c>
      <c r="K5" s="167">
        <v>0</v>
      </c>
      <c r="L5" s="167">
        <v>0</v>
      </c>
      <c r="M5" s="167">
        <v>0</v>
      </c>
      <c r="N5" s="167">
        <v>0</v>
      </c>
      <c r="O5" s="164">
        <f t="shared" ref="O5" si="0">SUM(C5:N5)</f>
        <v>0</v>
      </c>
      <c r="P5" s="166">
        <v>0</v>
      </c>
    </row>
    <row r="6" spans="1:16" s="166" customFormat="1" ht="15" thickBot="1" x14ac:dyDescent="0.35">
      <c r="A6" s="241"/>
      <c r="B6" s="174" t="s">
        <v>19</v>
      </c>
      <c r="C6" s="175">
        <f>SUMIFS(C$11:C1001,$B$11:$B1001,"Actual")</f>
        <v>0</v>
      </c>
      <c r="D6" s="175">
        <f>SUMIFS(D$11:D1001,$B$11:$B1001,"Actual")</f>
        <v>0</v>
      </c>
      <c r="E6" s="175">
        <f>SUMIFS(E$11:E1001,$B$11:$B1001,"Actual")</f>
        <v>40709.160000000003</v>
      </c>
      <c r="F6" s="175">
        <f>SUMIFS(F$11:F1001,$B$11:$B1001,"Actual")</f>
        <v>3858.19</v>
      </c>
      <c r="G6" s="175">
        <f>SUMIFS(G$11:G1001,$B$11:$B1001,"Actual")</f>
        <v>243.55</v>
      </c>
      <c r="H6" s="175">
        <f>SUMIFS(H$11:H1001,$B$11:$B1001,"Actual")</f>
        <v>0</v>
      </c>
      <c r="I6" s="177">
        <f>SUMIFS(I$11:I1001,$B$11:$B1001,"Actual")</f>
        <v>54.69</v>
      </c>
      <c r="J6" s="177">
        <f>SUMIFS(J$11:J1001,$B$11:$B1001,"Actual")</f>
        <v>28.26</v>
      </c>
      <c r="K6" s="177">
        <f>SUMIFS(K$11:K1001,$B$11:$B1001,"Actual")</f>
        <v>56.69</v>
      </c>
      <c r="L6" s="177">
        <f>SUMIFS(L$11:L1001,$B$11:$B1001,"Actual")</f>
        <v>0</v>
      </c>
      <c r="M6" s="177">
        <f>SUMIFS(M$11:M1001,$B$11:$B1001,"Actual")</f>
        <v>0</v>
      </c>
      <c r="N6" s="177">
        <f>SUMIFS(N$11:N1001,$B$11:$B1001,"Actual")</f>
        <v>0</v>
      </c>
      <c r="O6" s="176">
        <f>SUMIFS(O$11:O1001,$B$11:$B1001,"Actual")</f>
        <v>44950.54</v>
      </c>
    </row>
    <row r="7" spans="1:16" s="64" customFormat="1" ht="15" thickTop="1" x14ac:dyDescent="0.3">
      <c r="A7" s="134"/>
      <c r="B7" s="70" t="s">
        <v>21</v>
      </c>
      <c r="C7" s="60">
        <f t="shared" ref="C7:I7" si="1">C5-C6</f>
        <v>0</v>
      </c>
      <c r="D7" s="60">
        <f t="shared" si="1"/>
        <v>0</v>
      </c>
      <c r="E7" s="60">
        <f t="shared" si="1"/>
        <v>-40709.160000000003</v>
      </c>
      <c r="F7" s="60">
        <f t="shared" si="1"/>
        <v>-3858.19</v>
      </c>
      <c r="G7" s="60">
        <f t="shared" si="1"/>
        <v>-243.55</v>
      </c>
      <c r="H7" s="60">
        <f t="shared" si="1"/>
        <v>0</v>
      </c>
      <c r="I7" s="60">
        <f t="shared" si="1"/>
        <v>-54.69</v>
      </c>
      <c r="J7" s="60">
        <f t="shared" ref="J7:N7" si="2">J5-J6</f>
        <v>-28.26</v>
      </c>
      <c r="K7" s="60">
        <f t="shared" si="2"/>
        <v>-56.69</v>
      </c>
      <c r="L7" s="60">
        <f t="shared" si="2"/>
        <v>0</v>
      </c>
      <c r="M7" s="60">
        <f t="shared" si="2"/>
        <v>0</v>
      </c>
      <c r="N7" s="60">
        <f t="shared" si="2"/>
        <v>0</v>
      </c>
      <c r="O7" s="75">
        <f>O5-O6</f>
        <v>-44950.54</v>
      </c>
    </row>
    <row r="8" spans="1:16" s="142" customFormat="1" x14ac:dyDescent="0.3">
      <c r="A8" s="138"/>
      <c r="B8" s="139" t="s">
        <v>23</v>
      </c>
      <c r="C8" s="140">
        <f>SUM($C6:C6)</f>
        <v>0</v>
      </c>
      <c r="D8" s="140">
        <f>SUM($C6:D6)</f>
        <v>0</v>
      </c>
      <c r="E8" s="140">
        <f>SUM($C6:E6)</f>
        <v>40709.160000000003</v>
      </c>
      <c r="F8" s="140">
        <f>SUM($C6:F6)</f>
        <v>44567.350000000006</v>
      </c>
      <c r="G8" s="140">
        <f>SUM($C6:G6)</f>
        <v>44810.900000000009</v>
      </c>
      <c r="H8" s="140">
        <f>SUM($C6:H6)</f>
        <v>44810.900000000009</v>
      </c>
      <c r="I8" s="140">
        <f>SUM($C6:I6)</f>
        <v>44865.590000000011</v>
      </c>
      <c r="J8" s="140">
        <f>SUM($C6:J6)</f>
        <v>44893.850000000013</v>
      </c>
      <c r="K8" s="140">
        <f>SUM($C6:K6)</f>
        <v>44950.540000000015</v>
      </c>
      <c r="L8" s="140">
        <f>SUM($C6:L6)</f>
        <v>44950.540000000015</v>
      </c>
      <c r="M8" s="140">
        <f>SUM($C6:M6)</f>
        <v>44950.540000000015</v>
      </c>
      <c r="N8" s="140">
        <f>SUM($C6:N6)</f>
        <v>44950.540000000015</v>
      </c>
      <c r="O8" s="141">
        <f>O6</f>
        <v>44950.54</v>
      </c>
    </row>
    <row r="9" spans="1:16" s="142" customFormat="1" x14ac:dyDescent="0.3">
      <c r="A9" s="143"/>
      <c r="B9" s="144" t="s">
        <v>25</v>
      </c>
      <c r="C9" s="145">
        <f>SUM($C5:C5)-C8</f>
        <v>0</v>
      </c>
      <c r="D9" s="145">
        <f>SUM($C5:D5)-D8</f>
        <v>0</v>
      </c>
      <c r="E9" s="145">
        <f>SUM($C5:E5)-E8</f>
        <v>-40709.160000000003</v>
      </c>
      <c r="F9" s="145">
        <f>SUM($C5:F5)-F8</f>
        <v>-44567.350000000006</v>
      </c>
      <c r="G9" s="145">
        <f>SUM($C5:G5)-G8</f>
        <v>-44810.900000000009</v>
      </c>
      <c r="H9" s="145">
        <f>SUM($C5:H5)-H8</f>
        <v>-44810.900000000009</v>
      </c>
      <c r="I9" s="145">
        <f>SUM($C5:I5)-I8</f>
        <v>-44865.590000000011</v>
      </c>
      <c r="J9" s="145">
        <f>SUM($C5:J5)-J8</f>
        <v>-44893.850000000013</v>
      </c>
      <c r="K9" s="145">
        <f>SUM($C5:K5)-K8</f>
        <v>-44950.540000000015</v>
      </c>
      <c r="L9" s="145">
        <f>SUM($C5:L5)-L8</f>
        <v>-44950.540000000015</v>
      </c>
      <c r="M9" s="145">
        <f>SUM($C5:M5)-M8</f>
        <v>-44950.540000000015</v>
      </c>
      <c r="N9" s="145">
        <f>SUM($C5:N5)-N8</f>
        <v>-44950.540000000015</v>
      </c>
      <c r="O9" s="146"/>
    </row>
    <row r="10" spans="1:16" x14ac:dyDescent="0.3">
      <c r="A10" s="54"/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6" s="102" customFormat="1" ht="12" x14ac:dyDescent="0.25">
      <c r="A11" s="235" t="s">
        <v>292</v>
      </c>
      <c r="B11" s="99" t="s">
        <v>16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3">
        <f>SUM(C11:N11)</f>
        <v>0</v>
      </c>
    </row>
    <row r="12" spans="1:16" s="102" customFormat="1" ht="12" x14ac:dyDescent="0.25">
      <c r="A12" s="235"/>
      <c r="B12" s="99" t="s">
        <v>29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3">
        <f>SUM(C12:N12)</f>
        <v>0</v>
      </c>
    </row>
    <row r="13" spans="1:16" s="67" customFormat="1" ht="12.6" customHeight="1" x14ac:dyDescent="0.3">
      <c r="A13" s="155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66">
        <f>SUM(C13:N13)</f>
        <v>0</v>
      </c>
    </row>
    <row r="14" spans="1:16" s="67" customFormat="1" ht="12.6" customHeight="1" x14ac:dyDescent="0.3">
      <c r="A14" s="156"/>
      <c r="B14" s="116" t="s">
        <v>32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8">
        <f>SUM(C14:N14)</f>
        <v>0</v>
      </c>
    </row>
    <row r="15" spans="1:16" s="102" customFormat="1" ht="12" x14ac:dyDescent="0.25">
      <c r="A15" s="236" t="s">
        <v>293</v>
      </c>
      <c r="B15" s="99" t="s">
        <v>16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3">
        <f t="shared" ref="O15:O54" si="3">SUM(C15:N15)</f>
        <v>0</v>
      </c>
    </row>
    <row r="16" spans="1:16" s="102" customFormat="1" ht="12" x14ac:dyDescent="0.25">
      <c r="A16" s="235"/>
      <c r="B16" s="99" t="s">
        <v>29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3">
        <f t="shared" si="3"/>
        <v>0</v>
      </c>
    </row>
    <row r="17" spans="1:15" s="67" customFormat="1" ht="12.6" customHeight="1" x14ac:dyDescent="0.3">
      <c r="A17" s="155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>
        <f>SUM(C17:N17)</f>
        <v>0</v>
      </c>
    </row>
    <row r="18" spans="1:15" s="67" customFormat="1" ht="12.6" customHeight="1" x14ac:dyDescent="0.3">
      <c r="A18" s="156"/>
      <c r="B18" s="116" t="s">
        <v>32</v>
      </c>
      <c r="C18" s="117"/>
      <c r="D18" s="117"/>
      <c r="E18" s="117">
        <v>10502.39</v>
      </c>
      <c r="F18" s="117"/>
      <c r="G18" s="117"/>
      <c r="H18" s="117"/>
      <c r="I18" s="117"/>
      <c r="J18" s="117"/>
      <c r="K18" s="117"/>
      <c r="L18" s="117"/>
      <c r="M18" s="117"/>
      <c r="N18" s="117"/>
      <c r="O18" s="118">
        <f t="shared" si="3"/>
        <v>10502.39</v>
      </c>
    </row>
    <row r="19" spans="1:15" s="102" customFormat="1" ht="12" x14ac:dyDescent="0.25">
      <c r="A19" s="236" t="s">
        <v>294</v>
      </c>
      <c r="B19" s="99" t="s">
        <v>16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3">
        <f t="shared" si="3"/>
        <v>0</v>
      </c>
    </row>
    <row r="20" spans="1:15" s="102" customFormat="1" ht="12" x14ac:dyDescent="0.25">
      <c r="A20" s="235"/>
      <c r="B20" s="99" t="s">
        <v>29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3">
        <f>SUM(C20:N20)</f>
        <v>0</v>
      </c>
    </row>
    <row r="21" spans="1:15" s="67" customFormat="1" ht="12.6" customHeight="1" x14ac:dyDescent="0.3">
      <c r="A21" s="155"/>
      <c r="B21" s="65" t="s">
        <v>31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66">
        <f t="shared" si="3"/>
        <v>0</v>
      </c>
    </row>
    <row r="22" spans="1:15" s="67" customFormat="1" ht="12.6" customHeight="1" x14ac:dyDescent="0.3">
      <c r="A22" s="156"/>
      <c r="B22" s="116" t="s">
        <v>32</v>
      </c>
      <c r="C22" s="117"/>
      <c r="D22" s="117"/>
      <c r="E22" s="117">
        <v>1147.4100000000001</v>
      </c>
      <c r="F22" s="117"/>
      <c r="G22" s="117"/>
      <c r="H22" s="117"/>
      <c r="I22" s="117"/>
      <c r="J22" s="117"/>
      <c r="K22" s="117"/>
      <c r="L22" s="117"/>
      <c r="M22" s="117"/>
      <c r="N22" s="117"/>
      <c r="O22" s="118">
        <f t="shared" si="3"/>
        <v>1147.4100000000001</v>
      </c>
    </row>
    <row r="23" spans="1:15" s="102" customFormat="1" ht="12" x14ac:dyDescent="0.25">
      <c r="A23" s="236" t="s">
        <v>295</v>
      </c>
      <c r="B23" s="99" t="s">
        <v>16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3">
        <f t="shared" si="3"/>
        <v>0</v>
      </c>
    </row>
    <row r="24" spans="1:15" s="102" customFormat="1" ht="12" x14ac:dyDescent="0.25">
      <c r="A24" s="235"/>
      <c r="B24" s="99" t="s">
        <v>29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>
        <v>0</v>
      </c>
      <c r="N24" s="100">
        <v>0</v>
      </c>
      <c r="O24" s="103">
        <f>SUM(C24:N24)</f>
        <v>0</v>
      </c>
    </row>
    <row r="25" spans="1:15" s="67" customFormat="1" ht="12.6" customHeight="1" x14ac:dyDescent="0.3">
      <c r="A25" s="155"/>
      <c r="B25" s="65" t="s">
        <v>31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66">
        <f t="shared" si="3"/>
        <v>0</v>
      </c>
    </row>
    <row r="26" spans="1:15" s="67" customFormat="1" ht="12.6" customHeight="1" x14ac:dyDescent="0.3">
      <c r="A26" s="156"/>
      <c r="B26" s="116" t="s">
        <v>32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8">
        <f t="shared" si="3"/>
        <v>0</v>
      </c>
    </row>
    <row r="27" spans="1:15" s="102" customFormat="1" ht="12" x14ac:dyDescent="0.25">
      <c r="A27" s="236" t="s">
        <v>276</v>
      </c>
      <c r="B27" s="99" t="s">
        <v>16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3">
        <f t="shared" si="3"/>
        <v>0</v>
      </c>
    </row>
    <row r="28" spans="1:15" s="102" customFormat="1" ht="12" x14ac:dyDescent="0.25">
      <c r="A28" s="235"/>
      <c r="B28" s="99" t="s">
        <v>29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100">
        <v>0</v>
      </c>
      <c r="N28" s="100">
        <v>0</v>
      </c>
      <c r="O28" s="103">
        <f>SUM(C28:N28)</f>
        <v>0</v>
      </c>
    </row>
    <row r="29" spans="1:15" s="67" customFormat="1" ht="12.6" customHeight="1" x14ac:dyDescent="0.3">
      <c r="A29" s="155"/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66">
        <f t="shared" si="3"/>
        <v>0</v>
      </c>
    </row>
    <row r="30" spans="1:15" s="67" customFormat="1" ht="12.6" customHeight="1" x14ac:dyDescent="0.3">
      <c r="A30" s="156"/>
      <c r="B30" s="116" t="s">
        <v>32</v>
      </c>
      <c r="C30" s="117"/>
      <c r="D30" s="117"/>
      <c r="E30" s="117">
        <v>28954.74</v>
      </c>
      <c r="F30" s="117">
        <v>3370.8</v>
      </c>
      <c r="G30" s="117">
        <f>36.64</f>
        <v>36.64</v>
      </c>
      <c r="H30" s="117"/>
      <c r="I30" s="117"/>
      <c r="J30" s="201">
        <v>28.26</v>
      </c>
      <c r="K30" s="117">
        <v>56.69</v>
      </c>
      <c r="L30" s="117"/>
      <c r="M30" s="117"/>
      <c r="N30" s="117"/>
      <c r="O30" s="118">
        <f t="shared" si="3"/>
        <v>32447.129999999997</v>
      </c>
    </row>
    <row r="31" spans="1:15" s="102" customFormat="1" ht="12" x14ac:dyDescent="0.25">
      <c r="A31" s="236" t="s">
        <v>268</v>
      </c>
      <c r="B31" s="99" t="s">
        <v>16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3">
        <f t="shared" si="3"/>
        <v>0</v>
      </c>
    </row>
    <row r="32" spans="1:15" s="102" customFormat="1" ht="12" x14ac:dyDescent="0.25">
      <c r="A32" s="235"/>
      <c r="B32" s="99" t="s">
        <v>29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3">
        <f>SUM(C32:N32)</f>
        <v>0</v>
      </c>
    </row>
    <row r="33" spans="1:15" s="67" customFormat="1" ht="12.6" customHeight="1" x14ac:dyDescent="0.3">
      <c r="A33" s="155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 t="shared" si="3"/>
        <v>0</v>
      </c>
    </row>
    <row r="34" spans="1:15" s="67" customFormat="1" ht="12.6" customHeight="1" x14ac:dyDescent="0.3">
      <c r="A34" s="156"/>
      <c r="B34" s="116" t="s">
        <v>32</v>
      </c>
      <c r="C34" s="117"/>
      <c r="D34" s="117"/>
      <c r="E34" s="117"/>
      <c r="F34" s="117"/>
      <c r="G34" s="117"/>
      <c r="H34" s="117"/>
      <c r="I34" s="117">
        <v>54.69</v>
      </c>
      <c r="J34" s="117"/>
      <c r="K34" s="117"/>
      <c r="L34" s="117"/>
      <c r="M34" s="117"/>
      <c r="N34" s="117"/>
      <c r="O34" s="118">
        <f t="shared" si="3"/>
        <v>54.69</v>
      </c>
    </row>
    <row r="35" spans="1:15" s="102" customFormat="1" ht="12" x14ac:dyDescent="0.25">
      <c r="A35" s="236" t="s">
        <v>296</v>
      </c>
      <c r="B35" s="99" t="s">
        <v>16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3">
        <f t="shared" si="3"/>
        <v>0</v>
      </c>
    </row>
    <row r="36" spans="1:15" s="102" customFormat="1" ht="12" x14ac:dyDescent="0.25">
      <c r="A36" s="235"/>
      <c r="B36" s="99" t="s">
        <v>29</v>
      </c>
      <c r="C36" s="100">
        <v>0</v>
      </c>
      <c r="D36" s="100">
        <v>0</v>
      </c>
      <c r="E36" s="100">
        <v>0</v>
      </c>
      <c r="F36" s="100">
        <v>0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100">
        <v>0</v>
      </c>
      <c r="N36" s="100">
        <v>0</v>
      </c>
      <c r="O36" s="103">
        <f>SUM(C36:N36)</f>
        <v>0</v>
      </c>
    </row>
    <row r="37" spans="1:15" s="67" customFormat="1" ht="12.6" customHeight="1" x14ac:dyDescent="0.3">
      <c r="A37" s="155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 t="shared" si="3"/>
        <v>0</v>
      </c>
    </row>
    <row r="38" spans="1:15" s="67" customFormat="1" ht="12.6" customHeight="1" x14ac:dyDescent="0.3">
      <c r="A38" s="156"/>
      <c r="B38" s="116" t="s">
        <v>32</v>
      </c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>
        <f t="shared" si="3"/>
        <v>0</v>
      </c>
    </row>
    <row r="39" spans="1:15" s="102" customFormat="1" ht="12" x14ac:dyDescent="0.25">
      <c r="A39" s="236" t="s">
        <v>297</v>
      </c>
      <c r="B39" s="99" t="s">
        <v>16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3">
        <f t="shared" si="3"/>
        <v>0</v>
      </c>
    </row>
    <row r="40" spans="1:15" s="102" customFormat="1" ht="12" x14ac:dyDescent="0.25">
      <c r="A40" s="235"/>
      <c r="B40" s="99" t="s">
        <v>29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100">
        <v>0</v>
      </c>
      <c r="N40" s="100">
        <v>0</v>
      </c>
      <c r="O40" s="103">
        <f>SUM(C40:N40)</f>
        <v>0</v>
      </c>
    </row>
    <row r="41" spans="1:15" s="64" customFormat="1" ht="12.6" customHeight="1" x14ac:dyDescent="0.3">
      <c r="A41" s="155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 t="shared" si="3"/>
        <v>0</v>
      </c>
    </row>
    <row r="42" spans="1:15" s="64" customFormat="1" ht="12.6" customHeight="1" x14ac:dyDescent="0.3">
      <c r="A42" s="156"/>
      <c r="B42" s="7" t="s">
        <v>32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24">
        <f t="shared" si="3"/>
        <v>0</v>
      </c>
    </row>
    <row r="43" spans="1:15" s="102" customFormat="1" ht="12" x14ac:dyDescent="0.25">
      <c r="A43" s="236" t="s">
        <v>298</v>
      </c>
      <c r="B43" s="99" t="s">
        <v>16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3">
        <f t="shared" ref="O43:O50" si="4">SUM(C43:N43)</f>
        <v>0</v>
      </c>
    </row>
    <row r="44" spans="1:15" s="102" customFormat="1" ht="12" x14ac:dyDescent="0.25">
      <c r="A44" s="235"/>
      <c r="B44" s="99" t="s">
        <v>29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100">
        <v>0</v>
      </c>
      <c r="N44" s="100">
        <v>0</v>
      </c>
      <c r="O44" s="103">
        <f>SUM(C44:N44)</f>
        <v>0</v>
      </c>
    </row>
    <row r="45" spans="1:15" s="64" customFormat="1" ht="12.6" customHeight="1" x14ac:dyDescent="0.3">
      <c r="A45" s="154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 t="shared" si="4"/>
        <v>0</v>
      </c>
    </row>
    <row r="46" spans="1:15" s="64" customFormat="1" ht="12.6" customHeight="1" x14ac:dyDescent="0.3">
      <c r="A46" s="157"/>
      <c r="B46" s="7" t="s">
        <v>32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24">
        <f t="shared" si="4"/>
        <v>0</v>
      </c>
    </row>
    <row r="47" spans="1:15" s="102" customFormat="1" ht="12" x14ac:dyDescent="0.25">
      <c r="A47" s="236" t="s">
        <v>299</v>
      </c>
      <c r="B47" s="99" t="s">
        <v>16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1">
        <f t="shared" si="4"/>
        <v>0</v>
      </c>
    </row>
    <row r="48" spans="1:15" s="102" customFormat="1" ht="12" x14ac:dyDescent="0.25">
      <c r="A48" s="235"/>
      <c r="B48" s="99" t="s">
        <v>29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3">
        <f>SUM(C48:N48)</f>
        <v>0</v>
      </c>
    </row>
    <row r="49" spans="1:15" s="64" customFormat="1" ht="12.6" customHeight="1" x14ac:dyDescent="0.3">
      <c r="A49" s="154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 t="shared" si="4"/>
        <v>0</v>
      </c>
    </row>
    <row r="50" spans="1:15" s="64" customFormat="1" ht="12.6" customHeight="1" x14ac:dyDescent="0.3">
      <c r="A50" s="157"/>
      <c r="B50" s="7" t="s">
        <v>32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24">
        <f t="shared" si="4"/>
        <v>0</v>
      </c>
    </row>
    <row r="51" spans="1:15" s="102" customFormat="1" ht="12" x14ac:dyDescent="0.25">
      <c r="A51" s="236" t="s">
        <v>300</v>
      </c>
      <c r="B51" s="99" t="s">
        <v>16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3">
        <f t="shared" si="3"/>
        <v>0</v>
      </c>
    </row>
    <row r="52" spans="1:15" s="102" customFormat="1" ht="12" x14ac:dyDescent="0.25">
      <c r="A52" s="235"/>
      <c r="B52" s="99" t="s">
        <v>29</v>
      </c>
      <c r="C52" s="100">
        <v>19546.8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0</v>
      </c>
      <c r="N52" s="100">
        <v>0</v>
      </c>
      <c r="O52" s="103">
        <f>SUM(C52:N52)</f>
        <v>19546.8</v>
      </c>
    </row>
    <row r="53" spans="1:15" s="64" customFormat="1" ht="12.6" customHeight="1" x14ac:dyDescent="0.3">
      <c r="A53" s="155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 t="shared" si="3"/>
        <v>0</v>
      </c>
    </row>
    <row r="54" spans="1:15" s="64" customFormat="1" ht="12.6" customHeight="1" x14ac:dyDescent="0.3">
      <c r="A54" s="156"/>
      <c r="B54" s="7" t="s">
        <v>32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24">
        <f t="shared" si="3"/>
        <v>0</v>
      </c>
    </row>
    <row r="55" spans="1:15" s="102" customFormat="1" ht="12" x14ac:dyDescent="0.25">
      <c r="A55" s="236" t="s">
        <v>301</v>
      </c>
      <c r="B55" s="99" t="s">
        <v>16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3">
        <f t="shared" ref="O55:O102" si="5">SUM(C55:N55)</f>
        <v>0</v>
      </c>
    </row>
    <row r="56" spans="1:15" s="102" customFormat="1" ht="12" x14ac:dyDescent="0.25">
      <c r="A56" s="235"/>
      <c r="B56" s="99" t="s">
        <v>29</v>
      </c>
      <c r="C56" s="100">
        <v>19348.73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3">
        <f>SUM(C56:N56)</f>
        <v>19348.73</v>
      </c>
    </row>
    <row r="57" spans="1:15" s="64" customFormat="1" ht="12.6" customHeight="1" x14ac:dyDescent="0.3">
      <c r="A57" s="155"/>
      <c r="B57" s="5" t="s">
        <v>31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7">
        <f t="shared" si="5"/>
        <v>0</v>
      </c>
    </row>
    <row r="58" spans="1:15" s="64" customFormat="1" ht="12.6" customHeight="1" x14ac:dyDescent="0.3">
      <c r="A58" s="156"/>
      <c r="B58" s="7" t="s">
        <v>32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24">
        <f t="shared" si="5"/>
        <v>0</v>
      </c>
    </row>
    <row r="59" spans="1:15" s="102" customFormat="1" ht="12" x14ac:dyDescent="0.25">
      <c r="A59" s="236" t="s">
        <v>302</v>
      </c>
      <c r="B59" s="99" t="s">
        <v>16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3">
        <f t="shared" si="5"/>
        <v>0</v>
      </c>
    </row>
    <row r="60" spans="1:15" s="102" customFormat="1" ht="12" x14ac:dyDescent="0.25">
      <c r="A60" s="235"/>
      <c r="B60" s="99" t="s">
        <v>29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3">
        <f>SUM(C60:N60)</f>
        <v>0</v>
      </c>
    </row>
    <row r="61" spans="1:15" s="64" customFormat="1" ht="12.6" customHeight="1" x14ac:dyDescent="0.3">
      <c r="A61" s="155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 t="shared" si="5"/>
        <v>0</v>
      </c>
    </row>
    <row r="62" spans="1:15" s="64" customFormat="1" ht="12.6" customHeight="1" x14ac:dyDescent="0.3">
      <c r="A62" s="156"/>
      <c r="B62" s="7" t="s">
        <v>32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24">
        <f t="shared" si="5"/>
        <v>0</v>
      </c>
    </row>
    <row r="63" spans="1:15" s="102" customFormat="1" ht="12" x14ac:dyDescent="0.25">
      <c r="A63" s="236" t="s">
        <v>303</v>
      </c>
      <c r="B63" s="99" t="s">
        <v>16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3">
        <f t="shared" si="5"/>
        <v>0</v>
      </c>
    </row>
    <row r="64" spans="1:15" s="102" customFormat="1" ht="12" x14ac:dyDescent="0.25">
      <c r="A64" s="235"/>
      <c r="B64" s="99" t="s">
        <v>29</v>
      </c>
      <c r="C64" s="100">
        <v>0</v>
      </c>
      <c r="D64" s="100">
        <v>0</v>
      </c>
      <c r="E64" s="100">
        <v>0</v>
      </c>
      <c r="F64" s="100">
        <v>236.17</v>
      </c>
      <c r="G64" s="100">
        <v>0</v>
      </c>
      <c r="H64" s="100">
        <v>0</v>
      </c>
      <c r="I64" s="100">
        <v>0</v>
      </c>
      <c r="J64" s="100">
        <v>0</v>
      </c>
      <c r="K64" s="100">
        <v>0</v>
      </c>
      <c r="L64" s="100">
        <v>0</v>
      </c>
      <c r="M64" s="100">
        <v>0</v>
      </c>
      <c r="N64" s="100">
        <v>0</v>
      </c>
      <c r="O64" s="103">
        <f>SUM(C64:N64)</f>
        <v>236.17</v>
      </c>
    </row>
    <row r="65" spans="1:15" s="64" customFormat="1" ht="12.6" customHeight="1" x14ac:dyDescent="0.3">
      <c r="A65" s="155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 t="shared" si="5"/>
        <v>0</v>
      </c>
    </row>
    <row r="66" spans="1:15" s="64" customFormat="1" ht="12.6" customHeight="1" x14ac:dyDescent="0.3">
      <c r="A66" s="156"/>
      <c r="B66" s="7" t="s">
        <v>32</v>
      </c>
      <c r="C66" s="114"/>
      <c r="D66" s="114"/>
      <c r="E66" s="114"/>
      <c r="F66" s="114"/>
      <c r="G66" s="114">
        <f>206.91</f>
        <v>206.91</v>
      </c>
      <c r="H66" s="114"/>
      <c r="I66" s="114"/>
      <c r="J66" s="114"/>
      <c r="K66" s="114"/>
      <c r="L66" s="114"/>
      <c r="M66" s="114"/>
      <c r="N66" s="114"/>
      <c r="O66" s="24">
        <f t="shared" si="5"/>
        <v>206.91</v>
      </c>
    </row>
    <row r="67" spans="1:15" s="102" customFormat="1" ht="12.6" customHeight="1" x14ac:dyDescent="0.25">
      <c r="A67" s="236" t="s">
        <v>304</v>
      </c>
      <c r="B67" s="99" t="s">
        <v>16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3">
        <f t="shared" si="5"/>
        <v>0</v>
      </c>
    </row>
    <row r="68" spans="1:15" s="102" customFormat="1" ht="12" x14ac:dyDescent="0.25">
      <c r="A68" s="235"/>
      <c r="B68" s="99" t="s">
        <v>29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3">
        <f>SUM(C68:N68)</f>
        <v>0</v>
      </c>
    </row>
    <row r="69" spans="1:15" s="64" customFormat="1" x14ac:dyDescent="0.3">
      <c r="A69" s="155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 t="shared" si="5"/>
        <v>0</v>
      </c>
    </row>
    <row r="70" spans="1:15" s="64" customFormat="1" x14ac:dyDescent="0.3">
      <c r="A70" s="156"/>
      <c r="B70" s="7" t="s">
        <v>32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24">
        <f t="shared" si="5"/>
        <v>0</v>
      </c>
    </row>
    <row r="71" spans="1:15" s="102" customFormat="1" ht="12" x14ac:dyDescent="0.25">
      <c r="A71" s="236" t="s">
        <v>305</v>
      </c>
      <c r="B71" s="99" t="s">
        <v>16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3">
        <f t="shared" si="5"/>
        <v>0</v>
      </c>
    </row>
    <row r="72" spans="1:15" s="102" customFormat="1" ht="12" x14ac:dyDescent="0.25">
      <c r="A72" s="235"/>
      <c r="B72" s="99" t="s">
        <v>29</v>
      </c>
      <c r="C72" s="100">
        <v>0</v>
      </c>
      <c r="D72" s="100">
        <v>0</v>
      </c>
      <c r="E72" s="100">
        <v>0</v>
      </c>
      <c r="F72" s="100">
        <v>0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3">
        <f>SUM(C72:N72)</f>
        <v>0</v>
      </c>
    </row>
    <row r="73" spans="1:15" s="64" customFormat="1" x14ac:dyDescent="0.3">
      <c r="A73" s="155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 t="shared" si="5"/>
        <v>0</v>
      </c>
    </row>
    <row r="74" spans="1:15" s="64" customFormat="1" x14ac:dyDescent="0.3">
      <c r="A74" s="156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24">
        <f t="shared" si="5"/>
        <v>0</v>
      </c>
    </row>
    <row r="75" spans="1:15" s="102" customFormat="1" ht="12" x14ac:dyDescent="0.25">
      <c r="A75" s="236" t="s">
        <v>269</v>
      </c>
      <c r="B75" s="99" t="s">
        <v>16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3">
        <f t="shared" si="5"/>
        <v>0</v>
      </c>
    </row>
    <row r="76" spans="1:15" s="102" customFormat="1" ht="12" x14ac:dyDescent="0.25">
      <c r="A76" s="235"/>
      <c r="B76" s="99" t="s">
        <v>29</v>
      </c>
      <c r="C76" s="100">
        <v>0</v>
      </c>
      <c r="D76" s="100">
        <v>0</v>
      </c>
      <c r="E76" s="100">
        <v>0</v>
      </c>
      <c r="F76" s="100">
        <v>0</v>
      </c>
      <c r="G76" s="100">
        <v>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3">
        <f>SUM(C76:N76)</f>
        <v>0</v>
      </c>
    </row>
    <row r="77" spans="1:15" s="64" customFormat="1" x14ac:dyDescent="0.3">
      <c r="A77" s="155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7">
        <f t="shared" si="5"/>
        <v>0</v>
      </c>
    </row>
    <row r="78" spans="1:15" s="64" customFormat="1" x14ac:dyDescent="0.3">
      <c r="A78" s="156"/>
      <c r="B78" s="7" t="s">
        <v>32</v>
      </c>
      <c r="C78" s="114"/>
      <c r="D78" s="114"/>
      <c r="E78" s="114">
        <v>104.62</v>
      </c>
      <c r="F78" s="114">
        <v>344.49</v>
      </c>
      <c r="G78" s="114"/>
      <c r="H78" s="114"/>
      <c r="I78" s="114"/>
      <c r="J78" s="114"/>
      <c r="K78" s="114"/>
      <c r="L78" s="114"/>
      <c r="M78" s="114"/>
      <c r="N78" s="114"/>
      <c r="O78" s="24">
        <f t="shared" si="5"/>
        <v>449.11</v>
      </c>
    </row>
    <row r="79" spans="1:15" s="102" customFormat="1" ht="12" x14ac:dyDescent="0.25">
      <c r="A79" s="236" t="s">
        <v>306</v>
      </c>
      <c r="B79" s="99" t="s">
        <v>16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3">
        <f t="shared" si="5"/>
        <v>0</v>
      </c>
    </row>
    <row r="80" spans="1:15" s="102" customFormat="1" ht="12" x14ac:dyDescent="0.25">
      <c r="A80" s="235"/>
      <c r="B80" s="99" t="s">
        <v>29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3">
        <f>SUM(C80:N80)</f>
        <v>0</v>
      </c>
    </row>
    <row r="81" spans="1:15" s="64" customFormat="1" x14ac:dyDescent="0.3">
      <c r="A81" s="155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7">
        <f t="shared" si="5"/>
        <v>0</v>
      </c>
    </row>
    <row r="82" spans="1:15" s="64" customFormat="1" x14ac:dyDescent="0.3">
      <c r="A82" s="156"/>
      <c r="B82" s="7" t="s">
        <v>32</v>
      </c>
      <c r="C82" s="114"/>
      <c r="D82" s="114"/>
      <c r="E82" s="114"/>
      <c r="F82" s="114">
        <v>142.9</v>
      </c>
      <c r="G82" s="114"/>
      <c r="H82" s="114"/>
      <c r="I82" s="114"/>
      <c r="J82" s="114"/>
      <c r="K82" s="114"/>
      <c r="L82" s="114"/>
      <c r="M82" s="114"/>
      <c r="N82" s="114"/>
      <c r="O82" s="24">
        <f t="shared" si="5"/>
        <v>142.9</v>
      </c>
    </row>
    <row r="83" spans="1:15" s="102" customFormat="1" ht="12" x14ac:dyDescent="0.25">
      <c r="A83" s="236"/>
      <c r="B83" s="99" t="s">
        <v>16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3">
        <f t="shared" si="5"/>
        <v>0</v>
      </c>
    </row>
    <row r="84" spans="1:15" s="102" customFormat="1" ht="12" x14ac:dyDescent="0.25">
      <c r="A84" s="235"/>
      <c r="B84" s="99" t="s">
        <v>29</v>
      </c>
      <c r="C84" s="100">
        <v>0</v>
      </c>
      <c r="D84" s="100">
        <v>0</v>
      </c>
      <c r="E84" s="100">
        <v>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3">
        <f>SUM(C84:N84)</f>
        <v>0</v>
      </c>
    </row>
    <row r="85" spans="1:15" s="64" customFormat="1" x14ac:dyDescent="0.3">
      <c r="A85" s="155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7">
        <f t="shared" si="5"/>
        <v>0</v>
      </c>
    </row>
    <row r="86" spans="1:15" s="64" customFormat="1" x14ac:dyDescent="0.3">
      <c r="A86" s="156"/>
      <c r="B86" s="7" t="s">
        <v>32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24">
        <f t="shared" si="5"/>
        <v>0</v>
      </c>
    </row>
    <row r="87" spans="1:15" s="102" customFormat="1" ht="12" x14ac:dyDescent="0.25">
      <c r="A87" s="236"/>
      <c r="B87" s="99" t="s">
        <v>16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3">
        <f t="shared" si="5"/>
        <v>0</v>
      </c>
    </row>
    <row r="88" spans="1:15" s="102" customFormat="1" ht="12" x14ac:dyDescent="0.25">
      <c r="A88" s="235"/>
      <c r="B88" s="99" t="s">
        <v>29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3">
        <f>SUM(C88:N88)</f>
        <v>0</v>
      </c>
    </row>
    <row r="89" spans="1:15" s="64" customFormat="1" x14ac:dyDescent="0.3">
      <c r="A89" s="155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7">
        <f t="shared" si="5"/>
        <v>0</v>
      </c>
    </row>
    <row r="90" spans="1:15" s="64" customFormat="1" x14ac:dyDescent="0.3">
      <c r="A90" s="156"/>
      <c r="B90" s="7" t="s">
        <v>32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24">
        <f t="shared" si="5"/>
        <v>0</v>
      </c>
    </row>
    <row r="91" spans="1:15" s="102" customFormat="1" ht="12" x14ac:dyDescent="0.25">
      <c r="A91" s="236"/>
      <c r="B91" s="99" t="s">
        <v>16</v>
      </c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3">
        <f t="shared" si="5"/>
        <v>0</v>
      </c>
    </row>
    <row r="92" spans="1:15" s="102" customFormat="1" ht="12" x14ac:dyDescent="0.25">
      <c r="A92" s="235"/>
      <c r="B92" s="99" t="s">
        <v>29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100">
        <v>0</v>
      </c>
      <c r="N92" s="100">
        <v>0</v>
      </c>
      <c r="O92" s="103">
        <f>SUM(C92:N92)</f>
        <v>0</v>
      </c>
    </row>
    <row r="93" spans="1:15" s="64" customFormat="1" x14ac:dyDescent="0.3">
      <c r="A93" s="155"/>
      <c r="B93" s="5" t="s">
        <v>31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7">
        <f t="shared" si="5"/>
        <v>0</v>
      </c>
    </row>
    <row r="94" spans="1:15" s="64" customFormat="1" x14ac:dyDescent="0.3">
      <c r="A94" s="156"/>
      <c r="B94" s="7" t="s">
        <v>32</v>
      </c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24">
        <f t="shared" si="5"/>
        <v>0</v>
      </c>
    </row>
    <row r="95" spans="1:15" s="102" customFormat="1" ht="12" x14ac:dyDescent="0.25">
      <c r="A95" s="236"/>
      <c r="B95" s="99" t="s">
        <v>16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3">
        <f t="shared" si="5"/>
        <v>0</v>
      </c>
    </row>
    <row r="96" spans="1:15" s="102" customFormat="1" ht="12" x14ac:dyDescent="0.25">
      <c r="A96" s="235"/>
      <c r="B96" s="99" t="s">
        <v>29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100">
        <v>0</v>
      </c>
      <c r="N96" s="100">
        <v>0</v>
      </c>
      <c r="O96" s="103">
        <f>SUM(C96:N96)</f>
        <v>0</v>
      </c>
    </row>
    <row r="97" spans="1:15" s="64" customFormat="1" x14ac:dyDescent="0.3">
      <c r="A97" s="155"/>
      <c r="B97" s="5" t="s">
        <v>31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7">
        <f t="shared" si="5"/>
        <v>0</v>
      </c>
    </row>
    <row r="98" spans="1:15" s="64" customFormat="1" x14ac:dyDescent="0.3">
      <c r="A98" s="156"/>
      <c r="B98" s="7" t="s">
        <v>32</v>
      </c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24">
        <f t="shared" si="5"/>
        <v>0</v>
      </c>
    </row>
    <row r="99" spans="1:15" s="102" customFormat="1" ht="12" x14ac:dyDescent="0.25">
      <c r="A99" s="236"/>
      <c r="B99" s="99" t="s">
        <v>16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3">
        <f t="shared" si="5"/>
        <v>0</v>
      </c>
    </row>
    <row r="100" spans="1:15" s="102" customFormat="1" ht="12" x14ac:dyDescent="0.25">
      <c r="A100" s="235"/>
      <c r="B100" s="99" t="s">
        <v>29</v>
      </c>
      <c r="C100" s="100">
        <v>0</v>
      </c>
      <c r="D100" s="100">
        <v>0</v>
      </c>
      <c r="E100" s="100">
        <v>0</v>
      </c>
      <c r="F100" s="100">
        <v>0</v>
      </c>
      <c r="G100" s="100">
        <v>0</v>
      </c>
      <c r="H100" s="100">
        <v>0</v>
      </c>
      <c r="I100" s="100">
        <v>0</v>
      </c>
      <c r="J100" s="100">
        <v>0</v>
      </c>
      <c r="K100" s="100">
        <v>0</v>
      </c>
      <c r="L100" s="100">
        <v>0</v>
      </c>
      <c r="M100" s="100">
        <v>0</v>
      </c>
      <c r="N100" s="100">
        <v>0</v>
      </c>
      <c r="O100" s="103">
        <f t="shared" si="5"/>
        <v>0</v>
      </c>
    </row>
    <row r="101" spans="1:15" s="64" customFormat="1" x14ac:dyDescent="0.3">
      <c r="A101" s="155"/>
      <c r="B101" s="5" t="s">
        <v>31</v>
      </c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7">
        <f>SUM(C101:N101)</f>
        <v>0</v>
      </c>
    </row>
    <row r="102" spans="1:15" s="64" customFormat="1" x14ac:dyDescent="0.3">
      <c r="A102" s="156"/>
      <c r="B102" s="7" t="s">
        <v>32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24">
        <f t="shared" si="5"/>
        <v>0</v>
      </c>
    </row>
    <row r="103" spans="1:15" s="102" customFormat="1" ht="12" x14ac:dyDescent="0.25">
      <c r="A103" s="253"/>
    </row>
    <row r="104" spans="1:15" s="102" customFormat="1" ht="12" x14ac:dyDescent="0.25">
      <c r="A104" s="252"/>
    </row>
    <row r="105" spans="1:15" s="64" customFormat="1" x14ac:dyDescent="0.3">
      <c r="A105" s="159"/>
    </row>
    <row r="106" spans="1:15" s="64" customFormat="1" x14ac:dyDescent="0.3">
      <c r="A106" s="159"/>
    </row>
    <row r="107" spans="1:15" s="102" customFormat="1" ht="12" x14ac:dyDescent="0.25">
      <c r="A107" s="252"/>
    </row>
    <row r="108" spans="1:15" s="102" customFormat="1" ht="12" x14ac:dyDescent="0.25">
      <c r="A108" s="252"/>
    </row>
    <row r="109" spans="1:15" s="64" customFormat="1" x14ac:dyDescent="0.3">
      <c r="A109" s="159"/>
    </row>
    <row r="110" spans="1:15" s="64" customFormat="1" x14ac:dyDescent="0.3">
      <c r="A110" s="159"/>
    </row>
    <row r="111" spans="1:15" s="102" customFormat="1" ht="12" x14ac:dyDescent="0.25">
      <c r="A111" s="252"/>
    </row>
    <row r="112" spans="1:15" s="102" customFormat="1" ht="12" x14ac:dyDescent="0.25">
      <c r="A112" s="252"/>
    </row>
    <row r="113" spans="1:1" s="64" customFormat="1" x14ac:dyDescent="0.3">
      <c r="A113" s="159"/>
    </row>
    <row r="114" spans="1:1" s="64" customFormat="1" x14ac:dyDescent="0.3">
      <c r="A114" s="159"/>
    </row>
    <row r="115" spans="1:1" s="102" customFormat="1" ht="12" x14ac:dyDescent="0.25">
      <c r="A115" s="252"/>
    </row>
    <row r="116" spans="1:1" s="102" customFormat="1" ht="12" x14ac:dyDescent="0.25">
      <c r="A116" s="252"/>
    </row>
    <row r="117" spans="1:1" s="64" customFormat="1" x14ac:dyDescent="0.3">
      <c r="A117" s="159"/>
    </row>
    <row r="118" spans="1:1" s="64" customFormat="1" x14ac:dyDescent="0.3">
      <c r="A118" s="159"/>
    </row>
    <row r="119" spans="1:1" s="102" customFormat="1" ht="12" x14ac:dyDescent="0.25">
      <c r="A119" s="252"/>
    </row>
    <row r="120" spans="1:1" s="102" customFormat="1" ht="12" x14ac:dyDescent="0.25">
      <c r="A120" s="252"/>
    </row>
    <row r="121" spans="1:1" s="64" customFormat="1" x14ac:dyDescent="0.3">
      <c r="A121" s="159"/>
    </row>
    <row r="122" spans="1:1" s="64" customFormat="1" x14ac:dyDescent="0.3">
      <c r="A122" s="159"/>
    </row>
    <row r="123" spans="1:1" s="102" customFormat="1" ht="12" x14ac:dyDescent="0.25">
      <c r="A123" s="252"/>
    </row>
    <row r="124" spans="1:1" s="102" customFormat="1" ht="12" x14ac:dyDescent="0.25">
      <c r="A124" s="252"/>
    </row>
    <row r="125" spans="1:1" s="64" customFormat="1" ht="11.4" customHeight="1" x14ac:dyDescent="0.3">
      <c r="A125" s="159"/>
    </row>
    <row r="126" spans="1:1" s="64" customFormat="1" x14ac:dyDescent="0.3">
      <c r="A126" s="159"/>
    </row>
    <row r="127" spans="1:1" s="102" customFormat="1" ht="12" x14ac:dyDescent="0.25">
      <c r="A127" s="252"/>
    </row>
    <row r="128" spans="1:1" s="102" customFormat="1" ht="12" x14ac:dyDescent="0.25">
      <c r="A128" s="252"/>
    </row>
    <row r="129" spans="1:1" s="64" customFormat="1" x14ac:dyDescent="0.3">
      <c r="A129" s="159"/>
    </row>
    <row r="130" spans="1:1" s="64" customFormat="1" x14ac:dyDescent="0.3">
      <c r="A130" s="159"/>
    </row>
    <row r="131" spans="1:1" s="102" customFormat="1" ht="12" x14ac:dyDescent="0.25">
      <c r="A131" s="252"/>
    </row>
    <row r="132" spans="1:1" s="102" customFormat="1" ht="12" x14ac:dyDescent="0.25">
      <c r="A132" s="252"/>
    </row>
    <row r="133" spans="1:1" s="64" customFormat="1" x14ac:dyDescent="0.3">
      <c r="A133" s="159"/>
    </row>
    <row r="134" spans="1:1" s="64" customFormat="1" x14ac:dyDescent="0.3">
      <c r="A134" s="159"/>
    </row>
    <row r="135" spans="1:1" s="102" customFormat="1" ht="12" x14ac:dyDescent="0.25">
      <c r="A135" s="252"/>
    </row>
    <row r="136" spans="1:1" s="102" customFormat="1" ht="12" x14ac:dyDescent="0.25">
      <c r="A136" s="252"/>
    </row>
    <row r="137" spans="1:1" s="64" customFormat="1" x14ac:dyDescent="0.3">
      <c r="A137" s="159"/>
    </row>
    <row r="138" spans="1:1" s="64" customFormat="1" x14ac:dyDescent="0.3">
      <c r="A138" s="159"/>
    </row>
    <row r="139" spans="1:1" s="102" customFormat="1" ht="12" x14ac:dyDescent="0.25">
      <c r="A139" s="252"/>
    </row>
    <row r="140" spans="1:1" s="102" customFormat="1" ht="12" x14ac:dyDescent="0.25">
      <c r="A140" s="252"/>
    </row>
    <row r="141" spans="1:1" s="64" customFormat="1" x14ac:dyDescent="0.3">
      <c r="A141" s="159"/>
    </row>
    <row r="142" spans="1:1" s="64" customFormat="1" x14ac:dyDescent="0.3">
      <c r="A142" s="159"/>
    </row>
    <row r="143" spans="1:1" s="102" customFormat="1" ht="12" x14ac:dyDescent="0.25">
      <c r="A143" s="252"/>
    </row>
    <row r="144" spans="1:1" s="102" customFormat="1" ht="12" x14ac:dyDescent="0.25">
      <c r="A144" s="252"/>
    </row>
    <row r="145" spans="1:1" s="64" customFormat="1" x14ac:dyDescent="0.3">
      <c r="A145" s="159"/>
    </row>
    <row r="146" spans="1:1" s="64" customFormat="1" x14ac:dyDescent="0.3">
      <c r="A146" s="159"/>
    </row>
    <row r="147" spans="1:1" s="102" customFormat="1" ht="12" x14ac:dyDescent="0.25">
      <c r="A147" s="252"/>
    </row>
    <row r="148" spans="1:1" s="102" customFormat="1" ht="12" x14ac:dyDescent="0.25">
      <c r="A148" s="252"/>
    </row>
    <row r="149" spans="1:1" s="64" customFormat="1" x14ac:dyDescent="0.3">
      <c r="A149" s="159"/>
    </row>
    <row r="150" spans="1:1" s="64" customFormat="1" x14ac:dyDescent="0.3">
      <c r="A150" s="159"/>
    </row>
    <row r="151" spans="1:1" s="102" customFormat="1" ht="12" x14ac:dyDescent="0.25">
      <c r="A151" s="252"/>
    </row>
    <row r="152" spans="1:1" s="102" customFormat="1" ht="12" x14ac:dyDescent="0.25">
      <c r="A152" s="252"/>
    </row>
    <row r="153" spans="1:1" s="64" customFormat="1" x14ac:dyDescent="0.3">
      <c r="A153" s="159"/>
    </row>
    <row r="154" spans="1:1" s="64" customFormat="1" x14ac:dyDescent="0.3">
      <c r="A154" s="159"/>
    </row>
    <row r="155" spans="1:1" s="102" customFormat="1" ht="12" x14ac:dyDescent="0.25">
      <c r="A155" s="252"/>
    </row>
    <row r="156" spans="1:1" s="102" customFormat="1" ht="12" x14ac:dyDescent="0.25">
      <c r="A156" s="252"/>
    </row>
    <row r="157" spans="1:1" s="64" customFormat="1" x14ac:dyDescent="0.3">
      <c r="A157" s="159"/>
    </row>
    <row r="158" spans="1:1" s="64" customFormat="1" x14ac:dyDescent="0.3">
      <c r="A158" s="159"/>
    </row>
    <row r="159" spans="1:1" s="102" customFormat="1" ht="12" x14ac:dyDescent="0.25">
      <c r="A159" s="252"/>
    </row>
    <row r="160" spans="1:1" s="102" customFormat="1" ht="12" x14ac:dyDescent="0.25">
      <c r="A160" s="252"/>
    </row>
    <row r="161" spans="1:1" s="64" customFormat="1" x14ac:dyDescent="0.3">
      <c r="A161" s="159"/>
    </row>
    <row r="162" spans="1:1" s="64" customFormat="1" x14ac:dyDescent="0.3">
      <c r="A162" s="159"/>
    </row>
    <row r="163" spans="1:1" s="102" customFormat="1" ht="12" x14ac:dyDescent="0.25">
      <c r="A163" s="252"/>
    </row>
    <row r="164" spans="1:1" s="102" customFormat="1" ht="12" x14ac:dyDescent="0.25">
      <c r="A164" s="252"/>
    </row>
    <row r="165" spans="1:1" s="64" customFormat="1" x14ac:dyDescent="0.3">
      <c r="A165" s="159"/>
    </row>
    <row r="166" spans="1:1" s="64" customFormat="1" x14ac:dyDescent="0.3">
      <c r="A166" s="159"/>
    </row>
    <row r="167" spans="1:1" s="102" customFormat="1" ht="12" x14ac:dyDescent="0.25">
      <c r="A167" s="252"/>
    </row>
    <row r="168" spans="1:1" s="102" customFormat="1" ht="12" x14ac:dyDescent="0.25">
      <c r="A168" s="252"/>
    </row>
    <row r="169" spans="1:1" s="64" customFormat="1" x14ac:dyDescent="0.3">
      <c r="A169" s="159"/>
    </row>
    <row r="170" spans="1:1" s="64" customFormat="1" x14ac:dyDescent="0.3">
      <c r="A170" s="159"/>
    </row>
    <row r="171" spans="1:1" s="102" customFormat="1" ht="12" x14ac:dyDescent="0.25">
      <c r="A171" s="252"/>
    </row>
    <row r="172" spans="1:1" s="102" customFormat="1" ht="12" x14ac:dyDescent="0.25">
      <c r="A172" s="252"/>
    </row>
    <row r="173" spans="1:1" s="64" customFormat="1" x14ac:dyDescent="0.3">
      <c r="A173" s="159"/>
    </row>
    <row r="174" spans="1:1" s="64" customFormat="1" x14ac:dyDescent="0.3">
      <c r="A174" s="159"/>
    </row>
    <row r="175" spans="1:1" s="102" customFormat="1" ht="12" x14ac:dyDescent="0.25">
      <c r="A175" s="252"/>
    </row>
    <row r="176" spans="1:1" s="102" customFormat="1" ht="12" x14ac:dyDescent="0.25">
      <c r="A176" s="252"/>
    </row>
    <row r="177" spans="1:1" s="64" customFormat="1" x14ac:dyDescent="0.3">
      <c r="A177" s="159"/>
    </row>
    <row r="178" spans="1:1" s="64" customFormat="1" x14ac:dyDescent="0.3">
      <c r="A178" s="159"/>
    </row>
    <row r="179" spans="1:1" s="102" customFormat="1" ht="12" x14ac:dyDescent="0.25">
      <c r="A179" s="252"/>
    </row>
    <row r="180" spans="1:1" s="102" customFormat="1" ht="12" x14ac:dyDescent="0.25">
      <c r="A180" s="252"/>
    </row>
    <row r="181" spans="1:1" s="64" customFormat="1" x14ac:dyDescent="0.3">
      <c r="A181" s="159"/>
    </row>
    <row r="182" spans="1:1" s="64" customFormat="1" x14ac:dyDescent="0.3">
      <c r="A182" s="159"/>
    </row>
    <row r="183" spans="1:1" s="102" customFormat="1" ht="12" x14ac:dyDescent="0.25">
      <c r="A183" s="252"/>
    </row>
    <row r="184" spans="1:1" s="102" customFormat="1" ht="12" x14ac:dyDescent="0.25">
      <c r="A184" s="252"/>
    </row>
    <row r="185" spans="1:1" s="64" customFormat="1" x14ac:dyDescent="0.3">
      <c r="A185" s="159"/>
    </row>
    <row r="186" spans="1:1" s="64" customFormat="1" x14ac:dyDescent="0.3">
      <c r="A186" s="159"/>
    </row>
    <row r="187" spans="1:1" s="102" customFormat="1" ht="12" x14ac:dyDescent="0.25">
      <c r="A187" s="252"/>
    </row>
    <row r="188" spans="1:1" s="102" customFormat="1" ht="12" x14ac:dyDescent="0.25">
      <c r="A188" s="252"/>
    </row>
    <row r="189" spans="1:1" s="64" customFormat="1" x14ac:dyDescent="0.3">
      <c r="A189" s="159"/>
    </row>
    <row r="190" spans="1:1" s="64" customFormat="1" x14ac:dyDescent="0.3">
      <c r="A190" s="159"/>
    </row>
    <row r="191" spans="1:1" s="102" customFormat="1" ht="12" x14ac:dyDescent="0.25">
      <c r="A191" s="252"/>
    </row>
    <row r="192" spans="1:1" s="102" customFormat="1" ht="12" x14ac:dyDescent="0.25">
      <c r="A192" s="252"/>
    </row>
    <row r="193" spans="1:1" s="64" customFormat="1" x14ac:dyDescent="0.3">
      <c r="A193" s="159"/>
    </row>
    <row r="194" spans="1:1" s="64" customFormat="1" x14ac:dyDescent="0.3">
      <c r="A194" s="159"/>
    </row>
    <row r="195" spans="1:1" s="102" customFormat="1" ht="12" x14ac:dyDescent="0.25">
      <c r="A195" s="252"/>
    </row>
    <row r="196" spans="1:1" s="102" customFormat="1" ht="12" x14ac:dyDescent="0.25">
      <c r="A196" s="252"/>
    </row>
    <row r="197" spans="1:1" s="64" customFormat="1" x14ac:dyDescent="0.3">
      <c r="A197" s="159"/>
    </row>
    <row r="198" spans="1:1" s="64" customFormat="1" x14ac:dyDescent="0.3">
      <c r="A198" s="159"/>
    </row>
    <row r="199" spans="1:1" s="102" customFormat="1" ht="12" x14ac:dyDescent="0.25">
      <c r="A199" s="252"/>
    </row>
    <row r="200" spans="1:1" s="102" customFormat="1" ht="12" x14ac:dyDescent="0.25">
      <c r="A200" s="252"/>
    </row>
    <row r="201" spans="1:1" s="64" customFormat="1" x14ac:dyDescent="0.3">
      <c r="A201" s="159"/>
    </row>
    <row r="202" spans="1:1" s="64" customFormat="1" x14ac:dyDescent="0.3">
      <c r="A202" s="159"/>
    </row>
    <row r="203" spans="1:1" s="102" customFormat="1" ht="12" x14ac:dyDescent="0.25">
      <c r="A203" s="252"/>
    </row>
    <row r="204" spans="1:1" s="102" customFormat="1" ht="12" x14ac:dyDescent="0.25">
      <c r="A204" s="252"/>
    </row>
    <row r="205" spans="1:1" s="64" customFormat="1" x14ac:dyDescent="0.3">
      <c r="A205" s="159"/>
    </row>
    <row r="206" spans="1:1" s="64" customFormat="1" x14ac:dyDescent="0.3">
      <c r="A206" s="159"/>
    </row>
    <row r="207" spans="1:1" s="102" customFormat="1" ht="12" x14ac:dyDescent="0.25">
      <c r="A207" s="252"/>
    </row>
    <row r="208" spans="1:1" s="102" customFormat="1" ht="12" x14ac:dyDescent="0.25">
      <c r="A208" s="252"/>
    </row>
    <row r="209" spans="1:1" s="64" customFormat="1" x14ac:dyDescent="0.3">
      <c r="A209" s="159"/>
    </row>
    <row r="210" spans="1:1" s="64" customFormat="1" x14ac:dyDescent="0.3">
      <c r="A210" s="159"/>
    </row>
    <row r="211" spans="1:1" s="102" customFormat="1" ht="12" x14ac:dyDescent="0.25">
      <c r="A211" s="252"/>
    </row>
    <row r="212" spans="1:1" s="102" customFormat="1" ht="12" x14ac:dyDescent="0.25">
      <c r="A212" s="252"/>
    </row>
    <row r="213" spans="1:1" s="64" customFormat="1" x14ac:dyDescent="0.3">
      <c r="A213" s="159"/>
    </row>
    <row r="214" spans="1:1" s="64" customFormat="1" x14ac:dyDescent="0.3">
      <c r="A214" s="159"/>
    </row>
    <row r="215" spans="1:1" s="102" customFormat="1" ht="12" x14ac:dyDescent="0.25">
      <c r="A215" s="252"/>
    </row>
    <row r="216" spans="1:1" s="102" customFormat="1" ht="12" x14ac:dyDescent="0.25">
      <c r="A216" s="252"/>
    </row>
    <row r="217" spans="1:1" s="64" customFormat="1" x14ac:dyDescent="0.3">
      <c r="A217" s="107"/>
    </row>
    <row r="218" spans="1:1" s="64" customFormat="1" x14ac:dyDescent="0.3">
      <c r="A218" s="107"/>
    </row>
  </sheetData>
  <mergeCells count="54">
    <mergeCell ref="A211:A212"/>
    <mergeCell ref="A215:A216"/>
    <mergeCell ref="A3:A6"/>
    <mergeCell ref="A191:A192"/>
    <mergeCell ref="A195:A196"/>
    <mergeCell ref="A199:A200"/>
    <mergeCell ref="A203:A204"/>
    <mergeCell ref="A207:A208"/>
    <mergeCell ref="A171:A172"/>
    <mergeCell ref="A175:A176"/>
    <mergeCell ref="A179:A180"/>
    <mergeCell ref="A183:A184"/>
    <mergeCell ref="A187:A188"/>
    <mergeCell ref="A151:A152"/>
    <mergeCell ref="A155:A156"/>
    <mergeCell ref="A159:A160"/>
    <mergeCell ref="A163:A164"/>
    <mergeCell ref="A167:A168"/>
    <mergeCell ref="A131:A132"/>
    <mergeCell ref="A135:A136"/>
    <mergeCell ref="A139:A140"/>
    <mergeCell ref="A143:A144"/>
    <mergeCell ref="A147:A148"/>
    <mergeCell ref="A111:A112"/>
    <mergeCell ref="A115:A116"/>
    <mergeCell ref="A119:A120"/>
    <mergeCell ref="A123:A124"/>
    <mergeCell ref="A127:A128"/>
    <mergeCell ref="A1:O1"/>
    <mergeCell ref="A11:A12"/>
    <mergeCell ref="A15:A16"/>
    <mergeCell ref="A19:A20"/>
    <mergeCell ref="A23:A24"/>
    <mergeCell ref="A27:A28"/>
    <mergeCell ref="A71:A72"/>
    <mergeCell ref="A75:A76"/>
    <mergeCell ref="A79:A80"/>
    <mergeCell ref="A83:A84"/>
    <mergeCell ref="A31:A32"/>
    <mergeCell ref="A35:A36"/>
    <mergeCell ref="A39:A40"/>
    <mergeCell ref="A43:A44"/>
    <mergeCell ref="A47:A48"/>
    <mergeCell ref="A51:A52"/>
    <mergeCell ref="A55:A56"/>
    <mergeCell ref="A59:A60"/>
    <mergeCell ref="A63:A64"/>
    <mergeCell ref="A67:A68"/>
    <mergeCell ref="A107:A108"/>
    <mergeCell ref="A87:A88"/>
    <mergeCell ref="A91:A92"/>
    <mergeCell ref="A95:A96"/>
    <mergeCell ref="A99:A100"/>
    <mergeCell ref="A103:A104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93EA-D894-4F05-8D51-1BF49AEBD55F}">
  <sheetPr codeName="Sheet12"/>
  <dimension ref="A1:P218"/>
  <sheetViews>
    <sheetView zoomScale="10" zoomScaleNormal="10" workbookViewId="0">
      <pane xSplit="1" ySplit="2" topLeftCell="M13" activePane="bottomRight" state="frozen"/>
      <selection pane="topRight" activeCell="M13" sqref="M13"/>
      <selection pane="bottomLeft" activeCell="M13" sqref="M13"/>
      <selection pane="bottomRight" activeCell="V24" sqref="V24"/>
    </sheetView>
  </sheetViews>
  <sheetFormatPr defaultColWidth="9.109375" defaultRowHeight="14.4" x14ac:dyDescent="0.3"/>
  <cols>
    <col min="1" max="1" width="23.109375" style="54" customWidth="1"/>
    <col min="2" max="2" width="22.88671875" style="52" bestFit="1" customWidth="1"/>
    <col min="3" max="14" width="12.44140625" style="52" customWidth="1"/>
    <col min="15" max="15" width="15.44140625" style="52" customWidth="1"/>
    <col min="16" max="16384" width="9.109375" style="52"/>
  </cols>
  <sheetData>
    <row r="1" spans="1:16" ht="33.75" customHeight="1" x14ac:dyDescent="0.6">
      <c r="A1" s="232" t="s">
        <v>307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16" x14ac:dyDescent="0.3">
      <c r="A2" s="68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69" t="s">
        <v>7</v>
      </c>
      <c r="J2" s="69" t="s">
        <v>8</v>
      </c>
      <c r="K2" s="69" t="s">
        <v>9</v>
      </c>
      <c r="L2" s="69" t="s">
        <v>10</v>
      </c>
      <c r="M2" s="69" t="s">
        <v>11</v>
      </c>
      <c r="N2" s="69" t="s">
        <v>12</v>
      </c>
      <c r="O2" s="69" t="s">
        <v>13</v>
      </c>
    </row>
    <row r="3" spans="1:16" s="102" customFormat="1" ht="14.4" customHeight="1" x14ac:dyDescent="0.25">
      <c r="A3" s="239" t="s">
        <v>15</v>
      </c>
      <c r="B3" s="181" t="s">
        <v>16</v>
      </c>
      <c r="C3" s="182">
        <f>SUMIFS(C$11:C992,$B$11:$B992,"Actual 2024")</f>
        <v>0</v>
      </c>
      <c r="D3" s="182">
        <f>SUMIFS(D$11:D992,$B$11:$B992,"Actual 2024")</f>
        <v>0</v>
      </c>
      <c r="E3" s="182">
        <f>SUMIFS(E$11:E992,$B$11:$B992,"Actual 2024")</f>
        <v>0</v>
      </c>
      <c r="F3" s="182">
        <f>SUMIFS(F$11:F992,$B$11:$B992,"Actual 2024")</f>
        <v>0</v>
      </c>
      <c r="G3" s="182">
        <f>SUMIFS(G$11:G992,$B$11:$B992,"Actual 2024")</f>
        <v>0</v>
      </c>
      <c r="H3" s="182">
        <f>SUMIFS(H$11:H992,$B$11:$B992,"Actual 2024")</f>
        <v>0</v>
      </c>
      <c r="I3" s="185">
        <f>SUMIFS(I$11:I992,$B$11:$B992,"Actual 2024")</f>
        <v>0</v>
      </c>
      <c r="J3" s="185">
        <f>SUMIFS(J$11:J992,$B$11:$B992,"Actual 2024")</f>
        <v>0</v>
      </c>
      <c r="K3" s="185">
        <f>SUMIFS(K$11:K992,$B$11:$B992,"Actual 2024")</f>
        <v>10240</v>
      </c>
      <c r="L3" s="185">
        <f>SUMIFS(L$11:L992,$B$11:$B992,"Actual 2024")</f>
        <v>10933.35</v>
      </c>
      <c r="M3" s="185">
        <f>SUMIFS(M$11:M992,$B$11:$B992,"Actual 2024")</f>
        <v>0</v>
      </c>
      <c r="N3" s="185">
        <f>SUMIFS(N$11:N992,$B$11:$B992,"Actual 2024")</f>
        <v>0</v>
      </c>
      <c r="O3" s="183">
        <f>SUMIFS(O$11:O992,$B$11:$B992,"Actual 2024")</f>
        <v>21173.35</v>
      </c>
      <c r="P3" s="126">
        <v>21233.35</v>
      </c>
    </row>
    <row r="4" spans="1:16" s="102" customFormat="1" ht="14.4" customHeight="1" x14ac:dyDescent="0.25">
      <c r="A4" s="240"/>
      <c r="B4" s="184" t="s">
        <v>27</v>
      </c>
      <c r="C4" s="189">
        <f>SUMIFS(C$11:C992,$B$11:$B992,"Estimated")</f>
        <v>0</v>
      </c>
      <c r="D4" s="189">
        <f>SUMIFS(D$11:D992,$B$11:$B992,"Estimated")</f>
        <v>0</v>
      </c>
      <c r="E4" s="189">
        <f>SUMIFS(E$11:E992,$B$11:$B992,"Estimated")</f>
        <v>0</v>
      </c>
      <c r="F4" s="189">
        <f>SUMIFS(F$11:F992,$B$11:$B992,"Estimated")</f>
        <v>0</v>
      </c>
      <c r="G4" s="189">
        <f>SUMIFS(G$11:G992,$B$11:$B992,"Estimated")</f>
        <v>0</v>
      </c>
      <c r="H4" s="189">
        <f>SUMIFS(H$11:H992,$B$11:$B992,"Estimated")</f>
        <v>0</v>
      </c>
      <c r="I4" s="192">
        <f>SUMIFS(I$11:I992,$B$11:$B992,"Estimated")</f>
        <v>0</v>
      </c>
      <c r="J4" s="192">
        <f>SUMIFS(J$11:J992,$B$11:$B992,"Estimated")</f>
        <v>0</v>
      </c>
      <c r="K4" s="192">
        <f>SUMIFS(K$11:K992,$B$11:$B992,"Estimated")</f>
        <v>0</v>
      </c>
      <c r="L4" s="192">
        <f>SUMIFS(L$11:L992,$B$11:$B992,"Estimated")</f>
        <v>0</v>
      </c>
      <c r="M4" s="192">
        <f>SUMIFS(M$11:M992,$B$11:$B992,"Estimated")</f>
        <v>0</v>
      </c>
      <c r="N4" s="192">
        <f>SUMIFS(N$11:N992,$B$11:$B992,"Estimated")</f>
        <v>0</v>
      </c>
      <c r="O4" s="191">
        <f>SUMIFS(O$11:O992,$B$11:$B992,"Estimated")</f>
        <v>0</v>
      </c>
    </row>
    <row r="5" spans="1:16" s="166" customFormat="1" ht="14.4" customHeight="1" x14ac:dyDescent="0.3">
      <c r="A5" s="240"/>
      <c r="B5" s="162" t="s">
        <v>18</v>
      </c>
      <c r="C5" s="163">
        <v>0</v>
      </c>
      <c r="D5" s="163">
        <v>0</v>
      </c>
      <c r="E5" s="163">
        <v>0</v>
      </c>
      <c r="F5" s="163">
        <v>0</v>
      </c>
      <c r="G5" s="163">
        <v>0</v>
      </c>
      <c r="H5" s="163">
        <v>0</v>
      </c>
      <c r="I5" s="163">
        <v>0</v>
      </c>
      <c r="J5" s="163">
        <v>0</v>
      </c>
      <c r="K5" s="163">
        <v>0</v>
      </c>
      <c r="L5" s="163">
        <v>0</v>
      </c>
      <c r="M5" s="163">
        <v>0</v>
      </c>
      <c r="N5" s="163">
        <v>0</v>
      </c>
      <c r="O5" s="168">
        <f t="shared" ref="O5" si="0">SUM(C5:N5)</f>
        <v>0</v>
      </c>
      <c r="P5" s="166">
        <v>0</v>
      </c>
    </row>
    <row r="6" spans="1:16" s="166" customFormat="1" ht="15" thickBot="1" x14ac:dyDescent="0.35">
      <c r="A6" s="241"/>
      <c r="B6" s="174" t="s">
        <v>19</v>
      </c>
      <c r="C6" s="175">
        <f>SUMIFS(C$11:C997,$B$11:$B997,"Actual")</f>
        <v>0</v>
      </c>
      <c r="D6" s="175">
        <f>SUMIFS(D$11:D997,$B$11:$B997,"Actual")</f>
        <v>0</v>
      </c>
      <c r="E6" s="175">
        <f>SUMIFS(E$11:E997,$B$11:$B997,"Actual")</f>
        <v>0</v>
      </c>
      <c r="F6" s="175">
        <f>SUMIFS(F$11:F997,$B$11:$B997,"Actual")</f>
        <v>0</v>
      </c>
      <c r="G6" s="175">
        <f>SUMIFS(G$11:G997,$B$11:$B997,"Actual")</f>
        <v>0</v>
      </c>
      <c r="H6" s="175">
        <f>SUMIFS(H$11:H997,$B$11:$B997,"Actual")</f>
        <v>0</v>
      </c>
      <c r="I6" s="177">
        <f>SUMIFS(I$11:I997,$B$11:$B997,"Actual")</f>
        <v>0</v>
      </c>
      <c r="J6" s="177">
        <f>SUMIFS(J$11:J997,$B$11:$B997,"Actual")</f>
        <v>0</v>
      </c>
      <c r="K6" s="177">
        <f>SUMIFS(K$11:K997,$B$11:$B997,"Actual")</f>
        <v>0</v>
      </c>
      <c r="L6" s="177">
        <f>SUMIFS(L$11:L997,$B$11:$B997,"Actual")</f>
        <v>0</v>
      </c>
      <c r="M6" s="177">
        <f>SUMIFS(M$11:M997,$B$11:$B997,"Actual")</f>
        <v>0</v>
      </c>
      <c r="N6" s="177">
        <f>SUMIFS(N$11:N997,$B$11:$B997,"Actual")</f>
        <v>0</v>
      </c>
      <c r="O6" s="176">
        <f>SUMIFS(O$11:O997,$B$11:$B997,"Actual")</f>
        <v>0</v>
      </c>
    </row>
    <row r="7" spans="1:16" s="64" customFormat="1" ht="15" thickTop="1" x14ac:dyDescent="0.3">
      <c r="A7" s="134"/>
      <c r="B7" s="70" t="s">
        <v>21</v>
      </c>
      <c r="C7" s="60">
        <f t="shared" ref="C7:I7" si="1">C5-C6</f>
        <v>0</v>
      </c>
      <c r="D7" s="60">
        <f t="shared" si="1"/>
        <v>0</v>
      </c>
      <c r="E7" s="60">
        <f t="shared" si="1"/>
        <v>0</v>
      </c>
      <c r="F7" s="60">
        <f t="shared" si="1"/>
        <v>0</v>
      </c>
      <c r="G7" s="60">
        <f t="shared" si="1"/>
        <v>0</v>
      </c>
      <c r="H7" s="60">
        <f t="shared" si="1"/>
        <v>0</v>
      </c>
      <c r="I7" s="60">
        <f t="shared" si="1"/>
        <v>0</v>
      </c>
      <c r="J7" s="60">
        <f t="shared" ref="J7:N7" si="2">J5-J6</f>
        <v>0</v>
      </c>
      <c r="K7" s="60">
        <f t="shared" si="2"/>
        <v>0</v>
      </c>
      <c r="L7" s="60">
        <f t="shared" si="2"/>
        <v>0</v>
      </c>
      <c r="M7" s="60">
        <f t="shared" si="2"/>
        <v>0</v>
      </c>
      <c r="N7" s="60">
        <f t="shared" si="2"/>
        <v>0</v>
      </c>
      <c r="O7" s="75">
        <f>O5-O6</f>
        <v>0</v>
      </c>
    </row>
    <row r="8" spans="1:16" s="142" customFormat="1" x14ac:dyDescent="0.3">
      <c r="A8" s="138"/>
      <c r="B8" s="139" t="s">
        <v>23</v>
      </c>
      <c r="C8" s="140">
        <f>SUM($C6:C6)</f>
        <v>0</v>
      </c>
      <c r="D8" s="140">
        <f>SUM($C6:D6)</f>
        <v>0</v>
      </c>
      <c r="E8" s="140">
        <f>SUM($C6:E6)</f>
        <v>0</v>
      </c>
      <c r="F8" s="140">
        <f>SUM($C6:F6)</f>
        <v>0</v>
      </c>
      <c r="G8" s="140">
        <f>SUM($C6:G6)</f>
        <v>0</v>
      </c>
      <c r="H8" s="140">
        <f>SUM($C6:H6)</f>
        <v>0</v>
      </c>
      <c r="I8" s="140">
        <f>SUM($C6:I6)</f>
        <v>0</v>
      </c>
      <c r="J8" s="140">
        <f>SUM($C6:J6)</f>
        <v>0</v>
      </c>
      <c r="K8" s="140">
        <f>SUM($C6:K6)</f>
        <v>0</v>
      </c>
      <c r="L8" s="140">
        <f>SUM($C6:L6)</f>
        <v>0</v>
      </c>
      <c r="M8" s="140">
        <f>SUM($C6:M6)</f>
        <v>0</v>
      </c>
      <c r="N8" s="140">
        <f>SUM($C6:N6)</f>
        <v>0</v>
      </c>
      <c r="O8" s="141">
        <f>O6</f>
        <v>0</v>
      </c>
    </row>
    <row r="9" spans="1:16" s="142" customFormat="1" x14ac:dyDescent="0.3">
      <c r="A9" s="143"/>
      <c r="B9" s="144" t="s">
        <v>25</v>
      </c>
      <c r="C9" s="145">
        <f>SUM($C5:C5)-C8</f>
        <v>0</v>
      </c>
      <c r="D9" s="145">
        <f>SUM($C5:D5)-D8</f>
        <v>0</v>
      </c>
      <c r="E9" s="145">
        <f>SUM($C5:E5)-E8</f>
        <v>0</v>
      </c>
      <c r="F9" s="145">
        <f>SUM($C5:F5)-F8</f>
        <v>0</v>
      </c>
      <c r="G9" s="145">
        <f>SUM($C5:G5)-G8</f>
        <v>0</v>
      </c>
      <c r="H9" s="145">
        <f>SUM($C5:H5)-H8</f>
        <v>0</v>
      </c>
      <c r="I9" s="145">
        <f>SUM($C5:I5)-I8</f>
        <v>0</v>
      </c>
      <c r="J9" s="145">
        <f>SUM($C5:J5)-J8</f>
        <v>0</v>
      </c>
      <c r="K9" s="145">
        <f>SUM($C5:K5)-K8</f>
        <v>0</v>
      </c>
      <c r="L9" s="145">
        <f>SUM($C5:L5)-L8</f>
        <v>0</v>
      </c>
      <c r="M9" s="145">
        <f>SUM($C5:M5)-M8</f>
        <v>0</v>
      </c>
      <c r="N9" s="145">
        <f>SUM($C5:N5)-N8</f>
        <v>0</v>
      </c>
      <c r="O9" s="146"/>
    </row>
    <row r="10" spans="1:16" x14ac:dyDescent="0.3"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6" s="102" customFormat="1" ht="12" x14ac:dyDescent="0.25">
      <c r="A11" s="235" t="s">
        <v>308</v>
      </c>
      <c r="B11" s="99" t="s">
        <v>16</v>
      </c>
      <c r="C11" s="100"/>
      <c r="D11" s="100"/>
      <c r="E11" s="100"/>
      <c r="F11" s="100"/>
      <c r="G11" s="100"/>
      <c r="H11" s="100"/>
      <c r="I11" s="100"/>
      <c r="J11" s="100"/>
      <c r="K11" s="100">
        <v>6240</v>
      </c>
      <c r="L11" s="100">
        <v>6240</v>
      </c>
      <c r="M11" s="100"/>
      <c r="N11" s="100"/>
      <c r="O11" s="101">
        <f t="shared" ref="O11:O34" si="3">SUM(C11:N11)</f>
        <v>12480</v>
      </c>
    </row>
    <row r="12" spans="1:16" s="102" customFormat="1" ht="12" x14ac:dyDescent="0.25">
      <c r="A12" s="235"/>
      <c r="B12" s="99" t="s">
        <v>29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3">
        <f>SUM(C12:N12)</f>
        <v>0</v>
      </c>
    </row>
    <row r="13" spans="1:16" s="67" customFormat="1" ht="12.6" customHeight="1" x14ac:dyDescent="0.3">
      <c r="A13" s="155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00">
        <v>0</v>
      </c>
      <c r="N13" s="115"/>
      <c r="O13" s="66">
        <f t="shared" si="3"/>
        <v>0</v>
      </c>
    </row>
    <row r="14" spans="1:16" s="67" customFormat="1" ht="12.6" customHeight="1" x14ac:dyDescent="0.3">
      <c r="A14" s="156"/>
      <c r="B14" s="116" t="s">
        <v>32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8">
        <f t="shared" si="3"/>
        <v>0</v>
      </c>
    </row>
    <row r="15" spans="1:16" s="102" customFormat="1" ht="12" x14ac:dyDescent="0.25">
      <c r="A15" s="236" t="s">
        <v>309</v>
      </c>
      <c r="B15" s="99" t="s">
        <v>16</v>
      </c>
      <c r="C15" s="100"/>
      <c r="D15" s="100"/>
      <c r="E15" s="100"/>
      <c r="F15" s="100"/>
      <c r="G15" s="100"/>
      <c r="H15" s="100"/>
      <c r="I15" s="100"/>
      <c r="J15" s="100"/>
      <c r="K15" s="100">
        <v>4000</v>
      </c>
      <c r="L15" s="100"/>
      <c r="M15" s="100"/>
      <c r="N15" s="100"/>
      <c r="O15" s="101">
        <f t="shared" si="3"/>
        <v>4000</v>
      </c>
    </row>
    <row r="16" spans="1:16" s="102" customFormat="1" ht="12" x14ac:dyDescent="0.25">
      <c r="A16" s="235"/>
      <c r="B16" s="99" t="s">
        <v>29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3">
        <f t="shared" si="3"/>
        <v>0</v>
      </c>
    </row>
    <row r="17" spans="1:15" s="67" customFormat="1" ht="12.6" customHeight="1" x14ac:dyDescent="0.3">
      <c r="A17" s="155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>
        <f>SUM(C17:N17)</f>
        <v>0</v>
      </c>
    </row>
    <row r="18" spans="1:15" s="67" customFormat="1" ht="12.6" customHeight="1" x14ac:dyDescent="0.3">
      <c r="A18" s="156"/>
      <c r="B18" s="116" t="s">
        <v>32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8">
        <f t="shared" si="3"/>
        <v>0</v>
      </c>
    </row>
    <row r="19" spans="1:15" s="102" customFormat="1" ht="12" x14ac:dyDescent="0.25">
      <c r="A19" s="236" t="s">
        <v>310</v>
      </c>
      <c r="B19" s="99" t="s">
        <v>16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>
        <v>4693.3500000000004</v>
      </c>
      <c r="M19" s="100"/>
      <c r="N19" s="100"/>
      <c r="O19" s="101">
        <f t="shared" si="3"/>
        <v>4693.3500000000004</v>
      </c>
    </row>
    <row r="20" spans="1:15" s="102" customFormat="1" ht="12" x14ac:dyDescent="0.25">
      <c r="A20" s="235"/>
      <c r="B20" s="99" t="s">
        <v>29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3">
        <f>SUM(C20:N20)</f>
        <v>0</v>
      </c>
    </row>
    <row r="21" spans="1:15" s="67" customFormat="1" ht="12.6" customHeight="1" x14ac:dyDescent="0.3">
      <c r="A21" s="155"/>
      <c r="B21" s="65" t="s">
        <v>31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66">
        <f t="shared" si="3"/>
        <v>0</v>
      </c>
    </row>
    <row r="22" spans="1:15" s="67" customFormat="1" ht="12.6" customHeight="1" x14ac:dyDescent="0.3">
      <c r="A22" s="156"/>
      <c r="B22" s="116" t="s">
        <v>32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8">
        <f t="shared" si="3"/>
        <v>0</v>
      </c>
    </row>
    <row r="23" spans="1:15" s="102" customFormat="1" ht="12" x14ac:dyDescent="0.25">
      <c r="A23" s="236"/>
      <c r="B23" s="99" t="s">
        <v>16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1">
        <f t="shared" si="3"/>
        <v>0</v>
      </c>
    </row>
    <row r="24" spans="1:15" s="102" customFormat="1" ht="12" x14ac:dyDescent="0.25">
      <c r="A24" s="235"/>
      <c r="B24" s="99" t="s">
        <v>29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>
        <v>0</v>
      </c>
      <c r="N24" s="100">
        <v>0</v>
      </c>
      <c r="O24" s="103">
        <f>SUM(C24:N24)</f>
        <v>0</v>
      </c>
    </row>
    <row r="25" spans="1:15" s="67" customFormat="1" ht="12.6" customHeight="1" x14ac:dyDescent="0.3">
      <c r="A25" s="155"/>
      <c r="B25" s="65" t="s">
        <v>31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66">
        <f t="shared" si="3"/>
        <v>0</v>
      </c>
    </row>
    <row r="26" spans="1:15" s="67" customFormat="1" ht="12.6" customHeight="1" x14ac:dyDescent="0.3">
      <c r="A26" s="156"/>
      <c r="B26" s="116" t="s">
        <v>32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8">
        <f t="shared" si="3"/>
        <v>0</v>
      </c>
    </row>
    <row r="27" spans="1:15" s="102" customFormat="1" ht="12" x14ac:dyDescent="0.25">
      <c r="A27" s="236"/>
      <c r="B27" s="99" t="s">
        <v>16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1">
        <f t="shared" si="3"/>
        <v>0</v>
      </c>
    </row>
    <row r="28" spans="1:15" s="102" customFormat="1" ht="12" x14ac:dyDescent="0.25">
      <c r="A28" s="235"/>
      <c r="B28" s="99" t="s">
        <v>29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100">
        <v>0</v>
      </c>
      <c r="N28" s="100">
        <v>0</v>
      </c>
      <c r="O28" s="103">
        <f>SUM(C28:N28)</f>
        <v>0</v>
      </c>
    </row>
    <row r="29" spans="1:15" s="67" customFormat="1" ht="12.6" customHeight="1" x14ac:dyDescent="0.3">
      <c r="A29" s="155"/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66">
        <f t="shared" si="3"/>
        <v>0</v>
      </c>
    </row>
    <row r="30" spans="1:15" s="67" customFormat="1" ht="12.6" customHeight="1" x14ac:dyDescent="0.3">
      <c r="A30" s="156"/>
      <c r="B30" s="116" t="s">
        <v>32</v>
      </c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8">
        <f t="shared" si="3"/>
        <v>0</v>
      </c>
    </row>
    <row r="31" spans="1:15" s="102" customFormat="1" ht="12" x14ac:dyDescent="0.25">
      <c r="A31" s="236"/>
      <c r="B31" s="99" t="s">
        <v>16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1">
        <f t="shared" si="3"/>
        <v>0</v>
      </c>
    </row>
    <row r="32" spans="1:15" s="102" customFormat="1" ht="12" x14ac:dyDescent="0.25">
      <c r="A32" s="235"/>
      <c r="B32" s="99" t="s">
        <v>29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3">
        <f>SUM(C32:N32)</f>
        <v>0</v>
      </c>
    </row>
    <row r="33" spans="1:15" s="67" customFormat="1" ht="12.6" customHeight="1" x14ac:dyDescent="0.3">
      <c r="A33" s="155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 t="shared" si="3"/>
        <v>0</v>
      </c>
    </row>
    <row r="34" spans="1:15" s="67" customFormat="1" ht="12.6" customHeight="1" x14ac:dyDescent="0.3">
      <c r="A34" s="156"/>
      <c r="B34" s="116" t="s">
        <v>32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8">
        <f t="shared" si="3"/>
        <v>0</v>
      </c>
    </row>
    <row r="35" spans="1:15" s="102" customFormat="1" ht="12" x14ac:dyDescent="0.25">
      <c r="A35" s="236"/>
      <c r="B35" s="99" t="s">
        <v>16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1">
        <f t="shared" ref="O35:O46" si="4">SUM(C35:N35)</f>
        <v>0</v>
      </c>
    </row>
    <row r="36" spans="1:15" s="102" customFormat="1" ht="12" x14ac:dyDescent="0.25">
      <c r="A36" s="235"/>
      <c r="B36" s="99" t="s">
        <v>29</v>
      </c>
      <c r="C36" s="100">
        <v>0</v>
      </c>
      <c r="D36" s="100">
        <v>0</v>
      </c>
      <c r="E36" s="100">
        <v>0</v>
      </c>
      <c r="F36" s="100">
        <v>0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100">
        <v>0</v>
      </c>
      <c r="N36" s="100">
        <v>0</v>
      </c>
      <c r="O36" s="103">
        <f>SUM(C36:N36)</f>
        <v>0</v>
      </c>
    </row>
    <row r="37" spans="1:15" s="67" customFormat="1" ht="12.6" customHeight="1" x14ac:dyDescent="0.3">
      <c r="A37" s="155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 t="shared" si="4"/>
        <v>0</v>
      </c>
    </row>
    <row r="38" spans="1:15" s="67" customFormat="1" ht="12.6" customHeight="1" x14ac:dyDescent="0.3">
      <c r="A38" s="156"/>
      <c r="B38" s="116" t="s">
        <v>32</v>
      </c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>
        <f t="shared" si="4"/>
        <v>0</v>
      </c>
    </row>
    <row r="39" spans="1:15" s="102" customFormat="1" ht="12" x14ac:dyDescent="0.25">
      <c r="A39" s="236"/>
      <c r="B39" s="99" t="s">
        <v>16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1">
        <f t="shared" si="4"/>
        <v>0</v>
      </c>
    </row>
    <row r="40" spans="1:15" s="102" customFormat="1" ht="12" x14ac:dyDescent="0.25">
      <c r="A40" s="235"/>
      <c r="B40" s="99" t="s">
        <v>29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100">
        <v>0</v>
      </c>
      <c r="N40" s="100">
        <v>0</v>
      </c>
      <c r="O40" s="103">
        <f>SUM(C40:N40)</f>
        <v>0</v>
      </c>
    </row>
    <row r="41" spans="1:15" s="64" customFormat="1" ht="12.6" customHeight="1" x14ac:dyDescent="0.3">
      <c r="A41" s="155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 t="shared" si="4"/>
        <v>0</v>
      </c>
    </row>
    <row r="42" spans="1:15" s="64" customFormat="1" ht="12.6" customHeight="1" x14ac:dyDescent="0.3">
      <c r="A42" s="156"/>
      <c r="B42" s="7" t="s">
        <v>32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24">
        <f t="shared" si="4"/>
        <v>0</v>
      </c>
    </row>
    <row r="43" spans="1:15" s="102" customFormat="1" ht="12" x14ac:dyDescent="0.25">
      <c r="A43" s="236"/>
      <c r="B43" s="99" t="s">
        <v>16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1">
        <f t="shared" si="4"/>
        <v>0</v>
      </c>
    </row>
    <row r="44" spans="1:15" s="102" customFormat="1" ht="12" x14ac:dyDescent="0.25">
      <c r="A44" s="235"/>
      <c r="B44" s="99" t="s">
        <v>29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100">
        <v>0</v>
      </c>
      <c r="N44" s="100">
        <v>0</v>
      </c>
      <c r="O44" s="103">
        <f>SUM(C44:N44)</f>
        <v>0</v>
      </c>
    </row>
    <row r="45" spans="1:15" s="64" customFormat="1" ht="12.6" customHeight="1" x14ac:dyDescent="0.3">
      <c r="A45" s="155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 t="shared" si="4"/>
        <v>0</v>
      </c>
    </row>
    <row r="46" spans="1:15" s="64" customFormat="1" ht="12.6" customHeight="1" x14ac:dyDescent="0.3">
      <c r="A46" s="156"/>
      <c r="B46" s="7" t="s">
        <v>32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24">
        <f t="shared" si="4"/>
        <v>0</v>
      </c>
    </row>
    <row r="47" spans="1:15" s="102" customFormat="1" ht="12" x14ac:dyDescent="0.25">
      <c r="A47" s="236"/>
      <c r="B47" s="99" t="s">
        <v>16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1">
        <f t="shared" ref="O47:O90" si="5">SUM(C47:N47)</f>
        <v>0</v>
      </c>
    </row>
    <row r="48" spans="1:15" s="102" customFormat="1" ht="12" x14ac:dyDescent="0.25">
      <c r="A48" s="235"/>
      <c r="B48" s="99" t="s">
        <v>29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3">
        <f>SUM(C48:N48)</f>
        <v>0</v>
      </c>
    </row>
    <row r="49" spans="1:15" s="64" customFormat="1" ht="12.6" customHeight="1" x14ac:dyDescent="0.3">
      <c r="A49" s="155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 t="shared" si="5"/>
        <v>0</v>
      </c>
    </row>
    <row r="50" spans="1:15" s="64" customFormat="1" ht="12.6" customHeight="1" x14ac:dyDescent="0.3">
      <c r="A50" s="156"/>
      <c r="B50" s="7" t="s">
        <v>32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24">
        <f t="shared" si="5"/>
        <v>0</v>
      </c>
    </row>
    <row r="51" spans="1:15" s="102" customFormat="1" ht="12" x14ac:dyDescent="0.25">
      <c r="A51" s="236"/>
      <c r="B51" s="99" t="s">
        <v>16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1">
        <f t="shared" si="5"/>
        <v>0</v>
      </c>
    </row>
    <row r="52" spans="1:15" s="102" customFormat="1" ht="12" x14ac:dyDescent="0.25">
      <c r="A52" s="235"/>
      <c r="B52" s="99" t="s">
        <v>29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0</v>
      </c>
      <c r="N52" s="100">
        <v>0</v>
      </c>
      <c r="O52" s="103">
        <f>SUM(C52:N52)</f>
        <v>0</v>
      </c>
    </row>
    <row r="53" spans="1:15" s="64" customFormat="1" ht="12.6" customHeight="1" x14ac:dyDescent="0.3">
      <c r="A53" s="155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 t="shared" si="5"/>
        <v>0</v>
      </c>
    </row>
    <row r="54" spans="1:15" s="64" customFormat="1" ht="12.6" customHeight="1" x14ac:dyDescent="0.3">
      <c r="A54" s="156"/>
      <c r="B54" s="7" t="s">
        <v>32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24">
        <f t="shared" si="5"/>
        <v>0</v>
      </c>
    </row>
    <row r="55" spans="1:15" s="102" customFormat="1" ht="12" x14ac:dyDescent="0.25">
      <c r="A55" s="236"/>
      <c r="B55" s="99" t="s">
        <v>16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1">
        <f t="shared" si="5"/>
        <v>0</v>
      </c>
    </row>
    <row r="56" spans="1:15" s="102" customFormat="1" ht="12" x14ac:dyDescent="0.25">
      <c r="A56" s="235"/>
      <c r="B56" s="99" t="s">
        <v>29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3">
        <f>SUM(C56:N56)</f>
        <v>0</v>
      </c>
    </row>
    <row r="57" spans="1:15" s="64" customFormat="1" ht="12.6" customHeight="1" x14ac:dyDescent="0.3">
      <c r="A57" s="155"/>
      <c r="B57" s="5" t="s">
        <v>31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7">
        <f t="shared" si="5"/>
        <v>0</v>
      </c>
    </row>
    <row r="58" spans="1:15" s="64" customFormat="1" ht="12.6" customHeight="1" x14ac:dyDescent="0.3">
      <c r="A58" s="156"/>
      <c r="B58" s="7" t="s">
        <v>32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24">
        <f t="shared" si="5"/>
        <v>0</v>
      </c>
    </row>
    <row r="59" spans="1:15" s="102" customFormat="1" ht="12" x14ac:dyDescent="0.25">
      <c r="A59" s="236"/>
      <c r="B59" s="99" t="s">
        <v>16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1">
        <f t="shared" si="5"/>
        <v>0</v>
      </c>
    </row>
    <row r="60" spans="1:15" s="102" customFormat="1" ht="12" x14ac:dyDescent="0.25">
      <c r="A60" s="235"/>
      <c r="B60" s="99" t="s">
        <v>29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3">
        <f>SUM(C60:N60)</f>
        <v>0</v>
      </c>
    </row>
    <row r="61" spans="1:15" s="64" customFormat="1" ht="12.6" customHeight="1" x14ac:dyDescent="0.3">
      <c r="A61" s="155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 t="shared" si="5"/>
        <v>0</v>
      </c>
    </row>
    <row r="62" spans="1:15" s="64" customFormat="1" ht="12.6" customHeight="1" x14ac:dyDescent="0.3">
      <c r="A62" s="156"/>
      <c r="B62" s="7" t="s">
        <v>32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24">
        <f t="shared" si="5"/>
        <v>0</v>
      </c>
    </row>
    <row r="63" spans="1:15" s="102" customFormat="1" ht="12" x14ac:dyDescent="0.25">
      <c r="A63" s="236"/>
      <c r="B63" s="99" t="s">
        <v>16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1">
        <f t="shared" si="5"/>
        <v>0</v>
      </c>
    </row>
    <row r="64" spans="1:15" s="102" customFormat="1" ht="12" x14ac:dyDescent="0.25">
      <c r="A64" s="235"/>
      <c r="B64" s="99" t="s">
        <v>29</v>
      </c>
      <c r="C64" s="100">
        <v>0</v>
      </c>
      <c r="D64" s="100">
        <v>0</v>
      </c>
      <c r="E64" s="100">
        <v>0</v>
      </c>
      <c r="F64" s="100">
        <v>0</v>
      </c>
      <c r="G64" s="100">
        <v>0</v>
      </c>
      <c r="H64" s="100">
        <v>0</v>
      </c>
      <c r="I64" s="100">
        <v>0</v>
      </c>
      <c r="J64" s="100">
        <v>0</v>
      </c>
      <c r="K64" s="100">
        <v>0</v>
      </c>
      <c r="L64" s="100">
        <v>0</v>
      </c>
      <c r="M64" s="100">
        <v>0</v>
      </c>
      <c r="N64" s="100">
        <v>0</v>
      </c>
      <c r="O64" s="103">
        <f>SUM(C64:N64)</f>
        <v>0</v>
      </c>
    </row>
    <row r="65" spans="1:15" s="64" customFormat="1" ht="12.6" customHeight="1" x14ac:dyDescent="0.3">
      <c r="A65" s="155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 t="shared" si="5"/>
        <v>0</v>
      </c>
    </row>
    <row r="66" spans="1:15" s="64" customFormat="1" ht="12.6" customHeight="1" x14ac:dyDescent="0.3">
      <c r="A66" s="156"/>
      <c r="B66" s="7" t="s">
        <v>32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24">
        <f t="shared" si="5"/>
        <v>0</v>
      </c>
    </row>
    <row r="67" spans="1:15" s="102" customFormat="1" ht="12.6" customHeight="1" x14ac:dyDescent="0.25">
      <c r="A67" s="236"/>
      <c r="B67" s="99" t="s">
        <v>16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1">
        <f t="shared" si="5"/>
        <v>0</v>
      </c>
    </row>
    <row r="68" spans="1:15" s="102" customFormat="1" ht="12" x14ac:dyDescent="0.25">
      <c r="A68" s="235"/>
      <c r="B68" s="99" t="s">
        <v>29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3">
        <f>SUM(C68:N68)</f>
        <v>0</v>
      </c>
    </row>
    <row r="69" spans="1:15" s="64" customFormat="1" x14ac:dyDescent="0.3">
      <c r="A69" s="155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 t="shared" si="5"/>
        <v>0</v>
      </c>
    </row>
    <row r="70" spans="1:15" s="64" customFormat="1" x14ac:dyDescent="0.3">
      <c r="A70" s="156"/>
      <c r="B70" s="7" t="s">
        <v>32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24">
        <f t="shared" si="5"/>
        <v>0</v>
      </c>
    </row>
    <row r="71" spans="1:15" s="102" customFormat="1" ht="12" x14ac:dyDescent="0.25">
      <c r="A71" s="236"/>
      <c r="B71" s="99" t="s">
        <v>16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1">
        <f t="shared" si="5"/>
        <v>0</v>
      </c>
    </row>
    <row r="72" spans="1:15" s="102" customFormat="1" ht="12" x14ac:dyDescent="0.25">
      <c r="A72" s="235"/>
      <c r="B72" s="99" t="s">
        <v>29</v>
      </c>
      <c r="C72" s="100">
        <v>0</v>
      </c>
      <c r="D72" s="100">
        <v>0</v>
      </c>
      <c r="E72" s="100">
        <v>0</v>
      </c>
      <c r="F72" s="100">
        <v>0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3">
        <f>SUM(C72:N72)</f>
        <v>0</v>
      </c>
    </row>
    <row r="73" spans="1:15" s="64" customFormat="1" x14ac:dyDescent="0.3">
      <c r="A73" s="155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 t="shared" si="5"/>
        <v>0</v>
      </c>
    </row>
    <row r="74" spans="1:15" s="64" customFormat="1" x14ac:dyDescent="0.3">
      <c r="A74" s="156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24">
        <f t="shared" si="5"/>
        <v>0</v>
      </c>
    </row>
    <row r="75" spans="1:15" s="102" customFormat="1" ht="12" x14ac:dyDescent="0.25">
      <c r="A75" s="236"/>
      <c r="B75" s="99" t="s">
        <v>16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1">
        <f t="shared" si="5"/>
        <v>0</v>
      </c>
    </row>
    <row r="76" spans="1:15" s="102" customFormat="1" ht="12" x14ac:dyDescent="0.25">
      <c r="A76" s="235"/>
      <c r="B76" s="99" t="s">
        <v>29</v>
      </c>
      <c r="C76" s="100">
        <v>0</v>
      </c>
      <c r="D76" s="100">
        <v>0</v>
      </c>
      <c r="E76" s="100">
        <v>0</v>
      </c>
      <c r="F76" s="100">
        <v>0</v>
      </c>
      <c r="G76" s="100">
        <v>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3">
        <f>SUM(C76:N76)</f>
        <v>0</v>
      </c>
    </row>
    <row r="77" spans="1:15" s="64" customFormat="1" x14ac:dyDescent="0.3">
      <c r="A77" s="155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7">
        <f t="shared" si="5"/>
        <v>0</v>
      </c>
    </row>
    <row r="78" spans="1:15" s="64" customFormat="1" x14ac:dyDescent="0.3">
      <c r="A78" s="156"/>
      <c r="B78" s="7" t="s">
        <v>32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24">
        <f t="shared" si="5"/>
        <v>0</v>
      </c>
    </row>
    <row r="79" spans="1:15" s="102" customFormat="1" ht="12" x14ac:dyDescent="0.25">
      <c r="A79" s="236"/>
      <c r="B79" s="99" t="s">
        <v>16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1">
        <f t="shared" si="5"/>
        <v>0</v>
      </c>
    </row>
    <row r="80" spans="1:15" s="102" customFormat="1" ht="12" x14ac:dyDescent="0.25">
      <c r="A80" s="235"/>
      <c r="B80" s="99" t="s">
        <v>29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3">
        <f>SUM(C80:N80)</f>
        <v>0</v>
      </c>
    </row>
    <row r="81" spans="1:15" s="64" customFormat="1" x14ac:dyDescent="0.3">
      <c r="A81" s="155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7">
        <f t="shared" si="5"/>
        <v>0</v>
      </c>
    </row>
    <row r="82" spans="1:15" s="64" customFormat="1" x14ac:dyDescent="0.3">
      <c r="A82" s="156"/>
      <c r="B82" s="7" t="s">
        <v>32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24">
        <f t="shared" si="5"/>
        <v>0</v>
      </c>
    </row>
    <row r="83" spans="1:15" s="102" customFormat="1" ht="12" x14ac:dyDescent="0.25">
      <c r="A83" s="236"/>
      <c r="B83" s="99" t="s">
        <v>16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1">
        <f t="shared" si="5"/>
        <v>0</v>
      </c>
    </row>
    <row r="84" spans="1:15" s="102" customFormat="1" ht="12" x14ac:dyDescent="0.25">
      <c r="A84" s="235"/>
      <c r="B84" s="99" t="s">
        <v>29</v>
      </c>
      <c r="C84" s="100">
        <v>0</v>
      </c>
      <c r="D84" s="100">
        <v>0</v>
      </c>
      <c r="E84" s="100">
        <v>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3">
        <f>SUM(C84:N84)</f>
        <v>0</v>
      </c>
    </row>
    <row r="85" spans="1:15" s="64" customFormat="1" x14ac:dyDescent="0.3">
      <c r="A85" s="155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7">
        <f t="shared" si="5"/>
        <v>0</v>
      </c>
    </row>
    <row r="86" spans="1:15" s="64" customFormat="1" x14ac:dyDescent="0.3">
      <c r="A86" s="156"/>
      <c r="B86" s="7" t="s">
        <v>32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24">
        <f t="shared" si="5"/>
        <v>0</v>
      </c>
    </row>
    <row r="87" spans="1:15" s="102" customFormat="1" ht="12" x14ac:dyDescent="0.25">
      <c r="A87" s="236"/>
      <c r="B87" s="99" t="s">
        <v>16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1">
        <f t="shared" si="5"/>
        <v>0</v>
      </c>
    </row>
    <row r="88" spans="1:15" s="102" customFormat="1" ht="12" x14ac:dyDescent="0.25">
      <c r="A88" s="235"/>
      <c r="B88" s="99" t="s">
        <v>29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3">
        <f>SUM(C88:N88)</f>
        <v>0</v>
      </c>
    </row>
    <row r="89" spans="1:15" s="64" customFormat="1" x14ac:dyDescent="0.3">
      <c r="A89" s="155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7">
        <f t="shared" si="5"/>
        <v>0</v>
      </c>
    </row>
    <row r="90" spans="1:15" s="64" customFormat="1" x14ac:dyDescent="0.3">
      <c r="A90" s="156"/>
      <c r="B90" s="7" t="s">
        <v>32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24">
        <f t="shared" si="5"/>
        <v>0</v>
      </c>
    </row>
    <row r="91" spans="1:15" s="102" customFormat="1" ht="12" x14ac:dyDescent="0.25">
      <c r="A91" s="243"/>
    </row>
    <row r="92" spans="1:15" s="102" customFormat="1" ht="12" x14ac:dyDescent="0.25">
      <c r="A92" s="237"/>
    </row>
    <row r="93" spans="1:15" s="64" customFormat="1" x14ac:dyDescent="0.3">
      <c r="A93" s="158"/>
    </row>
    <row r="94" spans="1:15" s="64" customFormat="1" x14ac:dyDescent="0.3">
      <c r="A94" s="158"/>
    </row>
    <row r="95" spans="1:15" s="102" customFormat="1" ht="12" x14ac:dyDescent="0.25">
      <c r="A95" s="237"/>
    </row>
    <row r="96" spans="1:15" s="102" customFormat="1" ht="12" x14ac:dyDescent="0.25">
      <c r="A96" s="237"/>
    </row>
    <row r="97" spans="1:1" s="64" customFormat="1" x14ac:dyDescent="0.3">
      <c r="A97" s="158"/>
    </row>
    <row r="98" spans="1:1" s="64" customFormat="1" x14ac:dyDescent="0.3">
      <c r="A98" s="158"/>
    </row>
    <row r="99" spans="1:1" s="102" customFormat="1" ht="12" x14ac:dyDescent="0.25">
      <c r="A99" s="237"/>
    </row>
    <row r="100" spans="1:1" s="102" customFormat="1" ht="12" x14ac:dyDescent="0.25">
      <c r="A100" s="237"/>
    </row>
    <row r="101" spans="1:1" s="64" customFormat="1" x14ac:dyDescent="0.3">
      <c r="A101" s="158"/>
    </row>
    <row r="102" spans="1:1" s="64" customFormat="1" x14ac:dyDescent="0.3">
      <c r="A102" s="158"/>
    </row>
    <row r="103" spans="1:1" s="102" customFormat="1" ht="12" x14ac:dyDescent="0.25">
      <c r="A103" s="237"/>
    </row>
    <row r="104" spans="1:1" s="102" customFormat="1" ht="12" x14ac:dyDescent="0.25">
      <c r="A104" s="237"/>
    </row>
    <row r="105" spans="1:1" s="64" customFormat="1" x14ac:dyDescent="0.3">
      <c r="A105" s="158"/>
    </row>
    <row r="106" spans="1:1" s="64" customFormat="1" x14ac:dyDescent="0.3">
      <c r="A106" s="158"/>
    </row>
    <row r="107" spans="1:1" s="102" customFormat="1" ht="12" x14ac:dyDescent="0.25">
      <c r="A107" s="237"/>
    </row>
    <row r="108" spans="1:1" s="102" customFormat="1" ht="12" x14ac:dyDescent="0.25">
      <c r="A108" s="237"/>
    </row>
    <row r="109" spans="1:1" s="64" customFormat="1" x14ac:dyDescent="0.3">
      <c r="A109" s="158"/>
    </row>
    <row r="110" spans="1:1" s="64" customFormat="1" x14ac:dyDescent="0.3">
      <c r="A110" s="158"/>
    </row>
    <row r="111" spans="1:1" s="102" customFormat="1" ht="12" x14ac:dyDescent="0.25">
      <c r="A111" s="237"/>
    </row>
    <row r="112" spans="1:1" s="102" customFormat="1" ht="12" x14ac:dyDescent="0.25">
      <c r="A112" s="237"/>
    </row>
    <row r="113" spans="1:1" s="64" customFormat="1" x14ac:dyDescent="0.3">
      <c r="A113" s="158"/>
    </row>
    <row r="114" spans="1:1" s="64" customFormat="1" x14ac:dyDescent="0.3">
      <c r="A114" s="158"/>
    </row>
    <row r="115" spans="1:1" s="102" customFormat="1" ht="12" x14ac:dyDescent="0.25">
      <c r="A115" s="237"/>
    </row>
    <row r="116" spans="1:1" s="102" customFormat="1" ht="12" x14ac:dyDescent="0.25">
      <c r="A116" s="237"/>
    </row>
    <row r="117" spans="1:1" s="64" customFormat="1" x14ac:dyDescent="0.3">
      <c r="A117" s="158"/>
    </row>
    <row r="118" spans="1:1" s="64" customFormat="1" x14ac:dyDescent="0.3">
      <c r="A118" s="158"/>
    </row>
    <row r="119" spans="1:1" s="102" customFormat="1" ht="12" x14ac:dyDescent="0.25">
      <c r="A119" s="237"/>
    </row>
    <row r="120" spans="1:1" s="102" customFormat="1" ht="12" x14ac:dyDescent="0.25">
      <c r="A120" s="237"/>
    </row>
    <row r="121" spans="1:1" s="64" customFormat="1" x14ac:dyDescent="0.3">
      <c r="A121" s="158"/>
    </row>
    <row r="122" spans="1:1" s="64" customFormat="1" x14ac:dyDescent="0.3">
      <c r="A122" s="158"/>
    </row>
    <row r="123" spans="1:1" s="102" customFormat="1" ht="12" x14ac:dyDescent="0.25">
      <c r="A123" s="237"/>
    </row>
    <row r="124" spans="1:1" s="102" customFormat="1" ht="12" x14ac:dyDescent="0.25">
      <c r="A124" s="237"/>
    </row>
    <row r="125" spans="1:1" s="64" customFormat="1" ht="11.4" customHeight="1" x14ac:dyDescent="0.3">
      <c r="A125" s="158"/>
    </row>
    <row r="126" spans="1:1" s="64" customFormat="1" x14ac:dyDescent="0.3">
      <c r="A126" s="158"/>
    </row>
    <row r="127" spans="1:1" s="102" customFormat="1" ht="12" x14ac:dyDescent="0.25">
      <c r="A127" s="237"/>
    </row>
    <row r="128" spans="1:1" s="102" customFormat="1" ht="12" x14ac:dyDescent="0.25">
      <c r="A128" s="237"/>
    </row>
    <row r="129" spans="1:1" s="64" customFormat="1" x14ac:dyDescent="0.3">
      <c r="A129" s="158"/>
    </row>
    <row r="130" spans="1:1" s="64" customFormat="1" x14ac:dyDescent="0.3">
      <c r="A130" s="158"/>
    </row>
    <row r="131" spans="1:1" s="102" customFormat="1" ht="12" x14ac:dyDescent="0.25">
      <c r="A131" s="237"/>
    </row>
    <row r="132" spans="1:1" s="102" customFormat="1" ht="12" x14ac:dyDescent="0.25">
      <c r="A132" s="237"/>
    </row>
    <row r="133" spans="1:1" s="64" customFormat="1" x14ac:dyDescent="0.3">
      <c r="A133" s="158"/>
    </row>
    <row r="134" spans="1:1" s="64" customFormat="1" x14ac:dyDescent="0.3">
      <c r="A134" s="158"/>
    </row>
    <row r="135" spans="1:1" s="102" customFormat="1" ht="12" x14ac:dyDescent="0.25">
      <c r="A135" s="237"/>
    </row>
    <row r="136" spans="1:1" s="102" customFormat="1" ht="12" x14ac:dyDescent="0.25">
      <c r="A136" s="237"/>
    </row>
    <row r="137" spans="1:1" s="64" customFormat="1" x14ac:dyDescent="0.3">
      <c r="A137" s="158"/>
    </row>
    <row r="138" spans="1:1" s="64" customFormat="1" x14ac:dyDescent="0.3">
      <c r="A138" s="158"/>
    </row>
    <row r="139" spans="1:1" s="102" customFormat="1" ht="12" x14ac:dyDescent="0.25">
      <c r="A139" s="237"/>
    </row>
    <row r="140" spans="1:1" s="102" customFormat="1" ht="12" x14ac:dyDescent="0.25">
      <c r="A140" s="237"/>
    </row>
    <row r="141" spans="1:1" s="64" customFormat="1" x14ac:dyDescent="0.3">
      <c r="A141" s="158"/>
    </row>
    <row r="142" spans="1:1" s="64" customFormat="1" x14ac:dyDescent="0.3">
      <c r="A142" s="158"/>
    </row>
    <row r="143" spans="1:1" s="102" customFormat="1" ht="12" x14ac:dyDescent="0.25">
      <c r="A143" s="237"/>
    </row>
    <row r="144" spans="1:1" s="102" customFormat="1" ht="12" x14ac:dyDescent="0.25">
      <c r="A144" s="237"/>
    </row>
    <row r="145" spans="1:1" s="64" customFormat="1" x14ac:dyDescent="0.3">
      <c r="A145" s="158"/>
    </row>
    <row r="146" spans="1:1" s="64" customFormat="1" x14ac:dyDescent="0.3">
      <c r="A146" s="158"/>
    </row>
    <row r="147" spans="1:1" s="102" customFormat="1" ht="12" x14ac:dyDescent="0.25">
      <c r="A147" s="237"/>
    </row>
    <row r="148" spans="1:1" s="102" customFormat="1" ht="12" x14ac:dyDescent="0.25">
      <c r="A148" s="237"/>
    </row>
    <row r="149" spans="1:1" s="64" customFormat="1" x14ac:dyDescent="0.3">
      <c r="A149" s="158"/>
    </row>
    <row r="150" spans="1:1" s="64" customFormat="1" x14ac:dyDescent="0.3">
      <c r="A150" s="158"/>
    </row>
    <row r="151" spans="1:1" s="102" customFormat="1" ht="12" x14ac:dyDescent="0.25">
      <c r="A151" s="237"/>
    </row>
    <row r="152" spans="1:1" s="102" customFormat="1" ht="12" x14ac:dyDescent="0.25">
      <c r="A152" s="237"/>
    </row>
    <row r="153" spans="1:1" s="64" customFormat="1" x14ac:dyDescent="0.3">
      <c r="A153" s="158"/>
    </row>
    <row r="154" spans="1:1" s="64" customFormat="1" x14ac:dyDescent="0.3">
      <c r="A154" s="158"/>
    </row>
    <row r="155" spans="1:1" s="102" customFormat="1" ht="12" x14ac:dyDescent="0.25">
      <c r="A155" s="237"/>
    </row>
    <row r="156" spans="1:1" s="102" customFormat="1" ht="12" x14ac:dyDescent="0.25">
      <c r="A156" s="237"/>
    </row>
    <row r="157" spans="1:1" s="64" customFormat="1" x14ac:dyDescent="0.3">
      <c r="A157" s="158"/>
    </row>
    <row r="158" spans="1:1" s="64" customFormat="1" x14ac:dyDescent="0.3">
      <c r="A158" s="158"/>
    </row>
    <row r="159" spans="1:1" s="102" customFormat="1" ht="12" x14ac:dyDescent="0.25">
      <c r="A159" s="237"/>
    </row>
    <row r="160" spans="1:1" s="102" customFormat="1" ht="12" x14ac:dyDescent="0.25">
      <c r="A160" s="237"/>
    </row>
    <row r="161" spans="1:1" s="64" customFormat="1" x14ac:dyDescent="0.3">
      <c r="A161" s="158"/>
    </row>
    <row r="162" spans="1:1" s="64" customFormat="1" x14ac:dyDescent="0.3">
      <c r="A162" s="158"/>
    </row>
    <row r="163" spans="1:1" s="102" customFormat="1" ht="12" x14ac:dyDescent="0.25">
      <c r="A163" s="237"/>
    </row>
    <row r="164" spans="1:1" s="102" customFormat="1" ht="12" x14ac:dyDescent="0.25">
      <c r="A164" s="237"/>
    </row>
    <row r="165" spans="1:1" s="64" customFormat="1" x14ac:dyDescent="0.3">
      <c r="A165" s="158"/>
    </row>
    <row r="166" spans="1:1" s="64" customFormat="1" x14ac:dyDescent="0.3">
      <c r="A166" s="158"/>
    </row>
    <row r="167" spans="1:1" s="102" customFormat="1" ht="12" x14ac:dyDescent="0.25">
      <c r="A167" s="237"/>
    </row>
    <row r="168" spans="1:1" s="102" customFormat="1" ht="12" x14ac:dyDescent="0.25">
      <c r="A168" s="237"/>
    </row>
    <row r="169" spans="1:1" s="64" customFormat="1" x14ac:dyDescent="0.3">
      <c r="A169" s="158"/>
    </row>
    <row r="170" spans="1:1" s="64" customFormat="1" x14ac:dyDescent="0.3">
      <c r="A170" s="158"/>
    </row>
    <row r="171" spans="1:1" s="102" customFormat="1" ht="12" x14ac:dyDescent="0.25">
      <c r="A171" s="237"/>
    </row>
    <row r="172" spans="1:1" s="102" customFormat="1" ht="12" x14ac:dyDescent="0.25">
      <c r="A172" s="237"/>
    </row>
    <row r="173" spans="1:1" s="64" customFormat="1" x14ac:dyDescent="0.3">
      <c r="A173" s="158"/>
    </row>
    <row r="174" spans="1:1" s="64" customFormat="1" x14ac:dyDescent="0.3">
      <c r="A174" s="158"/>
    </row>
    <row r="175" spans="1:1" s="102" customFormat="1" ht="12" x14ac:dyDescent="0.25">
      <c r="A175" s="237"/>
    </row>
    <row r="176" spans="1:1" s="102" customFormat="1" ht="12" x14ac:dyDescent="0.25">
      <c r="A176" s="237"/>
    </row>
    <row r="177" spans="1:1" s="64" customFormat="1" x14ac:dyDescent="0.3">
      <c r="A177" s="158"/>
    </row>
    <row r="178" spans="1:1" s="64" customFormat="1" x14ac:dyDescent="0.3">
      <c r="A178" s="158"/>
    </row>
    <row r="179" spans="1:1" s="102" customFormat="1" ht="12" x14ac:dyDescent="0.25">
      <c r="A179" s="237"/>
    </row>
    <row r="180" spans="1:1" s="102" customFormat="1" ht="12" x14ac:dyDescent="0.25">
      <c r="A180" s="237"/>
    </row>
    <row r="181" spans="1:1" s="64" customFormat="1" x14ac:dyDescent="0.3">
      <c r="A181" s="158"/>
    </row>
    <row r="182" spans="1:1" s="64" customFormat="1" x14ac:dyDescent="0.3">
      <c r="A182" s="158"/>
    </row>
    <row r="183" spans="1:1" s="102" customFormat="1" ht="12" x14ac:dyDescent="0.25">
      <c r="A183" s="237"/>
    </row>
    <row r="184" spans="1:1" s="102" customFormat="1" ht="12" x14ac:dyDescent="0.25">
      <c r="A184" s="237"/>
    </row>
    <row r="185" spans="1:1" s="64" customFormat="1" x14ac:dyDescent="0.3">
      <c r="A185" s="158"/>
    </row>
    <row r="186" spans="1:1" s="64" customFormat="1" x14ac:dyDescent="0.3">
      <c r="A186" s="158"/>
    </row>
    <row r="187" spans="1:1" s="102" customFormat="1" ht="12" x14ac:dyDescent="0.25">
      <c r="A187" s="237"/>
    </row>
    <row r="188" spans="1:1" s="102" customFormat="1" ht="12" x14ac:dyDescent="0.25">
      <c r="A188" s="237"/>
    </row>
    <row r="189" spans="1:1" s="64" customFormat="1" x14ac:dyDescent="0.3">
      <c r="A189" s="158"/>
    </row>
    <row r="190" spans="1:1" s="64" customFormat="1" x14ac:dyDescent="0.3">
      <c r="A190" s="158"/>
    </row>
    <row r="191" spans="1:1" s="102" customFormat="1" ht="12" x14ac:dyDescent="0.25">
      <c r="A191" s="237"/>
    </row>
    <row r="192" spans="1:1" s="102" customFormat="1" ht="12" x14ac:dyDescent="0.25">
      <c r="A192" s="237"/>
    </row>
    <row r="193" spans="1:1" s="64" customFormat="1" x14ac:dyDescent="0.3">
      <c r="A193" s="158"/>
    </row>
    <row r="194" spans="1:1" s="64" customFormat="1" x14ac:dyDescent="0.3">
      <c r="A194" s="158"/>
    </row>
    <row r="195" spans="1:1" s="102" customFormat="1" ht="12" x14ac:dyDescent="0.25">
      <c r="A195" s="237"/>
    </row>
    <row r="196" spans="1:1" s="102" customFormat="1" ht="12" x14ac:dyDescent="0.25">
      <c r="A196" s="237"/>
    </row>
    <row r="197" spans="1:1" s="64" customFormat="1" x14ac:dyDescent="0.3">
      <c r="A197" s="158"/>
    </row>
    <row r="198" spans="1:1" s="64" customFormat="1" x14ac:dyDescent="0.3">
      <c r="A198" s="158"/>
    </row>
    <row r="199" spans="1:1" s="102" customFormat="1" ht="12" x14ac:dyDescent="0.25">
      <c r="A199" s="237"/>
    </row>
    <row r="200" spans="1:1" s="102" customFormat="1" ht="12" x14ac:dyDescent="0.25">
      <c r="A200" s="237"/>
    </row>
    <row r="201" spans="1:1" s="64" customFormat="1" x14ac:dyDescent="0.3">
      <c r="A201" s="158"/>
    </row>
    <row r="202" spans="1:1" s="64" customFormat="1" x14ac:dyDescent="0.3">
      <c r="A202" s="158"/>
    </row>
    <row r="203" spans="1:1" s="102" customFormat="1" ht="12" x14ac:dyDescent="0.25">
      <c r="A203" s="237"/>
    </row>
    <row r="204" spans="1:1" s="102" customFormat="1" ht="12" x14ac:dyDescent="0.25">
      <c r="A204" s="237"/>
    </row>
    <row r="205" spans="1:1" s="64" customFormat="1" x14ac:dyDescent="0.3">
      <c r="A205" s="158"/>
    </row>
    <row r="206" spans="1:1" s="64" customFormat="1" x14ac:dyDescent="0.3">
      <c r="A206" s="158"/>
    </row>
    <row r="207" spans="1:1" s="102" customFormat="1" ht="12" x14ac:dyDescent="0.25">
      <c r="A207" s="237"/>
    </row>
    <row r="208" spans="1:1" s="102" customFormat="1" ht="12" x14ac:dyDescent="0.25">
      <c r="A208" s="237"/>
    </row>
    <row r="209" spans="1:1" s="64" customFormat="1" x14ac:dyDescent="0.3">
      <c r="A209" s="158"/>
    </row>
    <row r="210" spans="1:1" s="64" customFormat="1" x14ac:dyDescent="0.3">
      <c r="A210" s="158"/>
    </row>
    <row r="211" spans="1:1" s="102" customFormat="1" ht="12" x14ac:dyDescent="0.25">
      <c r="A211" s="237"/>
    </row>
    <row r="212" spans="1:1" s="102" customFormat="1" ht="12" x14ac:dyDescent="0.25">
      <c r="A212" s="237"/>
    </row>
    <row r="213" spans="1:1" s="64" customFormat="1" x14ac:dyDescent="0.3">
      <c r="A213" s="158"/>
    </row>
    <row r="214" spans="1:1" s="64" customFormat="1" x14ac:dyDescent="0.3">
      <c r="A214" s="158"/>
    </row>
    <row r="215" spans="1:1" s="102" customFormat="1" ht="12" x14ac:dyDescent="0.25">
      <c r="A215" s="237"/>
    </row>
    <row r="216" spans="1:1" s="102" customFormat="1" ht="12" x14ac:dyDescent="0.25">
      <c r="A216" s="237"/>
    </row>
    <row r="217" spans="1:1" s="64" customFormat="1" x14ac:dyDescent="0.3">
      <c r="A217" s="108"/>
    </row>
    <row r="218" spans="1:1" s="64" customFormat="1" x14ac:dyDescent="0.3">
      <c r="A218" s="108"/>
    </row>
  </sheetData>
  <mergeCells count="54">
    <mergeCell ref="A139:A140"/>
    <mergeCell ref="A143:A144"/>
    <mergeCell ref="A147:A148"/>
    <mergeCell ref="A151:A152"/>
    <mergeCell ref="A155:A156"/>
    <mergeCell ref="A159:A160"/>
    <mergeCell ref="A163:A164"/>
    <mergeCell ref="A167:A168"/>
    <mergeCell ref="A171:A172"/>
    <mergeCell ref="A175:A176"/>
    <mergeCell ref="A215:A216"/>
    <mergeCell ref="A179:A180"/>
    <mergeCell ref="A183:A184"/>
    <mergeCell ref="A187:A188"/>
    <mergeCell ref="A191:A192"/>
    <mergeCell ref="A195:A196"/>
    <mergeCell ref="A199:A200"/>
    <mergeCell ref="A203:A204"/>
    <mergeCell ref="A207:A208"/>
    <mergeCell ref="A211:A212"/>
    <mergeCell ref="A135:A136"/>
    <mergeCell ref="A99:A100"/>
    <mergeCell ref="A103:A104"/>
    <mergeCell ref="A107:A108"/>
    <mergeCell ref="A111:A112"/>
    <mergeCell ref="A115:A116"/>
    <mergeCell ref="A119:A120"/>
    <mergeCell ref="A83:A84"/>
    <mergeCell ref="A87:A88"/>
    <mergeCell ref="A123:A124"/>
    <mergeCell ref="A127:A128"/>
    <mergeCell ref="A131:A132"/>
    <mergeCell ref="A91:A92"/>
    <mergeCell ref="A95:A96"/>
    <mergeCell ref="A63:A64"/>
    <mergeCell ref="A67:A68"/>
    <mergeCell ref="A71:A72"/>
    <mergeCell ref="A75:A76"/>
    <mergeCell ref="A79:A80"/>
    <mergeCell ref="A1:O1"/>
    <mergeCell ref="A11:A12"/>
    <mergeCell ref="A15:A16"/>
    <mergeCell ref="A19:A20"/>
    <mergeCell ref="A23:A24"/>
    <mergeCell ref="A3:A6"/>
    <mergeCell ref="A47:A48"/>
    <mergeCell ref="A51:A52"/>
    <mergeCell ref="A55:A56"/>
    <mergeCell ref="A59:A60"/>
    <mergeCell ref="A27:A28"/>
    <mergeCell ref="A31:A32"/>
    <mergeCell ref="A35:A36"/>
    <mergeCell ref="A39:A40"/>
    <mergeCell ref="A43:A4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B1A27-A6F8-444A-AA67-096D4C112000}">
  <sheetPr codeName="Sheet13"/>
  <dimension ref="A1:P218"/>
  <sheetViews>
    <sheetView zoomScale="10" zoomScaleNormal="10" workbookViewId="0">
      <pane xSplit="1" ySplit="2" topLeftCell="M10" activePane="bottomRight" state="frozen"/>
      <selection pane="topRight" activeCell="M13" sqref="M13"/>
      <selection pane="bottomLeft" activeCell="M13" sqref="M13"/>
      <selection pane="bottomRight" activeCell="A11" sqref="A11:A12"/>
    </sheetView>
  </sheetViews>
  <sheetFormatPr defaultColWidth="9.109375" defaultRowHeight="14.4" x14ac:dyDescent="0.3"/>
  <cols>
    <col min="1" max="1" width="33.109375" style="52" customWidth="1"/>
    <col min="2" max="2" width="22.88671875" style="52" bestFit="1" customWidth="1"/>
    <col min="3" max="15" width="14.5546875" style="52" customWidth="1"/>
    <col min="16" max="16384" width="9.109375" style="52"/>
  </cols>
  <sheetData>
    <row r="1" spans="1:16" ht="31.5" customHeight="1" x14ac:dyDescent="0.6">
      <c r="A1" s="232" t="s">
        <v>58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16" x14ac:dyDescent="0.3">
      <c r="A2" s="68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69" t="s">
        <v>7</v>
      </c>
      <c r="J2" s="69" t="s">
        <v>8</v>
      </c>
      <c r="K2" s="69" t="s">
        <v>9</v>
      </c>
      <c r="L2" s="69" t="s">
        <v>10</v>
      </c>
      <c r="M2" s="69" t="s">
        <v>11</v>
      </c>
      <c r="N2" s="69" t="s">
        <v>12</v>
      </c>
      <c r="O2" s="69" t="s">
        <v>13</v>
      </c>
    </row>
    <row r="3" spans="1:16" s="102" customFormat="1" ht="14.4" customHeight="1" x14ac:dyDescent="0.25">
      <c r="A3" s="239" t="s">
        <v>15</v>
      </c>
      <c r="B3" s="181" t="s">
        <v>16</v>
      </c>
      <c r="C3" s="182">
        <f>SUMIFS(C$11:C1000,$B$11:$B1000,"Actual 2024")</f>
        <v>216.67</v>
      </c>
      <c r="D3" s="182">
        <f>SUMIFS(D$11:D1000,$B$11:$B1000,"Actual 2024")</f>
        <v>216.67</v>
      </c>
      <c r="E3" s="182">
        <f>SUMIFS(E$11:E1000,$B$11:$B1000,"Actual 2024")</f>
        <v>216.67</v>
      </c>
      <c r="F3" s="182">
        <f>SUMIFS(F$11:F1000,$B$11:$B1000,"Actual 2024")</f>
        <v>216.67</v>
      </c>
      <c r="G3" s="182">
        <f>SUMIFS(G$11:G1000,$B$11:$B1000,"Actual 2024")</f>
        <v>216.67</v>
      </c>
      <c r="H3" s="182">
        <f>SUMIFS(H$11:H1000,$B$11:$B1000,"Actual 2024")</f>
        <v>216.67</v>
      </c>
      <c r="I3" s="185">
        <f>SUMIFS(I$11:I1000,$B$11:$B1000,"Actual 2024")</f>
        <v>216.67</v>
      </c>
      <c r="J3" s="185">
        <f>SUMIFS(J$11:J1000,$B$11:$B1000,"Actual 2024")</f>
        <v>216.67</v>
      </c>
      <c r="K3" s="185">
        <f>SUMIFS(K$11:K1000,$B$11:$B1000,"Actual 2024")</f>
        <v>216.67</v>
      </c>
      <c r="L3" s="185">
        <f>SUMIFS(L$11:L1000,$B$11:$B1000,"Actual 2024")</f>
        <v>216.67</v>
      </c>
      <c r="M3" s="185">
        <f>SUMIFS(M$11:M1000,$B$11:$B1000,"Actual 2024")</f>
        <v>216.67</v>
      </c>
      <c r="N3" s="185">
        <f>SUMIFS(N$11:N1000,$B$11:$B1000,"Actual 2024")</f>
        <v>216.67</v>
      </c>
      <c r="O3" s="183">
        <f>SUMIFS(O$11:O1000,$B$11:$B1000,"Actual 2024")</f>
        <v>2600.0400000000004</v>
      </c>
      <c r="P3" s="126">
        <v>2240.84</v>
      </c>
    </row>
    <row r="4" spans="1:16" s="102" customFormat="1" ht="14.4" customHeight="1" x14ac:dyDescent="0.25">
      <c r="A4" s="240"/>
      <c r="B4" s="184" t="s">
        <v>27</v>
      </c>
      <c r="C4" s="189">
        <f>SUMIFS(C$11:C1000,$B$11:$B1000,"Estimated")</f>
        <v>216.67</v>
      </c>
      <c r="D4" s="189">
        <f>SUMIFS(D$11:D1000,$B$11:$B1000,"Estimated")</f>
        <v>216.67</v>
      </c>
      <c r="E4" s="189">
        <f>SUMIFS(E$11:E1000,$B$11:$B1000,"Estimated")</f>
        <v>216.67</v>
      </c>
      <c r="F4" s="189">
        <f>SUMIFS(F$11:F1000,$B$11:$B1000,"Estimated")</f>
        <v>216.67</v>
      </c>
      <c r="G4" s="189">
        <f>SUMIFS(G$11:G1000,$B$11:$B1000,"Estimated")</f>
        <v>216.67</v>
      </c>
      <c r="H4" s="189">
        <f>SUMIFS(H$11:H1000,$B$11:$B1000,"Estimated")</f>
        <v>216.67</v>
      </c>
      <c r="I4" s="192">
        <f>SUMIFS(I$11:I1000,$B$11:$B1000,"Estimated")</f>
        <v>216.67</v>
      </c>
      <c r="J4" s="192">
        <f>SUMIFS(J$11:J1000,$B$11:$B1000,"Estimated")</f>
        <v>216.67</v>
      </c>
      <c r="K4" s="192">
        <f>SUMIFS(K$11:K1000,$B$11:$B1000,"Estimated")</f>
        <v>216.67</v>
      </c>
      <c r="L4" s="192">
        <f>SUMIFS(L$11:L1000,$B$11:$B1000,"Estimated")</f>
        <v>216.67</v>
      </c>
      <c r="M4" s="192">
        <f>SUMIFS(M$11:M1000,$B$11:$B1000,"Estimated")</f>
        <v>216.67</v>
      </c>
      <c r="N4" s="192">
        <f>SUMIFS(N$11:N1000,$B$11:$B1000,"Estimated")</f>
        <v>216.67</v>
      </c>
      <c r="O4" s="191">
        <f>SUMIFS(O$11:O1000,$B$11:$B1000,"Estimated")</f>
        <v>2600.0400000000004</v>
      </c>
    </row>
    <row r="5" spans="1:16" s="166" customFormat="1" ht="14.4" customHeight="1" x14ac:dyDescent="0.3">
      <c r="A5" s="240"/>
      <c r="B5" s="162" t="s">
        <v>18</v>
      </c>
      <c r="C5" s="163">
        <v>216.67</v>
      </c>
      <c r="D5" s="163">
        <v>216.67</v>
      </c>
      <c r="E5" s="163">
        <v>216.67</v>
      </c>
      <c r="F5" s="163">
        <v>216.67</v>
      </c>
      <c r="G5" s="163">
        <v>216.67</v>
      </c>
      <c r="H5" s="163">
        <v>216.67</v>
      </c>
      <c r="I5" s="167">
        <v>216.67</v>
      </c>
      <c r="J5" s="167">
        <v>216.67</v>
      </c>
      <c r="K5" s="167">
        <v>216.67</v>
      </c>
      <c r="L5" s="167">
        <v>216.67</v>
      </c>
      <c r="M5" s="167">
        <v>216.67</v>
      </c>
      <c r="N5" s="167">
        <v>216.67</v>
      </c>
      <c r="O5" s="164">
        <f t="shared" ref="O5" si="0">SUM(C5:N5)</f>
        <v>2600.0400000000004</v>
      </c>
      <c r="P5" s="165">
        <v>2600</v>
      </c>
    </row>
    <row r="6" spans="1:16" s="166" customFormat="1" ht="15" thickBot="1" x14ac:dyDescent="0.35">
      <c r="A6" s="241"/>
      <c r="B6" s="174" t="s">
        <v>19</v>
      </c>
      <c r="C6" s="175">
        <f>SUMIFS(C$11:C1005,$B$11:$B1005,"Actual")</f>
        <v>0</v>
      </c>
      <c r="D6" s="175">
        <f>SUMIFS(D$11:D1005,$B$11:$B1005,"Actual")</f>
        <v>0</v>
      </c>
      <c r="E6" s="175">
        <f>SUMIFS(E$11:E1005,$B$11:$B1005,"Actual")</f>
        <v>0</v>
      </c>
      <c r="F6" s="175">
        <f>SUMIFS(F$11:F1005,$B$11:$B1005,"Actual")</f>
        <v>0</v>
      </c>
      <c r="G6" s="175">
        <f>SUMIFS(G$11:G1005,$B$11:$B1005,"Actual")</f>
        <v>0</v>
      </c>
      <c r="H6" s="175">
        <f>SUMIFS(H$11:H1005,$B$11:$B1005,"Actual")</f>
        <v>0</v>
      </c>
      <c r="I6" s="177">
        <f>SUMIFS(I$11:I1005,$B$11:$B1005,"Actual")</f>
        <v>0</v>
      </c>
      <c r="J6" s="177">
        <f>SUMIFS(J$11:J1005,$B$11:$B1005,"Actual")</f>
        <v>0</v>
      </c>
      <c r="K6" s="177">
        <f>SUMIFS(K$11:K1005,$B$11:$B1005,"Actual")</f>
        <v>0</v>
      </c>
      <c r="L6" s="177">
        <f>SUMIFS(L$11:L1005,$B$11:$B1005,"Actual")</f>
        <v>0</v>
      </c>
      <c r="M6" s="177">
        <f>SUMIFS(M$11:M1005,$B$11:$B1005,"Actual")</f>
        <v>0</v>
      </c>
      <c r="N6" s="177">
        <f>SUMIFS(N$11:N1005,$B$11:$B1005,"Actual")</f>
        <v>0</v>
      </c>
      <c r="O6" s="176">
        <f>SUMIFS(O$11:O1005,$B$11:$B1005,"Actual")</f>
        <v>0</v>
      </c>
    </row>
    <row r="7" spans="1:16" s="64" customFormat="1" ht="15" thickTop="1" x14ac:dyDescent="0.3">
      <c r="A7" s="134"/>
      <c r="B7" s="70" t="s">
        <v>21</v>
      </c>
      <c r="C7" s="60">
        <f t="shared" ref="C7:I7" si="1">C5-C6</f>
        <v>216.67</v>
      </c>
      <c r="D7" s="60">
        <f t="shared" si="1"/>
        <v>216.67</v>
      </c>
      <c r="E7" s="60">
        <f t="shared" si="1"/>
        <v>216.67</v>
      </c>
      <c r="F7" s="60">
        <f t="shared" si="1"/>
        <v>216.67</v>
      </c>
      <c r="G7" s="60">
        <f t="shared" si="1"/>
        <v>216.67</v>
      </c>
      <c r="H7" s="60">
        <f t="shared" si="1"/>
        <v>216.67</v>
      </c>
      <c r="I7" s="60">
        <f t="shared" si="1"/>
        <v>216.67</v>
      </c>
      <c r="J7" s="60">
        <f t="shared" ref="J7:N7" si="2">J5-J6</f>
        <v>216.67</v>
      </c>
      <c r="K7" s="60">
        <f t="shared" si="2"/>
        <v>216.67</v>
      </c>
      <c r="L7" s="60">
        <f t="shared" si="2"/>
        <v>216.67</v>
      </c>
      <c r="M7" s="60">
        <f t="shared" si="2"/>
        <v>216.67</v>
      </c>
      <c r="N7" s="60">
        <f t="shared" si="2"/>
        <v>216.67</v>
      </c>
      <c r="O7" s="75">
        <f>O5-O6</f>
        <v>2600.0400000000004</v>
      </c>
    </row>
    <row r="8" spans="1:16" s="142" customFormat="1" x14ac:dyDescent="0.3">
      <c r="A8" s="138"/>
      <c r="B8" s="139" t="s">
        <v>23</v>
      </c>
      <c r="C8" s="140">
        <f>SUM($C6:C6)</f>
        <v>0</v>
      </c>
      <c r="D8" s="140">
        <f>SUM($C6:D6)</f>
        <v>0</v>
      </c>
      <c r="E8" s="140">
        <f>SUM($C6:E6)</f>
        <v>0</v>
      </c>
      <c r="F8" s="140">
        <f>SUM($C6:F6)</f>
        <v>0</v>
      </c>
      <c r="G8" s="140">
        <f>SUM($C6:G6)</f>
        <v>0</v>
      </c>
      <c r="H8" s="140">
        <f>SUM($C6:H6)</f>
        <v>0</v>
      </c>
      <c r="I8" s="140">
        <f>SUM($C6:I6)</f>
        <v>0</v>
      </c>
      <c r="J8" s="140">
        <f>SUM($C6:J6)</f>
        <v>0</v>
      </c>
      <c r="K8" s="140">
        <f>SUM($C6:K6)</f>
        <v>0</v>
      </c>
      <c r="L8" s="140">
        <f>SUM($C6:L6)</f>
        <v>0</v>
      </c>
      <c r="M8" s="140">
        <f>SUM($C6:M6)</f>
        <v>0</v>
      </c>
      <c r="N8" s="140">
        <f>SUM($C6:N6)</f>
        <v>0</v>
      </c>
      <c r="O8" s="141">
        <f>O6</f>
        <v>0</v>
      </c>
    </row>
    <row r="9" spans="1:16" s="142" customFormat="1" x14ac:dyDescent="0.3">
      <c r="A9" s="143"/>
      <c r="B9" s="144" t="s">
        <v>25</v>
      </c>
      <c r="C9" s="145">
        <f>SUM($C5:C5)-C8</f>
        <v>216.67</v>
      </c>
      <c r="D9" s="145">
        <f>SUM($C5:D5)-D8</f>
        <v>433.34</v>
      </c>
      <c r="E9" s="145">
        <f>SUM($C5:E5)-E8</f>
        <v>650.01</v>
      </c>
      <c r="F9" s="145">
        <f>SUM($C5:F5)-F8</f>
        <v>866.68</v>
      </c>
      <c r="G9" s="145">
        <f>SUM($C5:G5)-G8</f>
        <v>1083.3499999999999</v>
      </c>
      <c r="H9" s="145">
        <f>SUM($C5:H5)-H8</f>
        <v>1300.02</v>
      </c>
      <c r="I9" s="145">
        <f>SUM($C5:I5)-I8</f>
        <v>1516.69</v>
      </c>
      <c r="J9" s="145">
        <f>SUM($C5:J5)-J8</f>
        <v>1733.3600000000001</v>
      </c>
      <c r="K9" s="145">
        <f>SUM($C5:K5)-K8</f>
        <v>1950.0300000000002</v>
      </c>
      <c r="L9" s="145">
        <f>SUM($C5:L5)-L8</f>
        <v>2166.7000000000003</v>
      </c>
      <c r="M9" s="145">
        <f>SUM($C5:M5)-M8</f>
        <v>2383.3700000000003</v>
      </c>
      <c r="N9" s="145">
        <f>SUM($C5:N5)-N8</f>
        <v>2600.0400000000004</v>
      </c>
      <c r="O9" s="146"/>
    </row>
    <row r="10" spans="1:16" x14ac:dyDescent="0.3">
      <c r="A10" s="54"/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6" s="102" customFormat="1" ht="12" x14ac:dyDescent="0.25">
      <c r="A11" s="236" t="s">
        <v>311</v>
      </c>
      <c r="B11" s="99" t="s">
        <v>16</v>
      </c>
      <c r="C11" s="104">
        <v>216.67</v>
      </c>
      <c r="D11" s="104">
        <v>216.67</v>
      </c>
      <c r="E11" s="104">
        <v>216.67</v>
      </c>
      <c r="F11" s="104">
        <v>216.67</v>
      </c>
      <c r="G11" s="104">
        <v>216.67</v>
      </c>
      <c r="H11" s="104">
        <v>216.67</v>
      </c>
      <c r="I11" s="104">
        <v>216.67</v>
      </c>
      <c r="J11" s="104">
        <v>216.67</v>
      </c>
      <c r="K11" s="104">
        <v>216.67</v>
      </c>
      <c r="L11" s="104">
        <v>216.67</v>
      </c>
      <c r="M11" s="104">
        <v>216.67</v>
      </c>
      <c r="N11" s="104">
        <v>216.67</v>
      </c>
      <c r="O11" s="101">
        <f t="shared" ref="O11:O14" si="3">SUM(C11:N11)</f>
        <v>2600.0400000000004</v>
      </c>
    </row>
    <row r="12" spans="1:16" s="102" customFormat="1" ht="12" x14ac:dyDescent="0.25">
      <c r="A12" s="235"/>
      <c r="B12" s="99" t="s">
        <v>29</v>
      </c>
      <c r="C12" s="100">
        <v>216.67</v>
      </c>
      <c r="D12" s="100">
        <v>216.67</v>
      </c>
      <c r="E12" s="100">
        <v>216.67</v>
      </c>
      <c r="F12" s="100">
        <v>216.67</v>
      </c>
      <c r="G12" s="100">
        <v>216.67</v>
      </c>
      <c r="H12" s="100">
        <v>216.67</v>
      </c>
      <c r="I12" s="100">
        <v>216.67</v>
      </c>
      <c r="J12" s="100">
        <v>216.67</v>
      </c>
      <c r="K12" s="100">
        <v>216.67</v>
      </c>
      <c r="L12" s="100">
        <v>216.67</v>
      </c>
      <c r="M12" s="100">
        <v>216.67</v>
      </c>
      <c r="N12" s="100">
        <v>216.67</v>
      </c>
      <c r="O12" s="103">
        <f>SUM(C12:N12)</f>
        <v>2600.0400000000004</v>
      </c>
    </row>
    <row r="13" spans="1:16" s="67" customFormat="1" ht="12.6" customHeight="1" x14ac:dyDescent="0.3">
      <c r="A13" s="155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66">
        <f t="shared" si="3"/>
        <v>0</v>
      </c>
    </row>
    <row r="14" spans="1:16" s="67" customFormat="1" ht="12.6" customHeight="1" x14ac:dyDescent="0.3">
      <c r="A14" s="156"/>
      <c r="B14" s="116" t="s">
        <v>32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8">
        <f t="shared" si="3"/>
        <v>0</v>
      </c>
    </row>
    <row r="15" spans="1:16" s="102" customFormat="1" ht="12" x14ac:dyDescent="0.25">
      <c r="A15" s="236"/>
      <c r="B15" s="99" t="s">
        <v>16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1">
        <f t="shared" ref="O15:O26" si="4">SUM(C15:N15)</f>
        <v>0</v>
      </c>
    </row>
    <row r="16" spans="1:16" s="102" customFormat="1" ht="12" x14ac:dyDescent="0.25">
      <c r="A16" s="235"/>
      <c r="B16" s="99" t="s">
        <v>29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3">
        <f t="shared" si="4"/>
        <v>0</v>
      </c>
    </row>
    <row r="17" spans="1:15" s="67" customFormat="1" ht="12.6" customHeight="1" x14ac:dyDescent="0.3">
      <c r="A17" s="155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>
        <f>SUM(C17:N17)</f>
        <v>0</v>
      </c>
    </row>
    <row r="18" spans="1:15" s="67" customFormat="1" ht="12.6" customHeight="1" x14ac:dyDescent="0.3">
      <c r="A18" s="156"/>
      <c r="B18" s="116" t="s">
        <v>32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8">
        <f t="shared" si="4"/>
        <v>0</v>
      </c>
    </row>
    <row r="19" spans="1:15" s="102" customFormat="1" ht="12" x14ac:dyDescent="0.25">
      <c r="A19" s="236"/>
      <c r="B19" s="99" t="s">
        <v>16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1">
        <f t="shared" si="4"/>
        <v>0</v>
      </c>
    </row>
    <row r="20" spans="1:15" s="102" customFormat="1" ht="12" x14ac:dyDescent="0.25">
      <c r="A20" s="235"/>
      <c r="B20" s="99" t="s">
        <v>29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3">
        <f>SUM(C20:N20)</f>
        <v>0</v>
      </c>
    </row>
    <row r="21" spans="1:15" s="67" customFormat="1" ht="12.6" customHeight="1" x14ac:dyDescent="0.3">
      <c r="A21" s="155"/>
      <c r="B21" s="65" t="s">
        <v>31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66">
        <f t="shared" si="4"/>
        <v>0</v>
      </c>
    </row>
    <row r="22" spans="1:15" s="67" customFormat="1" ht="12.6" customHeight="1" x14ac:dyDescent="0.3">
      <c r="A22" s="156"/>
      <c r="B22" s="116" t="s">
        <v>32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8">
        <f t="shared" si="4"/>
        <v>0</v>
      </c>
    </row>
    <row r="23" spans="1:15" s="102" customFormat="1" ht="12" x14ac:dyDescent="0.25">
      <c r="A23" s="236"/>
      <c r="B23" s="99" t="s">
        <v>16</v>
      </c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1">
        <f t="shared" si="4"/>
        <v>0</v>
      </c>
    </row>
    <row r="24" spans="1:15" s="102" customFormat="1" ht="12" x14ac:dyDescent="0.25">
      <c r="A24" s="235"/>
      <c r="B24" s="99" t="s">
        <v>29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>
        <v>0</v>
      </c>
      <c r="N24" s="100">
        <v>0</v>
      </c>
      <c r="O24" s="103">
        <f>SUM(C24:N24)</f>
        <v>0</v>
      </c>
    </row>
    <row r="25" spans="1:15" s="67" customFormat="1" ht="12.6" customHeight="1" x14ac:dyDescent="0.3">
      <c r="A25" s="155"/>
      <c r="B25" s="65" t="s">
        <v>31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66">
        <f t="shared" si="4"/>
        <v>0</v>
      </c>
    </row>
    <row r="26" spans="1:15" s="67" customFormat="1" ht="12.6" customHeight="1" x14ac:dyDescent="0.3">
      <c r="A26" s="156"/>
      <c r="B26" s="116" t="s">
        <v>32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8">
        <f t="shared" si="4"/>
        <v>0</v>
      </c>
    </row>
    <row r="27" spans="1:15" s="102" customFormat="1" ht="12" x14ac:dyDescent="0.25">
      <c r="A27" s="236"/>
      <c r="B27" s="99" t="s">
        <v>16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1">
        <f t="shared" ref="O27:O90" si="5">SUM(C27:N27)</f>
        <v>0</v>
      </c>
    </row>
    <row r="28" spans="1:15" s="102" customFormat="1" ht="12" x14ac:dyDescent="0.25">
      <c r="A28" s="235"/>
      <c r="B28" s="99" t="s">
        <v>29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100">
        <v>0</v>
      </c>
      <c r="N28" s="100">
        <v>0</v>
      </c>
      <c r="O28" s="103">
        <f>SUM(C28:N28)</f>
        <v>0</v>
      </c>
    </row>
    <row r="29" spans="1:15" s="67" customFormat="1" ht="12.6" customHeight="1" x14ac:dyDescent="0.3">
      <c r="A29" s="155"/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66">
        <f t="shared" si="5"/>
        <v>0</v>
      </c>
    </row>
    <row r="30" spans="1:15" s="67" customFormat="1" ht="12.6" customHeight="1" x14ac:dyDescent="0.3">
      <c r="A30" s="156"/>
      <c r="B30" s="116" t="s">
        <v>32</v>
      </c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8">
        <f t="shared" si="5"/>
        <v>0</v>
      </c>
    </row>
    <row r="31" spans="1:15" s="102" customFormat="1" ht="12" x14ac:dyDescent="0.25">
      <c r="A31" s="236"/>
      <c r="B31" s="99" t="s">
        <v>16</v>
      </c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1">
        <f t="shared" si="5"/>
        <v>0</v>
      </c>
    </row>
    <row r="32" spans="1:15" s="102" customFormat="1" ht="12" x14ac:dyDescent="0.25">
      <c r="A32" s="235"/>
      <c r="B32" s="99" t="s">
        <v>29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3">
        <f>SUM(C32:N32)</f>
        <v>0</v>
      </c>
    </row>
    <row r="33" spans="1:15" s="67" customFormat="1" ht="12.6" customHeight="1" x14ac:dyDescent="0.3">
      <c r="A33" s="155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 t="shared" si="5"/>
        <v>0</v>
      </c>
    </row>
    <row r="34" spans="1:15" s="67" customFormat="1" ht="12.6" customHeight="1" x14ac:dyDescent="0.3">
      <c r="A34" s="156"/>
      <c r="B34" s="116" t="s">
        <v>32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8">
        <f t="shared" si="5"/>
        <v>0</v>
      </c>
    </row>
    <row r="35" spans="1:15" s="102" customFormat="1" ht="12" x14ac:dyDescent="0.25">
      <c r="A35" s="236"/>
      <c r="B35" s="99" t="s">
        <v>16</v>
      </c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1">
        <f t="shared" si="5"/>
        <v>0</v>
      </c>
    </row>
    <row r="36" spans="1:15" s="102" customFormat="1" ht="12" x14ac:dyDescent="0.25">
      <c r="A36" s="235"/>
      <c r="B36" s="99" t="s">
        <v>29</v>
      </c>
      <c r="C36" s="100">
        <v>0</v>
      </c>
      <c r="D36" s="100">
        <v>0</v>
      </c>
      <c r="E36" s="100">
        <v>0</v>
      </c>
      <c r="F36" s="100">
        <v>0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100">
        <v>0</v>
      </c>
      <c r="N36" s="100">
        <v>0</v>
      </c>
      <c r="O36" s="103">
        <f>SUM(C36:N36)</f>
        <v>0</v>
      </c>
    </row>
    <row r="37" spans="1:15" s="67" customFormat="1" ht="12.6" customHeight="1" x14ac:dyDescent="0.3">
      <c r="A37" s="155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 t="shared" si="5"/>
        <v>0</v>
      </c>
    </row>
    <row r="38" spans="1:15" s="67" customFormat="1" ht="12.6" customHeight="1" x14ac:dyDescent="0.3">
      <c r="A38" s="156"/>
      <c r="B38" s="116" t="s">
        <v>32</v>
      </c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>
        <f t="shared" si="5"/>
        <v>0</v>
      </c>
    </row>
    <row r="39" spans="1:15" s="102" customFormat="1" ht="12" x14ac:dyDescent="0.25">
      <c r="A39" s="236"/>
      <c r="B39" s="99" t="s">
        <v>16</v>
      </c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1">
        <f t="shared" si="5"/>
        <v>0</v>
      </c>
    </row>
    <row r="40" spans="1:15" s="102" customFormat="1" ht="12" x14ac:dyDescent="0.25">
      <c r="A40" s="235"/>
      <c r="B40" s="99" t="s">
        <v>29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100">
        <v>0</v>
      </c>
      <c r="N40" s="100">
        <v>0</v>
      </c>
      <c r="O40" s="103">
        <f>SUM(C40:N40)</f>
        <v>0</v>
      </c>
    </row>
    <row r="41" spans="1:15" s="64" customFormat="1" ht="12.6" customHeight="1" x14ac:dyDescent="0.3">
      <c r="A41" s="155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 t="shared" si="5"/>
        <v>0</v>
      </c>
    </row>
    <row r="42" spans="1:15" s="64" customFormat="1" ht="12.6" customHeight="1" x14ac:dyDescent="0.3">
      <c r="A42" s="156"/>
      <c r="B42" s="7" t="s">
        <v>32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24">
        <f t="shared" si="5"/>
        <v>0</v>
      </c>
    </row>
    <row r="43" spans="1:15" s="102" customFormat="1" ht="12" x14ac:dyDescent="0.25">
      <c r="A43" s="236"/>
      <c r="B43" s="99" t="s">
        <v>16</v>
      </c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1">
        <f t="shared" si="5"/>
        <v>0</v>
      </c>
    </row>
    <row r="44" spans="1:15" s="102" customFormat="1" ht="12" x14ac:dyDescent="0.25">
      <c r="A44" s="235"/>
      <c r="B44" s="99" t="s">
        <v>29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100">
        <v>0</v>
      </c>
      <c r="N44" s="100">
        <v>0</v>
      </c>
      <c r="O44" s="103">
        <f>SUM(C44:N44)</f>
        <v>0</v>
      </c>
    </row>
    <row r="45" spans="1:15" s="64" customFormat="1" ht="12.6" customHeight="1" x14ac:dyDescent="0.3">
      <c r="A45" s="155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 t="shared" si="5"/>
        <v>0</v>
      </c>
    </row>
    <row r="46" spans="1:15" s="64" customFormat="1" ht="12.6" customHeight="1" x14ac:dyDescent="0.3">
      <c r="A46" s="156"/>
      <c r="B46" s="7" t="s">
        <v>32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24">
        <f t="shared" si="5"/>
        <v>0</v>
      </c>
    </row>
    <row r="47" spans="1:15" s="102" customFormat="1" ht="12" x14ac:dyDescent="0.25">
      <c r="A47" s="236"/>
      <c r="B47" s="99" t="s">
        <v>16</v>
      </c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1">
        <f t="shared" si="5"/>
        <v>0</v>
      </c>
    </row>
    <row r="48" spans="1:15" s="102" customFormat="1" ht="12" x14ac:dyDescent="0.25">
      <c r="A48" s="235"/>
      <c r="B48" s="99" t="s">
        <v>29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3">
        <f>SUM(C48:N48)</f>
        <v>0</v>
      </c>
    </row>
    <row r="49" spans="1:15" s="64" customFormat="1" ht="12.6" customHeight="1" x14ac:dyDescent="0.3">
      <c r="A49" s="155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 t="shared" si="5"/>
        <v>0</v>
      </c>
    </row>
    <row r="50" spans="1:15" s="64" customFormat="1" ht="12.6" customHeight="1" x14ac:dyDescent="0.3">
      <c r="A50" s="156"/>
      <c r="B50" s="7" t="s">
        <v>32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24">
        <f t="shared" si="5"/>
        <v>0</v>
      </c>
    </row>
    <row r="51" spans="1:15" s="102" customFormat="1" ht="12" x14ac:dyDescent="0.25">
      <c r="A51" s="236"/>
      <c r="B51" s="99" t="s">
        <v>16</v>
      </c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1">
        <f t="shared" si="5"/>
        <v>0</v>
      </c>
    </row>
    <row r="52" spans="1:15" s="102" customFormat="1" ht="12" x14ac:dyDescent="0.25">
      <c r="A52" s="235"/>
      <c r="B52" s="99" t="s">
        <v>29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0</v>
      </c>
      <c r="N52" s="100">
        <v>0</v>
      </c>
      <c r="O52" s="103">
        <f>SUM(C52:N52)</f>
        <v>0</v>
      </c>
    </row>
    <row r="53" spans="1:15" s="64" customFormat="1" ht="12.6" customHeight="1" x14ac:dyDescent="0.3">
      <c r="A53" s="155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 t="shared" si="5"/>
        <v>0</v>
      </c>
    </row>
    <row r="54" spans="1:15" s="64" customFormat="1" ht="12.6" customHeight="1" x14ac:dyDescent="0.3">
      <c r="A54" s="156"/>
      <c r="B54" s="7" t="s">
        <v>32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24">
        <f t="shared" si="5"/>
        <v>0</v>
      </c>
    </row>
    <row r="55" spans="1:15" s="102" customFormat="1" ht="12" x14ac:dyDescent="0.25">
      <c r="A55" s="236"/>
      <c r="B55" s="99" t="s">
        <v>16</v>
      </c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1">
        <f t="shared" si="5"/>
        <v>0</v>
      </c>
    </row>
    <row r="56" spans="1:15" s="102" customFormat="1" ht="12" x14ac:dyDescent="0.25">
      <c r="A56" s="235"/>
      <c r="B56" s="99" t="s">
        <v>29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3">
        <f>SUM(C56:N56)</f>
        <v>0</v>
      </c>
    </row>
    <row r="57" spans="1:15" s="64" customFormat="1" ht="12.6" customHeight="1" x14ac:dyDescent="0.3">
      <c r="A57" s="155"/>
      <c r="B57" s="5" t="s">
        <v>31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7">
        <f t="shared" si="5"/>
        <v>0</v>
      </c>
    </row>
    <row r="58" spans="1:15" s="64" customFormat="1" ht="12.6" customHeight="1" x14ac:dyDescent="0.3">
      <c r="A58" s="156"/>
      <c r="B58" s="7" t="s">
        <v>32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24">
        <f t="shared" si="5"/>
        <v>0</v>
      </c>
    </row>
    <row r="59" spans="1:15" s="102" customFormat="1" ht="12" x14ac:dyDescent="0.25">
      <c r="A59" s="236"/>
      <c r="B59" s="99" t="s">
        <v>16</v>
      </c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1">
        <f t="shared" si="5"/>
        <v>0</v>
      </c>
    </row>
    <row r="60" spans="1:15" s="102" customFormat="1" ht="12" x14ac:dyDescent="0.25">
      <c r="A60" s="235"/>
      <c r="B60" s="99" t="s">
        <v>29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3">
        <f>SUM(C60:N60)</f>
        <v>0</v>
      </c>
    </row>
    <row r="61" spans="1:15" s="64" customFormat="1" ht="12.6" customHeight="1" x14ac:dyDescent="0.3">
      <c r="A61" s="155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 t="shared" si="5"/>
        <v>0</v>
      </c>
    </row>
    <row r="62" spans="1:15" s="64" customFormat="1" ht="12.6" customHeight="1" x14ac:dyDescent="0.3">
      <c r="A62" s="156"/>
      <c r="B62" s="7" t="s">
        <v>32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24">
        <f t="shared" si="5"/>
        <v>0</v>
      </c>
    </row>
    <row r="63" spans="1:15" s="102" customFormat="1" ht="12" x14ac:dyDescent="0.25">
      <c r="A63" s="236"/>
      <c r="B63" s="99" t="s">
        <v>16</v>
      </c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1">
        <f t="shared" si="5"/>
        <v>0</v>
      </c>
    </row>
    <row r="64" spans="1:15" s="102" customFormat="1" ht="12" x14ac:dyDescent="0.25">
      <c r="A64" s="235"/>
      <c r="B64" s="99" t="s">
        <v>29</v>
      </c>
      <c r="C64" s="100">
        <v>0</v>
      </c>
      <c r="D64" s="100">
        <v>0</v>
      </c>
      <c r="E64" s="100">
        <v>0</v>
      </c>
      <c r="F64" s="100">
        <v>0</v>
      </c>
      <c r="G64" s="100">
        <v>0</v>
      </c>
      <c r="H64" s="100">
        <v>0</v>
      </c>
      <c r="I64" s="100">
        <v>0</v>
      </c>
      <c r="J64" s="100">
        <v>0</v>
      </c>
      <c r="K64" s="100">
        <v>0</v>
      </c>
      <c r="L64" s="100">
        <v>0</v>
      </c>
      <c r="M64" s="100">
        <v>0</v>
      </c>
      <c r="N64" s="100">
        <v>0</v>
      </c>
      <c r="O64" s="103">
        <f>SUM(C64:N64)</f>
        <v>0</v>
      </c>
    </row>
    <row r="65" spans="1:15" s="64" customFormat="1" ht="12.6" customHeight="1" x14ac:dyDescent="0.3">
      <c r="A65" s="155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 t="shared" si="5"/>
        <v>0</v>
      </c>
    </row>
    <row r="66" spans="1:15" s="64" customFormat="1" ht="12.6" customHeight="1" x14ac:dyDescent="0.3">
      <c r="A66" s="156"/>
      <c r="B66" s="7" t="s">
        <v>32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24">
        <f t="shared" si="5"/>
        <v>0</v>
      </c>
    </row>
    <row r="67" spans="1:15" s="102" customFormat="1" ht="12.6" customHeight="1" x14ac:dyDescent="0.25">
      <c r="A67" s="236"/>
      <c r="B67" s="99" t="s">
        <v>16</v>
      </c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1">
        <f t="shared" si="5"/>
        <v>0</v>
      </c>
    </row>
    <row r="68" spans="1:15" s="102" customFormat="1" ht="12" x14ac:dyDescent="0.25">
      <c r="A68" s="235"/>
      <c r="B68" s="99" t="s">
        <v>29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3">
        <f>SUM(C68:N68)</f>
        <v>0</v>
      </c>
    </row>
    <row r="69" spans="1:15" s="64" customFormat="1" x14ac:dyDescent="0.3">
      <c r="A69" s="155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 t="shared" si="5"/>
        <v>0</v>
      </c>
    </row>
    <row r="70" spans="1:15" s="64" customFormat="1" x14ac:dyDescent="0.3">
      <c r="A70" s="156"/>
      <c r="B70" s="7" t="s">
        <v>32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24">
        <f t="shared" si="5"/>
        <v>0</v>
      </c>
    </row>
    <row r="71" spans="1:15" s="102" customFormat="1" ht="12" x14ac:dyDescent="0.25">
      <c r="A71" s="236"/>
      <c r="B71" s="99" t="s">
        <v>16</v>
      </c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1">
        <f t="shared" si="5"/>
        <v>0</v>
      </c>
    </row>
    <row r="72" spans="1:15" s="102" customFormat="1" ht="12" x14ac:dyDescent="0.25">
      <c r="A72" s="235"/>
      <c r="B72" s="99" t="s">
        <v>29</v>
      </c>
      <c r="C72" s="100">
        <v>0</v>
      </c>
      <c r="D72" s="100">
        <v>0</v>
      </c>
      <c r="E72" s="100">
        <v>0</v>
      </c>
      <c r="F72" s="100">
        <v>0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3">
        <f>SUM(C72:N72)</f>
        <v>0</v>
      </c>
    </row>
    <row r="73" spans="1:15" s="64" customFormat="1" x14ac:dyDescent="0.3">
      <c r="A73" s="155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 t="shared" si="5"/>
        <v>0</v>
      </c>
    </row>
    <row r="74" spans="1:15" s="64" customFormat="1" x14ac:dyDescent="0.3">
      <c r="A74" s="156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24">
        <f t="shared" si="5"/>
        <v>0</v>
      </c>
    </row>
    <row r="75" spans="1:15" s="102" customFormat="1" ht="12" x14ac:dyDescent="0.25">
      <c r="A75" s="236"/>
      <c r="B75" s="99" t="s">
        <v>16</v>
      </c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1">
        <f t="shared" si="5"/>
        <v>0</v>
      </c>
    </row>
    <row r="76" spans="1:15" s="102" customFormat="1" ht="12" x14ac:dyDescent="0.25">
      <c r="A76" s="235"/>
      <c r="B76" s="99" t="s">
        <v>29</v>
      </c>
      <c r="C76" s="100">
        <v>0</v>
      </c>
      <c r="D76" s="100">
        <v>0</v>
      </c>
      <c r="E76" s="100">
        <v>0</v>
      </c>
      <c r="F76" s="100">
        <v>0</v>
      </c>
      <c r="G76" s="100">
        <v>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3">
        <f>SUM(C76:N76)</f>
        <v>0</v>
      </c>
    </row>
    <row r="77" spans="1:15" s="64" customFormat="1" x14ac:dyDescent="0.3">
      <c r="A77" s="155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7">
        <f t="shared" si="5"/>
        <v>0</v>
      </c>
    </row>
    <row r="78" spans="1:15" s="64" customFormat="1" x14ac:dyDescent="0.3">
      <c r="A78" s="156"/>
      <c r="B78" s="7" t="s">
        <v>32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24">
        <f t="shared" si="5"/>
        <v>0</v>
      </c>
    </row>
    <row r="79" spans="1:15" s="102" customFormat="1" ht="12" x14ac:dyDescent="0.25">
      <c r="A79" s="236"/>
      <c r="B79" s="99" t="s">
        <v>16</v>
      </c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1">
        <f t="shared" si="5"/>
        <v>0</v>
      </c>
    </row>
    <row r="80" spans="1:15" s="102" customFormat="1" ht="12" x14ac:dyDescent="0.25">
      <c r="A80" s="235"/>
      <c r="B80" s="99" t="s">
        <v>29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3">
        <f>SUM(C80:N80)</f>
        <v>0</v>
      </c>
    </row>
    <row r="81" spans="1:15" s="64" customFormat="1" x14ac:dyDescent="0.3">
      <c r="A81" s="155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7">
        <f t="shared" si="5"/>
        <v>0</v>
      </c>
    </row>
    <row r="82" spans="1:15" s="64" customFormat="1" x14ac:dyDescent="0.3">
      <c r="A82" s="156"/>
      <c r="B82" s="7" t="s">
        <v>32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24">
        <f t="shared" si="5"/>
        <v>0</v>
      </c>
    </row>
    <row r="83" spans="1:15" s="102" customFormat="1" ht="12" x14ac:dyDescent="0.25">
      <c r="A83" s="236"/>
      <c r="B83" s="99" t="s">
        <v>16</v>
      </c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1">
        <f t="shared" si="5"/>
        <v>0</v>
      </c>
    </row>
    <row r="84" spans="1:15" s="102" customFormat="1" ht="12" x14ac:dyDescent="0.25">
      <c r="A84" s="235"/>
      <c r="B84" s="99" t="s">
        <v>29</v>
      </c>
      <c r="C84" s="100">
        <v>0</v>
      </c>
      <c r="D84" s="100">
        <v>0</v>
      </c>
      <c r="E84" s="100">
        <v>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3">
        <f>SUM(C84:N84)</f>
        <v>0</v>
      </c>
    </row>
    <row r="85" spans="1:15" s="64" customFormat="1" x14ac:dyDescent="0.3">
      <c r="A85" s="155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7">
        <f t="shared" si="5"/>
        <v>0</v>
      </c>
    </row>
    <row r="86" spans="1:15" s="64" customFormat="1" x14ac:dyDescent="0.3">
      <c r="A86" s="156"/>
      <c r="B86" s="7" t="s">
        <v>32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24">
        <f t="shared" si="5"/>
        <v>0</v>
      </c>
    </row>
    <row r="87" spans="1:15" s="102" customFormat="1" ht="12" x14ac:dyDescent="0.25">
      <c r="A87" s="236"/>
      <c r="B87" s="99" t="s">
        <v>16</v>
      </c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1">
        <f t="shared" si="5"/>
        <v>0</v>
      </c>
    </row>
    <row r="88" spans="1:15" s="102" customFormat="1" ht="12" x14ac:dyDescent="0.25">
      <c r="A88" s="235"/>
      <c r="B88" s="99" t="s">
        <v>29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3">
        <f>SUM(C88:N88)</f>
        <v>0</v>
      </c>
    </row>
    <row r="89" spans="1:15" s="64" customFormat="1" x14ac:dyDescent="0.3">
      <c r="A89" s="155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7">
        <f t="shared" si="5"/>
        <v>0</v>
      </c>
    </row>
    <row r="90" spans="1:15" s="64" customFormat="1" x14ac:dyDescent="0.3">
      <c r="A90" s="156"/>
      <c r="B90" s="7" t="s">
        <v>32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24">
        <f t="shared" si="5"/>
        <v>0</v>
      </c>
    </row>
    <row r="91" spans="1:15" s="102" customFormat="1" ht="12" x14ac:dyDescent="0.25">
      <c r="A91" s="236"/>
      <c r="B91" s="99" t="s">
        <v>16</v>
      </c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1">
        <f t="shared" ref="O91:O106" si="6">SUM(C91:N91)</f>
        <v>0</v>
      </c>
    </row>
    <row r="92" spans="1:15" s="102" customFormat="1" ht="12" x14ac:dyDescent="0.25">
      <c r="A92" s="235"/>
      <c r="B92" s="99" t="s">
        <v>29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100">
        <v>0</v>
      </c>
      <c r="N92" s="100">
        <v>0</v>
      </c>
      <c r="O92" s="103">
        <f>SUM(C92:N92)</f>
        <v>0</v>
      </c>
    </row>
    <row r="93" spans="1:15" s="64" customFormat="1" x14ac:dyDescent="0.3">
      <c r="A93" s="155"/>
      <c r="B93" s="5" t="s">
        <v>31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7">
        <f t="shared" si="6"/>
        <v>0</v>
      </c>
    </row>
    <row r="94" spans="1:15" s="64" customFormat="1" x14ac:dyDescent="0.3">
      <c r="A94" s="156"/>
      <c r="B94" s="7" t="s">
        <v>32</v>
      </c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24">
        <f t="shared" si="6"/>
        <v>0</v>
      </c>
    </row>
    <row r="95" spans="1:15" s="102" customFormat="1" ht="12" x14ac:dyDescent="0.25">
      <c r="A95" s="236"/>
      <c r="B95" s="99" t="s">
        <v>16</v>
      </c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1">
        <f t="shared" si="6"/>
        <v>0</v>
      </c>
    </row>
    <row r="96" spans="1:15" s="102" customFormat="1" ht="12" x14ac:dyDescent="0.25">
      <c r="A96" s="235"/>
      <c r="B96" s="99" t="s">
        <v>29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100">
        <v>0</v>
      </c>
      <c r="N96" s="100">
        <v>0</v>
      </c>
      <c r="O96" s="103">
        <f>SUM(C96:N96)</f>
        <v>0</v>
      </c>
    </row>
    <row r="97" spans="1:15" s="64" customFormat="1" x14ac:dyDescent="0.3">
      <c r="A97" s="155"/>
      <c r="B97" s="5" t="s">
        <v>31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7">
        <f t="shared" si="6"/>
        <v>0</v>
      </c>
    </row>
    <row r="98" spans="1:15" s="64" customFormat="1" x14ac:dyDescent="0.3">
      <c r="A98" s="156"/>
      <c r="B98" s="7" t="s">
        <v>32</v>
      </c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24">
        <f t="shared" si="6"/>
        <v>0</v>
      </c>
    </row>
    <row r="99" spans="1:15" s="102" customFormat="1" ht="12" x14ac:dyDescent="0.25">
      <c r="A99" s="236"/>
      <c r="B99" s="99" t="s">
        <v>16</v>
      </c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1">
        <f t="shared" si="6"/>
        <v>0</v>
      </c>
    </row>
    <row r="100" spans="1:15" s="102" customFormat="1" ht="12" x14ac:dyDescent="0.25">
      <c r="A100" s="235"/>
      <c r="B100" s="99" t="s">
        <v>29</v>
      </c>
      <c r="C100" s="100">
        <v>0</v>
      </c>
      <c r="D100" s="100">
        <v>0</v>
      </c>
      <c r="E100" s="100">
        <v>0</v>
      </c>
      <c r="F100" s="100">
        <v>0</v>
      </c>
      <c r="G100" s="100">
        <v>0</v>
      </c>
      <c r="H100" s="100">
        <v>0</v>
      </c>
      <c r="I100" s="100">
        <v>0</v>
      </c>
      <c r="J100" s="100">
        <v>0</v>
      </c>
      <c r="K100" s="100">
        <v>0</v>
      </c>
      <c r="L100" s="100">
        <v>0</v>
      </c>
      <c r="M100" s="100">
        <v>0</v>
      </c>
      <c r="N100" s="100">
        <v>0</v>
      </c>
      <c r="O100" s="103">
        <f t="shared" si="6"/>
        <v>0</v>
      </c>
    </row>
    <row r="101" spans="1:15" s="64" customFormat="1" x14ac:dyDescent="0.3">
      <c r="A101" s="155"/>
      <c r="B101" s="5" t="s">
        <v>31</v>
      </c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7">
        <f>SUM(C101:N101)</f>
        <v>0</v>
      </c>
    </row>
    <row r="102" spans="1:15" s="64" customFormat="1" x14ac:dyDescent="0.3">
      <c r="A102" s="156"/>
      <c r="B102" s="7" t="s">
        <v>32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24">
        <f t="shared" si="6"/>
        <v>0</v>
      </c>
    </row>
    <row r="103" spans="1:15" s="102" customFormat="1" ht="12" x14ac:dyDescent="0.25">
      <c r="A103" s="236"/>
      <c r="B103" s="99" t="s">
        <v>16</v>
      </c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1">
        <f t="shared" si="6"/>
        <v>0</v>
      </c>
    </row>
    <row r="104" spans="1:15" s="102" customFormat="1" ht="12" x14ac:dyDescent="0.25">
      <c r="A104" s="235"/>
      <c r="B104" s="99" t="s">
        <v>29</v>
      </c>
      <c r="C104" s="100">
        <v>0</v>
      </c>
      <c r="D104" s="100">
        <v>0</v>
      </c>
      <c r="E104" s="100">
        <v>0</v>
      </c>
      <c r="F104" s="100">
        <v>0</v>
      </c>
      <c r="G104" s="100">
        <v>0</v>
      </c>
      <c r="H104" s="100">
        <v>0</v>
      </c>
      <c r="I104" s="100">
        <v>0</v>
      </c>
      <c r="J104" s="100">
        <v>0</v>
      </c>
      <c r="K104" s="100">
        <v>0</v>
      </c>
      <c r="L104" s="100">
        <v>0</v>
      </c>
      <c r="M104" s="100">
        <v>0</v>
      </c>
      <c r="N104" s="100">
        <v>0</v>
      </c>
      <c r="O104" s="103">
        <f t="shared" si="6"/>
        <v>0</v>
      </c>
    </row>
    <row r="105" spans="1:15" s="64" customFormat="1" x14ac:dyDescent="0.3">
      <c r="A105" s="155"/>
      <c r="B105" s="5" t="s">
        <v>31</v>
      </c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7">
        <f>SUM(C105:N105)</f>
        <v>0</v>
      </c>
    </row>
    <row r="106" spans="1:15" s="64" customFormat="1" x14ac:dyDescent="0.3">
      <c r="A106" s="156"/>
      <c r="B106" s="7" t="s">
        <v>32</v>
      </c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24">
        <f t="shared" si="6"/>
        <v>0</v>
      </c>
    </row>
    <row r="107" spans="1:15" s="102" customFormat="1" ht="12" x14ac:dyDescent="0.25">
      <c r="A107" s="253"/>
    </row>
    <row r="108" spans="1:15" s="102" customFormat="1" ht="12" x14ac:dyDescent="0.25">
      <c r="A108" s="252"/>
    </row>
    <row r="109" spans="1:15" s="64" customFormat="1" x14ac:dyDescent="0.3">
      <c r="A109" s="159"/>
    </row>
    <row r="110" spans="1:15" s="64" customFormat="1" x14ac:dyDescent="0.3">
      <c r="A110" s="159"/>
    </row>
    <row r="111" spans="1:15" s="102" customFormat="1" ht="12" x14ac:dyDescent="0.25">
      <c r="A111" s="252"/>
    </row>
    <row r="112" spans="1:15" s="102" customFormat="1" ht="12" x14ac:dyDescent="0.25">
      <c r="A112" s="252"/>
    </row>
    <row r="113" spans="1:1" s="64" customFormat="1" x14ac:dyDescent="0.3">
      <c r="A113" s="159"/>
    </row>
    <row r="114" spans="1:1" s="64" customFormat="1" x14ac:dyDescent="0.3">
      <c r="A114" s="159"/>
    </row>
    <row r="115" spans="1:1" s="102" customFormat="1" ht="12" x14ac:dyDescent="0.25">
      <c r="A115" s="252"/>
    </row>
    <row r="116" spans="1:1" s="102" customFormat="1" ht="12" x14ac:dyDescent="0.25">
      <c r="A116" s="252"/>
    </row>
    <row r="117" spans="1:1" s="64" customFormat="1" x14ac:dyDescent="0.3">
      <c r="A117" s="159"/>
    </row>
    <row r="118" spans="1:1" s="64" customFormat="1" x14ac:dyDescent="0.3">
      <c r="A118" s="159"/>
    </row>
    <row r="119" spans="1:1" s="102" customFormat="1" ht="12" x14ac:dyDescent="0.25">
      <c r="A119" s="252"/>
    </row>
    <row r="120" spans="1:1" s="102" customFormat="1" ht="12" x14ac:dyDescent="0.25">
      <c r="A120" s="252"/>
    </row>
    <row r="121" spans="1:1" s="64" customFormat="1" x14ac:dyDescent="0.3">
      <c r="A121" s="159"/>
    </row>
    <row r="122" spans="1:1" s="64" customFormat="1" x14ac:dyDescent="0.3">
      <c r="A122" s="159"/>
    </row>
    <row r="123" spans="1:1" s="102" customFormat="1" ht="12" x14ac:dyDescent="0.25">
      <c r="A123" s="252"/>
    </row>
    <row r="124" spans="1:1" s="102" customFormat="1" ht="12" x14ac:dyDescent="0.25">
      <c r="A124" s="252"/>
    </row>
    <row r="125" spans="1:1" s="64" customFormat="1" ht="11.4" customHeight="1" x14ac:dyDescent="0.3">
      <c r="A125" s="159"/>
    </row>
    <row r="126" spans="1:1" s="64" customFormat="1" x14ac:dyDescent="0.3">
      <c r="A126" s="159"/>
    </row>
    <row r="127" spans="1:1" s="102" customFormat="1" ht="12" x14ac:dyDescent="0.25">
      <c r="A127" s="252"/>
    </row>
    <row r="128" spans="1:1" s="102" customFormat="1" ht="12" x14ac:dyDescent="0.25">
      <c r="A128" s="252"/>
    </row>
    <row r="129" spans="1:1" s="64" customFormat="1" x14ac:dyDescent="0.3">
      <c r="A129" s="159"/>
    </row>
    <row r="130" spans="1:1" s="64" customFormat="1" x14ac:dyDescent="0.3">
      <c r="A130" s="159"/>
    </row>
    <row r="131" spans="1:1" s="102" customFormat="1" ht="12" x14ac:dyDescent="0.25">
      <c r="A131" s="252"/>
    </row>
    <row r="132" spans="1:1" s="102" customFormat="1" ht="12" x14ac:dyDescent="0.25">
      <c r="A132" s="252"/>
    </row>
    <row r="133" spans="1:1" s="64" customFormat="1" x14ac:dyDescent="0.3">
      <c r="A133" s="159"/>
    </row>
    <row r="134" spans="1:1" s="64" customFormat="1" x14ac:dyDescent="0.3">
      <c r="A134" s="159"/>
    </row>
    <row r="135" spans="1:1" s="102" customFormat="1" ht="12" x14ac:dyDescent="0.25">
      <c r="A135" s="252"/>
    </row>
    <row r="136" spans="1:1" s="102" customFormat="1" ht="12" x14ac:dyDescent="0.25">
      <c r="A136" s="252"/>
    </row>
    <row r="137" spans="1:1" s="64" customFormat="1" x14ac:dyDescent="0.3">
      <c r="A137" s="159"/>
    </row>
    <row r="138" spans="1:1" s="64" customFormat="1" x14ac:dyDescent="0.3">
      <c r="A138" s="159"/>
    </row>
    <row r="139" spans="1:1" s="102" customFormat="1" ht="12" x14ac:dyDescent="0.25">
      <c r="A139" s="252"/>
    </row>
    <row r="140" spans="1:1" s="102" customFormat="1" ht="12" x14ac:dyDescent="0.25">
      <c r="A140" s="252"/>
    </row>
    <row r="141" spans="1:1" s="64" customFormat="1" x14ac:dyDescent="0.3">
      <c r="A141" s="159"/>
    </row>
    <row r="142" spans="1:1" s="64" customFormat="1" x14ac:dyDescent="0.3">
      <c r="A142" s="159"/>
    </row>
    <row r="143" spans="1:1" s="102" customFormat="1" ht="12" x14ac:dyDescent="0.25">
      <c r="A143" s="252"/>
    </row>
    <row r="144" spans="1:1" s="102" customFormat="1" ht="12" x14ac:dyDescent="0.25">
      <c r="A144" s="252"/>
    </row>
    <row r="145" spans="1:1" s="64" customFormat="1" x14ac:dyDescent="0.3">
      <c r="A145" s="159"/>
    </row>
    <row r="146" spans="1:1" s="64" customFormat="1" x14ac:dyDescent="0.3">
      <c r="A146" s="159"/>
    </row>
    <row r="147" spans="1:1" s="102" customFormat="1" ht="12" x14ac:dyDescent="0.25">
      <c r="A147" s="252"/>
    </row>
    <row r="148" spans="1:1" s="102" customFormat="1" ht="12" x14ac:dyDescent="0.25">
      <c r="A148" s="252"/>
    </row>
    <row r="149" spans="1:1" s="64" customFormat="1" x14ac:dyDescent="0.3">
      <c r="A149" s="159"/>
    </row>
    <row r="150" spans="1:1" s="64" customFormat="1" x14ac:dyDescent="0.3">
      <c r="A150" s="159"/>
    </row>
    <row r="151" spans="1:1" s="102" customFormat="1" ht="12" x14ac:dyDescent="0.25">
      <c r="A151" s="252"/>
    </row>
    <row r="152" spans="1:1" s="102" customFormat="1" ht="12" x14ac:dyDescent="0.25">
      <c r="A152" s="252"/>
    </row>
    <row r="153" spans="1:1" s="64" customFormat="1" x14ac:dyDescent="0.3">
      <c r="A153" s="159"/>
    </row>
    <row r="154" spans="1:1" s="64" customFormat="1" x14ac:dyDescent="0.3">
      <c r="A154" s="159"/>
    </row>
    <row r="155" spans="1:1" s="102" customFormat="1" ht="12" x14ac:dyDescent="0.25">
      <c r="A155" s="252"/>
    </row>
    <row r="156" spans="1:1" s="102" customFormat="1" ht="12" x14ac:dyDescent="0.25">
      <c r="A156" s="252"/>
    </row>
    <row r="157" spans="1:1" s="64" customFormat="1" x14ac:dyDescent="0.3">
      <c r="A157" s="159"/>
    </row>
    <row r="158" spans="1:1" s="64" customFormat="1" x14ac:dyDescent="0.3">
      <c r="A158" s="159"/>
    </row>
    <row r="159" spans="1:1" s="102" customFormat="1" ht="12" x14ac:dyDescent="0.25">
      <c r="A159" s="252"/>
    </row>
    <row r="160" spans="1:1" s="102" customFormat="1" ht="12" x14ac:dyDescent="0.25">
      <c r="A160" s="252"/>
    </row>
    <row r="161" spans="1:1" s="64" customFormat="1" x14ac:dyDescent="0.3">
      <c r="A161" s="159"/>
    </row>
    <row r="162" spans="1:1" s="64" customFormat="1" x14ac:dyDescent="0.3">
      <c r="A162" s="159"/>
    </row>
    <row r="163" spans="1:1" s="102" customFormat="1" ht="12" x14ac:dyDescent="0.25">
      <c r="A163" s="252"/>
    </row>
    <row r="164" spans="1:1" s="102" customFormat="1" ht="12" x14ac:dyDescent="0.25">
      <c r="A164" s="252"/>
    </row>
    <row r="165" spans="1:1" s="64" customFormat="1" x14ac:dyDescent="0.3">
      <c r="A165" s="159"/>
    </row>
    <row r="166" spans="1:1" s="64" customFormat="1" x14ac:dyDescent="0.3">
      <c r="A166" s="159"/>
    </row>
    <row r="167" spans="1:1" s="102" customFormat="1" ht="12" x14ac:dyDescent="0.25">
      <c r="A167" s="252"/>
    </row>
    <row r="168" spans="1:1" s="102" customFormat="1" ht="12" x14ac:dyDescent="0.25">
      <c r="A168" s="252"/>
    </row>
    <row r="169" spans="1:1" s="64" customFormat="1" x14ac:dyDescent="0.3">
      <c r="A169" s="159"/>
    </row>
    <row r="170" spans="1:1" s="64" customFormat="1" x14ac:dyDescent="0.3">
      <c r="A170" s="159"/>
    </row>
    <row r="171" spans="1:1" s="102" customFormat="1" ht="12" x14ac:dyDescent="0.25">
      <c r="A171" s="252"/>
    </row>
    <row r="172" spans="1:1" s="102" customFormat="1" ht="12" x14ac:dyDescent="0.25">
      <c r="A172" s="252"/>
    </row>
    <row r="173" spans="1:1" s="64" customFormat="1" x14ac:dyDescent="0.3">
      <c r="A173" s="159"/>
    </row>
    <row r="174" spans="1:1" s="64" customFormat="1" x14ac:dyDescent="0.3">
      <c r="A174" s="159"/>
    </row>
    <row r="175" spans="1:1" s="102" customFormat="1" ht="12" x14ac:dyDescent="0.25">
      <c r="A175" s="252"/>
    </row>
    <row r="176" spans="1:1" s="102" customFormat="1" ht="12" x14ac:dyDescent="0.25">
      <c r="A176" s="252"/>
    </row>
    <row r="177" spans="1:1" s="64" customFormat="1" x14ac:dyDescent="0.3">
      <c r="A177" s="159"/>
    </row>
    <row r="178" spans="1:1" s="64" customFormat="1" x14ac:dyDescent="0.3">
      <c r="A178" s="159"/>
    </row>
    <row r="179" spans="1:1" s="102" customFormat="1" ht="12" x14ac:dyDescent="0.25">
      <c r="A179" s="252"/>
    </row>
    <row r="180" spans="1:1" s="102" customFormat="1" ht="12" x14ac:dyDescent="0.25">
      <c r="A180" s="252"/>
    </row>
    <row r="181" spans="1:1" s="64" customFormat="1" x14ac:dyDescent="0.3">
      <c r="A181" s="159"/>
    </row>
    <row r="182" spans="1:1" s="64" customFormat="1" x14ac:dyDescent="0.3">
      <c r="A182" s="159"/>
    </row>
    <row r="183" spans="1:1" s="102" customFormat="1" ht="12" x14ac:dyDescent="0.25">
      <c r="A183" s="252"/>
    </row>
    <row r="184" spans="1:1" s="102" customFormat="1" ht="12" x14ac:dyDescent="0.25">
      <c r="A184" s="252"/>
    </row>
    <row r="185" spans="1:1" s="64" customFormat="1" x14ac:dyDescent="0.3">
      <c r="A185" s="159"/>
    </row>
    <row r="186" spans="1:1" s="64" customFormat="1" x14ac:dyDescent="0.3">
      <c r="A186" s="159"/>
    </row>
    <row r="187" spans="1:1" s="102" customFormat="1" ht="12" x14ac:dyDescent="0.25">
      <c r="A187" s="252"/>
    </row>
    <row r="188" spans="1:1" s="102" customFormat="1" ht="12" x14ac:dyDescent="0.25">
      <c r="A188" s="252"/>
    </row>
    <row r="189" spans="1:1" s="64" customFormat="1" x14ac:dyDescent="0.3">
      <c r="A189" s="159"/>
    </row>
    <row r="190" spans="1:1" s="64" customFormat="1" x14ac:dyDescent="0.3">
      <c r="A190" s="159"/>
    </row>
    <row r="191" spans="1:1" s="102" customFormat="1" ht="12" x14ac:dyDescent="0.25">
      <c r="A191" s="252"/>
    </row>
    <row r="192" spans="1:1" s="102" customFormat="1" ht="12" x14ac:dyDescent="0.25">
      <c r="A192" s="252"/>
    </row>
    <row r="193" spans="1:1" s="64" customFormat="1" x14ac:dyDescent="0.3">
      <c r="A193" s="159"/>
    </row>
    <row r="194" spans="1:1" s="64" customFormat="1" x14ac:dyDescent="0.3">
      <c r="A194" s="159"/>
    </row>
    <row r="195" spans="1:1" s="102" customFormat="1" ht="12" x14ac:dyDescent="0.25">
      <c r="A195" s="252"/>
    </row>
    <row r="196" spans="1:1" s="102" customFormat="1" ht="12" x14ac:dyDescent="0.25">
      <c r="A196" s="252"/>
    </row>
    <row r="197" spans="1:1" s="64" customFormat="1" x14ac:dyDescent="0.3">
      <c r="A197" s="159"/>
    </row>
    <row r="198" spans="1:1" s="64" customFormat="1" x14ac:dyDescent="0.3">
      <c r="A198" s="159"/>
    </row>
    <row r="199" spans="1:1" s="102" customFormat="1" ht="12" x14ac:dyDescent="0.25">
      <c r="A199" s="252"/>
    </row>
    <row r="200" spans="1:1" s="102" customFormat="1" ht="12" x14ac:dyDescent="0.25">
      <c r="A200" s="252"/>
    </row>
    <row r="201" spans="1:1" s="64" customFormat="1" x14ac:dyDescent="0.3">
      <c r="A201" s="159"/>
    </row>
    <row r="202" spans="1:1" s="64" customFormat="1" x14ac:dyDescent="0.3">
      <c r="A202" s="159"/>
    </row>
    <row r="203" spans="1:1" s="102" customFormat="1" ht="12" x14ac:dyDescent="0.25">
      <c r="A203" s="252"/>
    </row>
    <row r="204" spans="1:1" s="102" customFormat="1" ht="12" x14ac:dyDescent="0.25">
      <c r="A204" s="252"/>
    </row>
    <row r="205" spans="1:1" s="64" customFormat="1" x14ac:dyDescent="0.3">
      <c r="A205" s="159"/>
    </row>
    <row r="206" spans="1:1" s="64" customFormat="1" x14ac:dyDescent="0.3">
      <c r="A206" s="159"/>
    </row>
    <row r="207" spans="1:1" s="102" customFormat="1" ht="12" x14ac:dyDescent="0.25">
      <c r="A207" s="252"/>
    </row>
    <row r="208" spans="1:1" s="102" customFormat="1" ht="12" x14ac:dyDescent="0.25">
      <c r="A208" s="252"/>
    </row>
    <row r="209" spans="1:1" s="64" customFormat="1" x14ac:dyDescent="0.3">
      <c r="A209" s="159"/>
    </row>
    <row r="210" spans="1:1" s="64" customFormat="1" x14ac:dyDescent="0.3">
      <c r="A210" s="159"/>
    </row>
    <row r="211" spans="1:1" s="102" customFormat="1" ht="12" x14ac:dyDescent="0.25">
      <c r="A211" s="252"/>
    </row>
    <row r="212" spans="1:1" s="102" customFormat="1" ht="12" x14ac:dyDescent="0.25">
      <c r="A212" s="252"/>
    </row>
    <row r="213" spans="1:1" s="64" customFormat="1" x14ac:dyDescent="0.3">
      <c r="A213" s="159"/>
    </row>
    <row r="214" spans="1:1" s="64" customFormat="1" x14ac:dyDescent="0.3">
      <c r="A214" s="159"/>
    </row>
    <row r="215" spans="1:1" s="102" customFormat="1" ht="12" x14ac:dyDescent="0.25">
      <c r="A215" s="252"/>
    </row>
    <row r="216" spans="1:1" s="102" customFormat="1" ht="12" x14ac:dyDescent="0.25">
      <c r="A216" s="252"/>
    </row>
    <row r="217" spans="1:1" s="64" customFormat="1" x14ac:dyDescent="0.3">
      <c r="A217" s="107"/>
    </row>
    <row r="218" spans="1:1" s="64" customFormat="1" x14ac:dyDescent="0.3">
      <c r="A218" s="107"/>
    </row>
  </sheetData>
  <mergeCells count="54">
    <mergeCell ref="A3:A6"/>
    <mergeCell ref="A199:A200"/>
    <mergeCell ref="A203:A204"/>
    <mergeCell ref="A207:A208"/>
    <mergeCell ref="A211:A212"/>
    <mergeCell ref="A159:A160"/>
    <mergeCell ref="A163:A164"/>
    <mergeCell ref="A167:A168"/>
    <mergeCell ref="A171:A172"/>
    <mergeCell ref="A175:A176"/>
    <mergeCell ref="A139:A140"/>
    <mergeCell ref="A143:A144"/>
    <mergeCell ref="A147:A148"/>
    <mergeCell ref="A151:A152"/>
    <mergeCell ref="A155:A156"/>
    <mergeCell ref="A119:A120"/>
    <mergeCell ref="A215:A216"/>
    <mergeCell ref="A179:A180"/>
    <mergeCell ref="A183:A184"/>
    <mergeCell ref="A187:A188"/>
    <mergeCell ref="A191:A192"/>
    <mergeCell ref="A195:A196"/>
    <mergeCell ref="A135:A136"/>
    <mergeCell ref="A99:A100"/>
    <mergeCell ref="A103:A104"/>
    <mergeCell ref="A107:A108"/>
    <mergeCell ref="A111:A112"/>
    <mergeCell ref="A115:A116"/>
    <mergeCell ref="A127:A128"/>
    <mergeCell ref="A131:A132"/>
    <mergeCell ref="A123:A124"/>
    <mergeCell ref="A87:A88"/>
    <mergeCell ref="A91:A92"/>
    <mergeCell ref="A95:A96"/>
    <mergeCell ref="A55:A56"/>
    <mergeCell ref="A59:A60"/>
    <mergeCell ref="A63:A64"/>
    <mergeCell ref="A67:A68"/>
    <mergeCell ref="A1:O1"/>
    <mergeCell ref="A71:A72"/>
    <mergeCell ref="A75:A76"/>
    <mergeCell ref="A79:A80"/>
    <mergeCell ref="A83:A84"/>
    <mergeCell ref="A11:A12"/>
    <mergeCell ref="A15:A16"/>
    <mergeCell ref="A19:A20"/>
    <mergeCell ref="A23:A24"/>
    <mergeCell ref="A27:A28"/>
    <mergeCell ref="A31:A32"/>
    <mergeCell ref="A35:A36"/>
    <mergeCell ref="A39:A40"/>
    <mergeCell ref="A43:A44"/>
    <mergeCell ref="A47:A48"/>
    <mergeCell ref="A51:A5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1899-5EDE-416D-BDD2-8EAC028CEEB7}">
  <sheetPr codeName="Sheet14"/>
  <dimension ref="A1:P218"/>
  <sheetViews>
    <sheetView zoomScale="52" zoomScaleNormal="10" workbookViewId="0">
      <pane xSplit="1" ySplit="2" topLeftCell="B3" activePane="bottomRight" state="frozen"/>
      <selection pane="topRight" activeCell="M13" sqref="M13"/>
      <selection pane="bottomLeft" activeCell="M13" sqref="M13"/>
      <selection pane="bottomRight" activeCell="M13" sqref="M13"/>
    </sheetView>
  </sheetViews>
  <sheetFormatPr defaultColWidth="9.109375" defaultRowHeight="14.4" x14ac:dyDescent="0.3"/>
  <cols>
    <col min="1" max="1" width="33.109375" style="52" customWidth="1"/>
    <col min="2" max="2" width="22.88671875" style="52" bestFit="1" customWidth="1"/>
    <col min="3" max="15" width="14.5546875" style="52" customWidth="1"/>
    <col min="16" max="16384" width="9.109375" style="52"/>
  </cols>
  <sheetData>
    <row r="1" spans="1:16" ht="31.5" customHeight="1" x14ac:dyDescent="0.6">
      <c r="A1" s="232" t="s">
        <v>61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16" x14ac:dyDescent="0.3">
      <c r="A2" s="68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69" t="s">
        <v>7</v>
      </c>
      <c r="J2" s="69" t="s">
        <v>8</v>
      </c>
      <c r="K2" s="69" t="s">
        <v>9</v>
      </c>
      <c r="L2" s="69" t="s">
        <v>10</v>
      </c>
      <c r="M2" s="69" t="s">
        <v>11</v>
      </c>
      <c r="N2" s="69" t="s">
        <v>12</v>
      </c>
      <c r="O2" s="69" t="s">
        <v>13</v>
      </c>
    </row>
    <row r="3" spans="1:16" s="102" customFormat="1" ht="14.4" customHeight="1" x14ac:dyDescent="0.25">
      <c r="A3" s="239" t="s">
        <v>15</v>
      </c>
      <c r="B3" s="181" t="s">
        <v>16</v>
      </c>
      <c r="C3" s="182">
        <f>SUMIFS(C$11:C996,$B$11:$B996,"Actual 2024")</f>
        <v>0</v>
      </c>
      <c r="D3" s="182">
        <f>SUMIFS(D$11:D996,$B$11:$B996,"Actual 2024")</f>
        <v>0</v>
      </c>
      <c r="E3" s="182">
        <f>SUMIFS(E$11:E996,$B$11:$B996,"Actual 2024")</f>
        <v>0</v>
      </c>
      <c r="F3" s="182">
        <f>SUMIFS(F$11:F996,$B$11:$B996,"Actual 2024")</f>
        <v>0</v>
      </c>
      <c r="G3" s="182">
        <f>SUMIFS(G$11:G996,$B$11:$B996,"Actual 2024")</f>
        <v>0</v>
      </c>
      <c r="H3" s="182">
        <f>SUMIFS(H$11:H996,$B$11:$B996,"Actual 2024")</f>
        <v>0</v>
      </c>
      <c r="I3" s="185">
        <f>SUMIFS(I$11:I996,$B$11:$B996,"Actual 2024")</f>
        <v>0</v>
      </c>
      <c r="J3" s="185">
        <f>SUMIFS(J$11:J996,$B$11:$B996,"Actual 2024")</f>
        <v>0</v>
      </c>
      <c r="K3" s="185">
        <f>SUMIFS(K$11:K996,$B$11:$B996,"Actual 2024")</f>
        <v>734.55000000000007</v>
      </c>
      <c r="L3" s="185">
        <f>SUMIFS(L$11:L996,$B$11:$B996,"Actual 2024")</f>
        <v>0</v>
      </c>
      <c r="M3" s="185">
        <f>SUMIFS(M$11:M996,$B$11:$B996,"Actual 2024")</f>
        <v>0</v>
      </c>
      <c r="N3" s="185">
        <f>SUMIFS(N$11:N996,$B$11:$B996,"Actual 2024")</f>
        <v>0</v>
      </c>
      <c r="O3" s="183">
        <f>SUMIFS(O$11:O996,$B$11:$B996,"Actual 2024")</f>
        <v>734.55000000000007</v>
      </c>
      <c r="P3" s="126">
        <v>5644.26</v>
      </c>
    </row>
    <row r="4" spans="1:16" s="102" customFormat="1" ht="14.4" customHeight="1" x14ac:dyDescent="0.25">
      <c r="A4" s="240"/>
      <c r="B4" s="184" t="s">
        <v>27</v>
      </c>
      <c r="C4" s="189">
        <f>SUMIFS(C$11:C996,$B$11:$B996,"Estimated")</f>
        <v>0</v>
      </c>
      <c r="D4" s="189">
        <f>SUMIFS(D$11:D996,$B$11:$B996,"Estimated")</f>
        <v>0</v>
      </c>
      <c r="E4" s="189">
        <f>SUMIFS(E$11:E996,$B$11:$B996,"Estimated")</f>
        <v>0</v>
      </c>
      <c r="F4" s="189">
        <f>SUMIFS(F$11:F996,$B$11:$B996,"Estimated")</f>
        <v>0</v>
      </c>
      <c r="G4" s="189">
        <f>SUMIFS(G$11:G996,$B$11:$B996,"Estimated")</f>
        <v>0</v>
      </c>
      <c r="H4" s="189">
        <f>SUMIFS(H$11:H996,$B$11:$B996,"Estimated")</f>
        <v>0</v>
      </c>
      <c r="I4" s="192">
        <f>SUMIFS(I$11:I996,$B$11:$B996,"Estimated")</f>
        <v>0</v>
      </c>
      <c r="J4" s="192">
        <f>SUMIFS(J$11:J996,$B$11:$B996,"Estimated")</f>
        <v>0</v>
      </c>
      <c r="K4" s="192">
        <f>SUMIFS(K$11:K996,$B$11:$B996,"Estimated")</f>
        <v>734</v>
      </c>
      <c r="L4" s="192">
        <f>SUMIFS(L$11:L996,$B$11:$B996,"Estimated")</f>
        <v>0</v>
      </c>
      <c r="M4" s="192">
        <f>SUMIFS(M$11:M996,$B$11:$B996,"Estimated")</f>
        <v>0</v>
      </c>
      <c r="N4" s="192">
        <f>SUMIFS(N$11:N996,$B$11:$B996,"Estimated")</f>
        <v>0</v>
      </c>
      <c r="O4" s="191">
        <f>SUMIFS(O$11:O996,$B$11:$B996,"Estimated")</f>
        <v>734</v>
      </c>
    </row>
    <row r="5" spans="1:16" s="166" customFormat="1" ht="14.4" customHeight="1" x14ac:dyDescent="0.3">
      <c r="A5" s="240"/>
      <c r="B5" s="162" t="s">
        <v>18</v>
      </c>
      <c r="C5" s="163">
        <v>0</v>
      </c>
      <c r="D5" s="163">
        <v>0</v>
      </c>
      <c r="E5" s="163">
        <v>0</v>
      </c>
      <c r="F5" s="163">
        <v>0</v>
      </c>
      <c r="G5" s="163">
        <v>0</v>
      </c>
      <c r="H5" s="163">
        <v>0</v>
      </c>
      <c r="I5" s="167">
        <v>0</v>
      </c>
      <c r="J5" s="167">
        <v>0</v>
      </c>
      <c r="K5" s="167">
        <v>0</v>
      </c>
      <c r="L5" s="167">
        <v>0</v>
      </c>
      <c r="M5" s="167">
        <v>0</v>
      </c>
      <c r="N5" s="167">
        <v>0</v>
      </c>
      <c r="O5" s="164">
        <f t="shared" ref="O5" si="0">SUM(C5:N5)</f>
        <v>0</v>
      </c>
      <c r="P5" s="166">
        <v>0</v>
      </c>
    </row>
    <row r="6" spans="1:16" s="166" customFormat="1" ht="15" thickBot="1" x14ac:dyDescent="0.35">
      <c r="A6" s="241"/>
      <c r="B6" s="174" t="s">
        <v>19</v>
      </c>
      <c r="C6" s="175">
        <f>SUMIFS(C$11:C1001,$B$11:$B1001,"Actual")</f>
        <v>0</v>
      </c>
      <c r="D6" s="175">
        <f>SUMIFS(D$11:D1001,$B$11:$B1001,"Actual")</f>
        <v>0</v>
      </c>
      <c r="E6" s="175">
        <f>SUMIFS(E$11:E1001,$B$11:$B1001,"Actual")</f>
        <v>33.94</v>
      </c>
      <c r="F6" s="175">
        <f>SUMIFS(F$11:F1001,$B$11:$B1001,"Actual")</f>
        <v>0</v>
      </c>
      <c r="G6" s="175">
        <f>SUMIFS(G$11:G1001,$B$11:$B1001,"Actual")</f>
        <v>0</v>
      </c>
      <c r="H6" s="175">
        <f>SUMIFS(H$11:H1001,$B$11:$B1001,"Actual")</f>
        <v>241.55</v>
      </c>
      <c r="I6" s="177">
        <f>SUMIFS(I$11:I1001,$B$11:$B1001,"Actual")</f>
        <v>194.31</v>
      </c>
      <c r="J6" s="177">
        <f>SUMIFS(J$11:J1001,$B$11:$B1001,"Actual")</f>
        <v>249.19</v>
      </c>
      <c r="K6" s="177">
        <f>SUMIFS(K$11:K1001,$B$11:$B1001,"Actual")</f>
        <v>78.099999999999994</v>
      </c>
      <c r="L6" s="177">
        <f>SUMIFS(L$11:L1001,$B$11:$B1001,"Actual")</f>
        <v>0</v>
      </c>
      <c r="M6" s="177">
        <f>SUMIFS(M$11:M1001,$B$11:$B1001,"Actual")</f>
        <v>0</v>
      </c>
      <c r="N6" s="177">
        <f>SUMIFS(N$11:N1001,$B$11:$B1001,"Actual")</f>
        <v>0</v>
      </c>
      <c r="O6" s="176">
        <f>SUMIFS(O$11:O1001,$B$11:$B1001,"Actual")</f>
        <v>797.09</v>
      </c>
    </row>
    <row r="7" spans="1:16" s="64" customFormat="1" ht="15" thickTop="1" x14ac:dyDescent="0.3">
      <c r="A7" s="134"/>
      <c r="B7" s="70" t="s">
        <v>21</v>
      </c>
      <c r="C7" s="60">
        <f t="shared" ref="C7:I7" si="1">C5-C6</f>
        <v>0</v>
      </c>
      <c r="D7" s="60">
        <f t="shared" si="1"/>
        <v>0</v>
      </c>
      <c r="E7" s="60">
        <f t="shared" si="1"/>
        <v>-33.94</v>
      </c>
      <c r="F7" s="60">
        <f t="shared" si="1"/>
        <v>0</v>
      </c>
      <c r="G7" s="60">
        <f t="shared" si="1"/>
        <v>0</v>
      </c>
      <c r="H7" s="60">
        <f t="shared" si="1"/>
        <v>-241.55</v>
      </c>
      <c r="I7" s="60">
        <f t="shared" si="1"/>
        <v>-194.31</v>
      </c>
      <c r="J7" s="60">
        <f t="shared" ref="J7:N7" si="2">J5-J6</f>
        <v>-249.19</v>
      </c>
      <c r="K7" s="60">
        <f t="shared" si="2"/>
        <v>-78.099999999999994</v>
      </c>
      <c r="L7" s="60">
        <f t="shared" si="2"/>
        <v>0</v>
      </c>
      <c r="M7" s="60">
        <f t="shared" si="2"/>
        <v>0</v>
      </c>
      <c r="N7" s="60">
        <f t="shared" si="2"/>
        <v>0</v>
      </c>
      <c r="O7" s="75">
        <f>O5-O6</f>
        <v>-797.09</v>
      </c>
    </row>
    <row r="8" spans="1:16" s="142" customFormat="1" x14ac:dyDescent="0.3">
      <c r="A8" s="138"/>
      <c r="B8" s="139" t="s">
        <v>23</v>
      </c>
      <c r="C8" s="140">
        <f>SUM($C6:C6)</f>
        <v>0</v>
      </c>
      <c r="D8" s="140">
        <f>SUM($C6:D6)</f>
        <v>0</v>
      </c>
      <c r="E8" s="140">
        <f>SUM($C6:E6)</f>
        <v>33.94</v>
      </c>
      <c r="F8" s="140">
        <f>SUM($C6:F6)</f>
        <v>33.94</v>
      </c>
      <c r="G8" s="140">
        <f>SUM($C6:G6)</f>
        <v>33.94</v>
      </c>
      <c r="H8" s="140">
        <f>SUM($C6:H6)</f>
        <v>275.49</v>
      </c>
      <c r="I8" s="140">
        <f>SUM($C6:I6)</f>
        <v>469.8</v>
      </c>
      <c r="J8" s="140">
        <f>SUM($C6:J6)</f>
        <v>718.99</v>
      </c>
      <c r="K8" s="140">
        <f>SUM($C6:K6)</f>
        <v>797.09</v>
      </c>
      <c r="L8" s="140">
        <f>SUM($C6:L6)</f>
        <v>797.09</v>
      </c>
      <c r="M8" s="140">
        <f>SUM($C6:M6)</f>
        <v>797.09</v>
      </c>
      <c r="N8" s="140">
        <f>SUM($C6:N6)</f>
        <v>797.09</v>
      </c>
      <c r="O8" s="141">
        <f>O6</f>
        <v>797.09</v>
      </c>
    </row>
    <row r="9" spans="1:16" s="142" customFormat="1" x14ac:dyDescent="0.3">
      <c r="A9" s="143"/>
      <c r="B9" s="144" t="s">
        <v>25</v>
      </c>
      <c r="C9" s="145">
        <f>SUM($C5:C5)-C8</f>
        <v>0</v>
      </c>
      <c r="D9" s="145">
        <f>SUM($C5:D5)-D8</f>
        <v>0</v>
      </c>
      <c r="E9" s="145">
        <f>SUM($C5:E5)-E8</f>
        <v>-33.94</v>
      </c>
      <c r="F9" s="145">
        <f>SUM($C5:F5)-F8</f>
        <v>-33.94</v>
      </c>
      <c r="G9" s="145">
        <f>SUM($C5:G5)-G8</f>
        <v>-33.94</v>
      </c>
      <c r="H9" s="145">
        <f>SUM($C5:H5)-H8</f>
        <v>-275.49</v>
      </c>
      <c r="I9" s="145">
        <f>SUM($C5:I5)-I8</f>
        <v>-469.8</v>
      </c>
      <c r="J9" s="145">
        <f>SUM($C5:J5)-J8</f>
        <v>-718.99</v>
      </c>
      <c r="K9" s="145">
        <f>SUM($C5:K5)-K8</f>
        <v>-797.09</v>
      </c>
      <c r="L9" s="145">
        <f>SUM($C5:L5)-L8</f>
        <v>-797.09</v>
      </c>
      <c r="M9" s="145">
        <f>SUM($C5:M5)-M8</f>
        <v>-797.09</v>
      </c>
      <c r="N9" s="145">
        <f>SUM($C5:N5)-N8</f>
        <v>-797.09</v>
      </c>
      <c r="O9" s="146"/>
    </row>
    <row r="10" spans="1:16" x14ac:dyDescent="0.3">
      <c r="A10" s="54"/>
      <c r="B10" s="32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6" s="102" customFormat="1" ht="12" x14ac:dyDescent="0.25">
      <c r="A11" s="235" t="s">
        <v>312</v>
      </c>
      <c r="B11" s="124" t="s">
        <v>16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1">
        <f t="shared" ref="O11:O14" si="3">SUM(C11:N11)</f>
        <v>0</v>
      </c>
    </row>
    <row r="12" spans="1:16" s="102" customFormat="1" ht="12" x14ac:dyDescent="0.25">
      <c r="A12" s="235"/>
      <c r="B12" s="99" t="s">
        <v>29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3">
        <f>SUM(C12:N12)</f>
        <v>0</v>
      </c>
    </row>
    <row r="13" spans="1:16" s="67" customFormat="1" ht="12.6" customHeight="1" x14ac:dyDescent="0.3">
      <c r="A13" s="155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66">
        <f t="shared" si="3"/>
        <v>0</v>
      </c>
    </row>
    <row r="14" spans="1:16" s="67" customFormat="1" ht="12.6" customHeight="1" x14ac:dyDescent="0.3">
      <c r="A14" s="156"/>
      <c r="B14" s="116" t="s">
        <v>32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8">
        <f t="shared" si="3"/>
        <v>0</v>
      </c>
    </row>
    <row r="15" spans="1:16" s="102" customFormat="1" ht="12" x14ac:dyDescent="0.25">
      <c r="A15" s="236" t="s">
        <v>313</v>
      </c>
      <c r="B15" s="99" t="s">
        <v>16</v>
      </c>
      <c r="C15" s="100"/>
      <c r="D15" s="100"/>
      <c r="E15" s="100"/>
      <c r="F15" s="100"/>
      <c r="G15" s="100"/>
      <c r="H15" s="100"/>
      <c r="I15" s="100"/>
      <c r="J15" s="100"/>
      <c r="K15" s="100">
        <v>157.09</v>
      </c>
      <c r="L15" s="100"/>
      <c r="M15" s="100"/>
      <c r="N15" s="100"/>
      <c r="O15" s="101">
        <f t="shared" ref="O15:O18" si="4">SUM(C15:N15)</f>
        <v>157.09</v>
      </c>
    </row>
    <row r="16" spans="1:16" s="102" customFormat="1" ht="12" x14ac:dyDescent="0.25">
      <c r="A16" s="235"/>
      <c r="B16" s="99" t="s">
        <v>29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157</v>
      </c>
      <c r="L16" s="100">
        <v>0</v>
      </c>
      <c r="M16" s="100">
        <v>0</v>
      </c>
      <c r="N16" s="100">
        <v>0</v>
      </c>
      <c r="O16" s="103">
        <f t="shared" si="4"/>
        <v>157</v>
      </c>
    </row>
    <row r="17" spans="1:15" s="67" customFormat="1" ht="12.6" customHeight="1" x14ac:dyDescent="0.3">
      <c r="A17" s="155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>
        <f>SUM(C17:N17)</f>
        <v>0</v>
      </c>
    </row>
    <row r="18" spans="1:15" s="67" customFormat="1" ht="12.6" customHeight="1" x14ac:dyDescent="0.3">
      <c r="A18" s="156"/>
      <c r="B18" s="116" t="s">
        <v>32</v>
      </c>
      <c r="C18" s="117"/>
      <c r="D18" s="117"/>
      <c r="E18" s="117"/>
      <c r="F18" s="117"/>
      <c r="G18" s="117"/>
      <c r="H18" s="117">
        <v>241.55</v>
      </c>
      <c r="I18" s="117">
        <v>194.31</v>
      </c>
      <c r="J18" s="117">
        <v>249.19</v>
      </c>
      <c r="K18" s="117"/>
      <c r="L18" s="117"/>
      <c r="M18" s="117"/>
      <c r="N18" s="117"/>
      <c r="O18" s="118">
        <f t="shared" si="4"/>
        <v>685.05</v>
      </c>
    </row>
    <row r="19" spans="1:15" s="102" customFormat="1" ht="12" x14ac:dyDescent="0.25">
      <c r="A19" s="236" t="s">
        <v>314</v>
      </c>
      <c r="B19" s="99" t="s">
        <v>16</v>
      </c>
      <c r="C19" s="100"/>
      <c r="D19" s="100"/>
      <c r="E19" s="100"/>
      <c r="F19" s="100"/>
      <c r="G19" s="100"/>
      <c r="H19" s="100"/>
      <c r="I19" s="100"/>
      <c r="J19" s="100"/>
      <c r="K19" s="100">
        <v>577.46</v>
      </c>
      <c r="L19" s="100"/>
      <c r="M19" s="100"/>
      <c r="N19" s="100"/>
      <c r="O19" s="101">
        <f t="shared" ref="O19:O30" si="5">SUM(C19:N19)</f>
        <v>577.46</v>
      </c>
    </row>
    <row r="20" spans="1:15" s="102" customFormat="1" ht="12" x14ac:dyDescent="0.25">
      <c r="A20" s="235"/>
      <c r="B20" s="99" t="s">
        <v>29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0</v>
      </c>
      <c r="I20" s="100">
        <v>0</v>
      </c>
      <c r="J20" s="100">
        <v>0</v>
      </c>
      <c r="K20" s="100">
        <v>577</v>
      </c>
      <c r="L20" s="100">
        <v>0</v>
      </c>
      <c r="M20" s="100">
        <v>0</v>
      </c>
      <c r="N20" s="100">
        <v>0</v>
      </c>
      <c r="O20" s="103">
        <f>SUM(C20:N20)</f>
        <v>577</v>
      </c>
    </row>
    <row r="21" spans="1:15" s="67" customFormat="1" ht="12.6" customHeight="1" x14ac:dyDescent="0.3">
      <c r="A21" s="155"/>
      <c r="B21" s="65" t="s">
        <v>31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66">
        <f t="shared" si="5"/>
        <v>0</v>
      </c>
    </row>
    <row r="22" spans="1:15" s="67" customFormat="1" ht="12.6" customHeight="1" x14ac:dyDescent="0.3">
      <c r="A22" s="156"/>
      <c r="B22" s="116" t="s">
        <v>32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8">
        <f t="shared" si="5"/>
        <v>0</v>
      </c>
    </row>
    <row r="23" spans="1:15" s="102" customFormat="1" ht="12" x14ac:dyDescent="0.25">
      <c r="A23" s="236" t="s">
        <v>315</v>
      </c>
      <c r="B23" s="99" t="s">
        <v>16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1">
        <f t="shared" si="5"/>
        <v>0</v>
      </c>
    </row>
    <row r="24" spans="1:15" s="102" customFormat="1" ht="12" x14ac:dyDescent="0.25">
      <c r="A24" s="235"/>
      <c r="B24" s="99" t="s">
        <v>29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>
        <v>0</v>
      </c>
      <c r="N24" s="100">
        <v>0</v>
      </c>
      <c r="O24" s="103">
        <f>SUM(C24:N24)</f>
        <v>0</v>
      </c>
    </row>
    <row r="25" spans="1:15" s="67" customFormat="1" ht="12.6" customHeight="1" x14ac:dyDescent="0.3">
      <c r="A25" s="155"/>
      <c r="B25" s="65" t="s">
        <v>31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66">
        <f t="shared" si="5"/>
        <v>0</v>
      </c>
    </row>
    <row r="26" spans="1:15" s="67" customFormat="1" ht="12.6" customHeight="1" x14ac:dyDescent="0.3">
      <c r="A26" s="156"/>
      <c r="B26" s="116" t="s">
        <v>32</v>
      </c>
      <c r="C26" s="117"/>
      <c r="D26" s="117"/>
      <c r="E26" s="117">
        <v>33.94</v>
      </c>
      <c r="F26" s="117"/>
      <c r="G26" s="117"/>
      <c r="H26" s="117"/>
      <c r="I26" s="117"/>
      <c r="J26" s="117"/>
      <c r="K26" s="117"/>
      <c r="L26" s="117"/>
      <c r="M26" s="117"/>
      <c r="N26" s="117"/>
      <c r="O26" s="118">
        <f t="shared" si="5"/>
        <v>33.94</v>
      </c>
    </row>
    <row r="27" spans="1:15" s="102" customFormat="1" ht="12" x14ac:dyDescent="0.25">
      <c r="A27" s="236" t="s">
        <v>316</v>
      </c>
      <c r="B27" s="99" t="s">
        <v>16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1">
        <f t="shared" si="5"/>
        <v>0</v>
      </c>
    </row>
    <row r="28" spans="1:15" s="102" customFormat="1" ht="12" x14ac:dyDescent="0.25">
      <c r="A28" s="235"/>
      <c r="B28" s="99" t="s">
        <v>29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100">
        <v>0</v>
      </c>
      <c r="N28" s="100">
        <v>0</v>
      </c>
      <c r="O28" s="103">
        <f>SUM(C28:N28)</f>
        <v>0</v>
      </c>
    </row>
    <row r="29" spans="1:15" s="67" customFormat="1" ht="12.6" customHeight="1" x14ac:dyDescent="0.3">
      <c r="A29" s="155"/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66">
        <f t="shared" si="5"/>
        <v>0</v>
      </c>
    </row>
    <row r="30" spans="1:15" s="67" customFormat="1" ht="12.6" customHeight="1" x14ac:dyDescent="0.3">
      <c r="A30" s="156"/>
      <c r="B30" s="116" t="s">
        <v>32</v>
      </c>
      <c r="C30" s="117"/>
      <c r="D30" s="117"/>
      <c r="E30" s="117"/>
      <c r="F30" s="117"/>
      <c r="G30" s="117"/>
      <c r="H30" s="117"/>
      <c r="I30" s="117"/>
      <c r="J30" s="117"/>
      <c r="K30" s="117">
        <v>78.099999999999994</v>
      </c>
      <c r="L30" s="117"/>
      <c r="M30" s="117"/>
      <c r="N30" s="117"/>
      <c r="O30" s="118">
        <f t="shared" si="5"/>
        <v>78.099999999999994</v>
      </c>
    </row>
    <row r="31" spans="1:15" s="102" customFormat="1" ht="12" x14ac:dyDescent="0.25">
      <c r="A31" s="236"/>
      <c r="B31" s="99" t="s">
        <v>16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1">
        <f t="shared" ref="O31:O94" si="6">SUM(C31:N31)</f>
        <v>0</v>
      </c>
    </row>
    <row r="32" spans="1:15" s="102" customFormat="1" ht="12" x14ac:dyDescent="0.25">
      <c r="A32" s="235"/>
      <c r="B32" s="99" t="s">
        <v>29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3">
        <f>SUM(C32:N32)</f>
        <v>0</v>
      </c>
    </row>
    <row r="33" spans="1:15" s="67" customFormat="1" ht="12.6" customHeight="1" x14ac:dyDescent="0.3">
      <c r="A33" s="155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 t="shared" si="6"/>
        <v>0</v>
      </c>
    </row>
    <row r="34" spans="1:15" s="67" customFormat="1" ht="12.6" customHeight="1" x14ac:dyDescent="0.3">
      <c r="A34" s="156"/>
      <c r="B34" s="116" t="s">
        <v>32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8">
        <f t="shared" si="6"/>
        <v>0</v>
      </c>
    </row>
    <row r="35" spans="1:15" s="102" customFormat="1" ht="12" x14ac:dyDescent="0.25">
      <c r="A35" s="236"/>
      <c r="B35" s="99" t="s">
        <v>16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1">
        <f t="shared" si="6"/>
        <v>0</v>
      </c>
    </row>
    <row r="36" spans="1:15" s="102" customFormat="1" ht="12" x14ac:dyDescent="0.25">
      <c r="A36" s="235"/>
      <c r="B36" s="99" t="s">
        <v>29</v>
      </c>
      <c r="C36" s="100">
        <v>0</v>
      </c>
      <c r="D36" s="100">
        <v>0</v>
      </c>
      <c r="E36" s="100">
        <v>0</v>
      </c>
      <c r="F36" s="100">
        <v>0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100">
        <v>0</v>
      </c>
      <c r="N36" s="100">
        <v>0</v>
      </c>
      <c r="O36" s="103">
        <f>SUM(C36:N36)</f>
        <v>0</v>
      </c>
    </row>
    <row r="37" spans="1:15" s="67" customFormat="1" ht="12.6" customHeight="1" x14ac:dyDescent="0.3">
      <c r="A37" s="155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 t="shared" si="6"/>
        <v>0</v>
      </c>
    </row>
    <row r="38" spans="1:15" s="67" customFormat="1" ht="12.6" customHeight="1" x14ac:dyDescent="0.3">
      <c r="A38" s="156"/>
      <c r="B38" s="116" t="s">
        <v>32</v>
      </c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>
        <f t="shared" si="6"/>
        <v>0</v>
      </c>
    </row>
    <row r="39" spans="1:15" s="102" customFormat="1" ht="12" x14ac:dyDescent="0.25">
      <c r="A39" s="236"/>
      <c r="B39" s="99" t="s">
        <v>16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1">
        <f t="shared" si="6"/>
        <v>0</v>
      </c>
    </row>
    <row r="40" spans="1:15" s="102" customFormat="1" ht="12" x14ac:dyDescent="0.25">
      <c r="A40" s="235"/>
      <c r="B40" s="99" t="s">
        <v>29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100">
        <v>0</v>
      </c>
      <c r="N40" s="100">
        <v>0</v>
      </c>
      <c r="O40" s="103">
        <f>SUM(C40:N40)</f>
        <v>0</v>
      </c>
    </row>
    <row r="41" spans="1:15" s="64" customFormat="1" ht="12.6" customHeight="1" x14ac:dyDescent="0.3">
      <c r="A41" s="155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 t="shared" si="6"/>
        <v>0</v>
      </c>
    </row>
    <row r="42" spans="1:15" s="64" customFormat="1" ht="12.6" customHeight="1" x14ac:dyDescent="0.3">
      <c r="A42" s="156"/>
      <c r="B42" s="7" t="s">
        <v>32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24">
        <f t="shared" si="6"/>
        <v>0</v>
      </c>
    </row>
    <row r="43" spans="1:15" s="102" customFormat="1" ht="12" x14ac:dyDescent="0.25">
      <c r="A43" s="236"/>
      <c r="B43" s="99" t="s">
        <v>16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1">
        <f t="shared" si="6"/>
        <v>0</v>
      </c>
    </row>
    <row r="44" spans="1:15" s="102" customFormat="1" ht="12" x14ac:dyDescent="0.25">
      <c r="A44" s="235"/>
      <c r="B44" s="99" t="s">
        <v>29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100">
        <v>0</v>
      </c>
      <c r="N44" s="100">
        <v>0</v>
      </c>
      <c r="O44" s="103">
        <f>SUM(C44:N44)</f>
        <v>0</v>
      </c>
    </row>
    <row r="45" spans="1:15" s="64" customFormat="1" ht="12.6" customHeight="1" x14ac:dyDescent="0.3">
      <c r="A45" s="155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 t="shared" si="6"/>
        <v>0</v>
      </c>
    </row>
    <row r="46" spans="1:15" s="64" customFormat="1" ht="12.6" customHeight="1" x14ac:dyDescent="0.3">
      <c r="A46" s="156"/>
      <c r="B46" s="7" t="s">
        <v>32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24">
        <f t="shared" si="6"/>
        <v>0</v>
      </c>
    </row>
    <row r="47" spans="1:15" s="102" customFormat="1" ht="12" x14ac:dyDescent="0.25">
      <c r="A47" s="236"/>
      <c r="B47" s="99" t="s">
        <v>16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1">
        <f t="shared" si="6"/>
        <v>0</v>
      </c>
    </row>
    <row r="48" spans="1:15" s="102" customFormat="1" ht="12" x14ac:dyDescent="0.25">
      <c r="A48" s="235"/>
      <c r="B48" s="99" t="s">
        <v>29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3">
        <f>SUM(C48:N48)</f>
        <v>0</v>
      </c>
    </row>
    <row r="49" spans="1:15" s="64" customFormat="1" ht="12.6" customHeight="1" x14ac:dyDescent="0.3">
      <c r="A49" s="155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 t="shared" si="6"/>
        <v>0</v>
      </c>
    </row>
    <row r="50" spans="1:15" s="64" customFormat="1" ht="12.6" customHeight="1" x14ac:dyDescent="0.3">
      <c r="A50" s="156"/>
      <c r="B50" s="7" t="s">
        <v>32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24">
        <f t="shared" si="6"/>
        <v>0</v>
      </c>
    </row>
    <row r="51" spans="1:15" s="102" customFormat="1" ht="12" x14ac:dyDescent="0.25">
      <c r="A51" s="236"/>
      <c r="B51" s="99" t="s">
        <v>16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1">
        <f t="shared" si="6"/>
        <v>0</v>
      </c>
    </row>
    <row r="52" spans="1:15" s="102" customFormat="1" ht="12" x14ac:dyDescent="0.25">
      <c r="A52" s="235"/>
      <c r="B52" s="99" t="s">
        <v>29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0</v>
      </c>
      <c r="N52" s="100">
        <v>0</v>
      </c>
      <c r="O52" s="103">
        <f>SUM(C52:N52)</f>
        <v>0</v>
      </c>
    </row>
    <row r="53" spans="1:15" s="64" customFormat="1" ht="12.6" customHeight="1" x14ac:dyDescent="0.3">
      <c r="A53" s="155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 t="shared" si="6"/>
        <v>0</v>
      </c>
    </row>
    <row r="54" spans="1:15" s="64" customFormat="1" ht="12.6" customHeight="1" x14ac:dyDescent="0.3">
      <c r="A54" s="156"/>
      <c r="B54" s="7" t="s">
        <v>32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24">
        <f t="shared" si="6"/>
        <v>0</v>
      </c>
    </row>
    <row r="55" spans="1:15" s="102" customFormat="1" ht="12" x14ac:dyDescent="0.25">
      <c r="A55" s="236"/>
      <c r="B55" s="99" t="s">
        <v>16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1">
        <f t="shared" si="6"/>
        <v>0</v>
      </c>
    </row>
    <row r="56" spans="1:15" s="102" customFormat="1" ht="12" x14ac:dyDescent="0.25">
      <c r="A56" s="235"/>
      <c r="B56" s="99" t="s">
        <v>29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3">
        <f>SUM(C56:N56)</f>
        <v>0</v>
      </c>
    </row>
    <row r="57" spans="1:15" s="64" customFormat="1" ht="12.6" customHeight="1" x14ac:dyDescent="0.3">
      <c r="A57" s="155"/>
      <c r="B57" s="5" t="s">
        <v>31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7">
        <f t="shared" si="6"/>
        <v>0</v>
      </c>
    </row>
    <row r="58" spans="1:15" s="64" customFormat="1" ht="12.6" customHeight="1" x14ac:dyDescent="0.3">
      <c r="A58" s="156"/>
      <c r="B58" s="7" t="s">
        <v>32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24">
        <f t="shared" si="6"/>
        <v>0</v>
      </c>
    </row>
    <row r="59" spans="1:15" s="102" customFormat="1" ht="12" x14ac:dyDescent="0.25">
      <c r="A59" s="236"/>
      <c r="B59" s="99" t="s">
        <v>16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1">
        <f t="shared" si="6"/>
        <v>0</v>
      </c>
    </row>
    <row r="60" spans="1:15" s="102" customFormat="1" ht="12" x14ac:dyDescent="0.25">
      <c r="A60" s="235"/>
      <c r="B60" s="99" t="s">
        <v>29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3">
        <f>SUM(C60:N60)</f>
        <v>0</v>
      </c>
    </row>
    <row r="61" spans="1:15" s="64" customFormat="1" ht="12.6" customHeight="1" x14ac:dyDescent="0.3">
      <c r="A61" s="155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 t="shared" si="6"/>
        <v>0</v>
      </c>
    </row>
    <row r="62" spans="1:15" s="64" customFormat="1" ht="12.6" customHeight="1" x14ac:dyDescent="0.3">
      <c r="A62" s="156"/>
      <c r="B62" s="7" t="s">
        <v>32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24">
        <f t="shared" si="6"/>
        <v>0</v>
      </c>
    </row>
    <row r="63" spans="1:15" s="102" customFormat="1" ht="12" x14ac:dyDescent="0.25">
      <c r="A63" s="236"/>
      <c r="B63" s="99" t="s">
        <v>16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1">
        <f t="shared" si="6"/>
        <v>0</v>
      </c>
    </row>
    <row r="64" spans="1:15" s="102" customFormat="1" ht="12" x14ac:dyDescent="0.25">
      <c r="A64" s="235"/>
      <c r="B64" s="99" t="s">
        <v>29</v>
      </c>
      <c r="C64" s="100">
        <v>0</v>
      </c>
      <c r="D64" s="100">
        <v>0</v>
      </c>
      <c r="E64" s="100">
        <v>0</v>
      </c>
      <c r="F64" s="100">
        <v>0</v>
      </c>
      <c r="G64" s="100">
        <v>0</v>
      </c>
      <c r="H64" s="100">
        <v>0</v>
      </c>
      <c r="I64" s="100">
        <v>0</v>
      </c>
      <c r="J64" s="100">
        <v>0</v>
      </c>
      <c r="K64" s="100">
        <v>0</v>
      </c>
      <c r="L64" s="100">
        <v>0</v>
      </c>
      <c r="M64" s="100">
        <v>0</v>
      </c>
      <c r="N64" s="100">
        <v>0</v>
      </c>
      <c r="O64" s="103">
        <f>SUM(C64:N64)</f>
        <v>0</v>
      </c>
    </row>
    <row r="65" spans="1:15" s="64" customFormat="1" ht="12.6" customHeight="1" x14ac:dyDescent="0.3">
      <c r="A65" s="155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 t="shared" si="6"/>
        <v>0</v>
      </c>
    </row>
    <row r="66" spans="1:15" s="64" customFormat="1" ht="12.6" customHeight="1" x14ac:dyDescent="0.3">
      <c r="A66" s="156"/>
      <c r="B66" s="7" t="s">
        <v>32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24">
        <f t="shared" si="6"/>
        <v>0</v>
      </c>
    </row>
    <row r="67" spans="1:15" s="102" customFormat="1" ht="12.6" customHeight="1" x14ac:dyDescent="0.25">
      <c r="A67" s="236"/>
      <c r="B67" s="99" t="s">
        <v>16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1">
        <f t="shared" si="6"/>
        <v>0</v>
      </c>
    </row>
    <row r="68" spans="1:15" s="102" customFormat="1" ht="12" x14ac:dyDescent="0.25">
      <c r="A68" s="235"/>
      <c r="B68" s="99" t="s">
        <v>29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3">
        <f>SUM(C68:N68)</f>
        <v>0</v>
      </c>
    </row>
    <row r="69" spans="1:15" s="64" customFormat="1" x14ac:dyDescent="0.3">
      <c r="A69" s="155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 t="shared" si="6"/>
        <v>0</v>
      </c>
    </row>
    <row r="70" spans="1:15" s="64" customFormat="1" x14ac:dyDescent="0.3">
      <c r="A70" s="156"/>
      <c r="B70" s="7" t="s">
        <v>32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24">
        <f t="shared" si="6"/>
        <v>0</v>
      </c>
    </row>
    <row r="71" spans="1:15" s="102" customFormat="1" ht="12" x14ac:dyDescent="0.25">
      <c r="A71" s="236"/>
      <c r="B71" s="99" t="s">
        <v>16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1">
        <f t="shared" si="6"/>
        <v>0</v>
      </c>
    </row>
    <row r="72" spans="1:15" s="102" customFormat="1" ht="12" x14ac:dyDescent="0.25">
      <c r="A72" s="235"/>
      <c r="B72" s="99" t="s">
        <v>29</v>
      </c>
      <c r="C72" s="100">
        <v>0</v>
      </c>
      <c r="D72" s="100">
        <v>0</v>
      </c>
      <c r="E72" s="100">
        <v>0</v>
      </c>
      <c r="F72" s="100">
        <v>0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3">
        <f>SUM(C72:N72)</f>
        <v>0</v>
      </c>
    </row>
    <row r="73" spans="1:15" s="64" customFormat="1" x14ac:dyDescent="0.3">
      <c r="A73" s="155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 t="shared" si="6"/>
        <v>0</v>
      </c>
    </row>
    <row r="74" spans="1:15" s="64" customFormat="1" x14ac:dyDescent="0.3">
      <c r="A74" s="156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24">
        <f t="shared" si="6"/>
        <v>0</v>
      </c>
    </row>
    <row r="75" spans="1:15" s="102" customFormat="1" ht="12" x14ac:dyDescent="0.25">
      <c r="A75" s="236"/>
      <c r="B75" s="99" t="s">
        <v>16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1">
        <f t="shared" si="6"/>
        <v>0</v>
      </c>
    </row>
    <row r="76" spans="1:15" s="102" customFormat="1" ht="12" x14ac:dyDescent="0.25">
      <c r="A76" s="235"/>
      <c r="B76" s="99" t="s">
        <v>29</v>
      </c>
      <c r="C76" s="100">
        <v>0</v>
      </c>
      <c r="D76" s="100">
        <v>0</v>
      </c>
      <c r="E76" s="100">
        <v>0</v>
      </c>
      <c r="F76" s="100">
        <v>0</v>
      </c>
      <c r="G76" s="100">
        <v>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3">
        <f>SUM(C76:N76)</f>
        <v>0</v>
      </c>
    </row>
    <row r="77" spans="1:15" s="64" customFormat="1" x14ac:dyDescent="0.3">
      <c r="A77" s="155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7">
        <f t="shared" si="6"/>
        <v>0</v>
      </c>
    </row>
    <row r="78" spans="1:15" s="64" customFormat="1" x14ac:dyDescent="0.3">
      <c r="A78" s="156"/>
      <c r="B78" s="7" t="s">
        <v>32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24">
        <f t="shared" si="6"/>
        <v>0</v>
      </c>
    </row>
    <row r="79" spans="1:15" s="102" customFormat="1" ht="12" x14ac:dyDescent="0.25">
      <c r="A79" s="236"/>
      <c r="B79" s="99" t="s">
        <v>16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1">
        <f t="shared" si="6"/>
        <v>0</v>
      </c>
    </row>
    <row r="80" spans="1:15" s="102" customFormat="1" ht="12" x14ac:dyDescent="0.25">
      <c r="A80" s="235"/>
      <c r="B80" s="99" t="s">
        <v>29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3">
        <f>SUM(C80:N80)</f>
        <v>0</v>
      </c>
    </row>
    <row r="81" spans="1:15" s="64" customFormat="1" x14ac:dyDescent="0.3">
      <c r="A81" s="155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7">
        <f t="shared" si="6"/>
        <v>0</v>
      </c>
    </row>
    <row r="82" spans="1:15" s="64" customFormat="1" x14ac:dyDescent="0.3">
      <c r="A82" s="156"/>
      <c r="B82" s="7" t="s">
        <v>32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24">
        <f t="shared" si="6"/>
        <v>0</v>
      </c>
    </row>
    <row r="83" spans="1:15" s="102" customFormat="1" ht="12" x14ac:dyDescent="0.25">
      <c r="A83" s="236"/>
      <c r="B83" s="99" t="s">
        <v>16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1">
        <f t="shared" si="6"/>
        <v>0</v>
      </c>
    </row>
    <row r="84" spans="1:15" s="102" customFormat="1" ht="12" x14ac:dyDescent="0.25">
      <c r="A84" s="235"/>
      <c r="B84" s="99" t="s">
        <v>29</v>
      </c>
      <c r="C84" s="100">
        <v>0</v>
      </c>
      <c r="D84" s="100">
        <v>0</v>
      </c>
      <c r="E84" s="100">
        <v>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3">
        <f>SUM(C84:N84)</f>
        <v>0</v>
      </c>
    </row>
    <row r="85" spans="1:15" s="64" customFormat="1" x14ac:dyDescent="0.3">
      <c r="A85" s="155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7">
        <f t="shared" si="6"/>
        <v>0</v>
      </c>
    </row>
    <row r="86" spans="1:15" s="64" customFormat="1" x14ac:dyDescent="0.3">
      <c r="A86" s="156"/>
      <c r="B86" s="7" t="s">
        <v>32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24">
        <f t="shared" si="6"/>
        <v>0</v>
      </c>
    </row>
    <row r="87" spans="1:15" s="102" customFormat="1" ht="12" x14ac:dyDescent="0.25">
      <c r="A87" s="236"/>
      <c r="B87" s="99" t="s">
        <v>16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1">
        <f t="shared" si="6"/>
        <v>0</v>
      </c>
    </row>
    <row r="88" spans="1:15" s="102" customFormat="1" ht="12" x14ac:dyDescent="0.25">
      <c r="A88" s="235"/>
      <c r="B88" s="99" t="s">
        <v>29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3">
        <f>SUM(C88:N88)</f>
        <v>0</v>
      </c>
    </row>
    <row r="89" spans="1:15" s="64" customFormat="1" x14ac:dyDescent="0.3">
      <c r="A89" s="155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7">
        <f t="shared" si="6"/>
        <v>0</v>
      </c>
    </row>
    <row r="90" spans="1:15" s="64" customFormat="1" x14ac:dyDescent="0.3">
      <c r="A90" s="156"/>
      <c r="B90" s="7" t="s">
        <v>32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24">
        <f t="shared" si="6"/>
        <v>0</v>
      </c>
    </row>
    <row r="91" spans="1:15" s="102" customFormat="1" ht="12" x14ac:dyDescent="0.25">
      <c r="A91" s="236"/>
      <c r="B91" s="99" t="s">
        <v>16</v>
      </c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1">
        <f t="shared" si="6"/>
        <v>0</v>
      </c>
    </row>
    <row r="92" spans="1:15" s="102" customFormat="1" ht="12" x14ac:dyDescent="0.25">
      <c r="A92" s="235"/>
      <c r="B92" s="99" t="s">
        <v>29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100">
        <v>0</v>
      </c>
      <c r="N92" s="100">
        <v>0</v>
      </c>
      <c r="O92" s="103">
        <f>SUM(C92:N92)</f>
        <v>0</v>
      </c>
    </row>
    <row r="93" spans="1:15" s="64" customFormat="1" x14ac:dyDescent="0.3">
      <c r="A93" s="155"/>
      <c r="B93" s="5" t="s">
        <v>31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7">
        <f t="shared" si="6"/>
        <v>0</v>
      </c>
    </row>
    <row r="94" spans="1:15" s="64" customFormat="1" x14ac:dyDescent="0.3">
      <c r="A94" s="156"/>
      <c r="B94" s="7" t="s">
        <v>32</v>
      </c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24">
        <f t="shared" si="6"/>
        <v>0</v>
      </c>
    </row>
    <row r="95" spans="1:15" s="102" customFormat="1" ht="12" x14ac:dyDescent="0.25">
      <c r="A95" s="236"/>
      <c r="B95" s="99" t="s">
        <v>16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1">
        <f t="shared" ref="O95:O98" si="7">SUM(C95:N95)</f>
        <v>0</v>
      </c>
    </row>
    <row r="96" spans="1:15" s="102" customFormat="1" ht="12" x14ac:dyDescent="0.25">
      <c r="A96" s="235"/>
      <c r="B96" s="99" t="s">
        <v>29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100">
        <v>0</v>
      </c>
      <c r="N96" s="100">
        <v>0</v>
      </c>
      <c r="O96" s="103">
        <f>SUM(C96:N96)</f>
        <v>0</v>
      </c>
    </row>
    <row r="97" spans="1:15" s="64" customFormat="1" x14ac:dyDescent="0.3">
      <c r="A97" s="155"/>
      <c r="B97" s="5" t="s">
        <v>31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7">
        <f t="shared" si="7"/>
        <v>0</v>
      </c>
    </row>
    <row r="98" spans="1:15" s="64" customFormat="1" x14ac:dyDescent="0.3">
      <c r="A98" s="156"/>
      <c r="B98" s="7" t="s">
        <v>32</v>
      </c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24">
        <f t="shared" si="7"/>
        <v>0</v>
      </c>
    </row>
    <row r="99" spans="1:15" s="102" customFormat="1" ht="12" x14ac:dyDescent="0.25">
      <c r="A99" s="253"/>
    </row>
    <row r="100" spans="1:15" s="102" customFormat="1" ht="12" x14ac:dyDescent="0.25">
      <c r="A100" s="252"/>
    </row>
    <row r="101" spans="1:15" s="64" customFormat="1" x14ac:dyDescent="0.3">
      <c r="A101" s="159"/>
    </row>
    <row r="102" spans="1:15" s="64" customFormat="1" x14ac:dyDescent="0.3">
      <c r="A102" s="159"/>
    </row>
    <row r="103" spans="1:15" s="102" customFormat="1" ht="12" x14ac:dyDescent="0.25">
      <c r="A103" s="252"/>
    </row>
    <row r="104" spans="1:15" s="102" customFormat="1" ht="12" x14ac:dyDescent="0.25">
      <c r="A104" s="252"/>
    </row>
    <row r="105" spans="1:15" s="64" customFormat="1" x14ac:dyDescent="0.3">
      <c r="A105" s="159"/>
    </row>
    <row r="106" spans="1:15" s="64" customFormat="1" x14ac:dyDescent="0.3">
      <c r="A106" s="159"/>
    </row>
    <row r="107" spans="1:15" s="102" customFormat="1" ht="12" x14ac:dyDescent="0.25">
      <c r="A107" s="252"/>
    </row>
    <row r="108" spans="1:15" s="102" customFormat="1" ht="12" x14ac:dyDescent="0.25">
      <c r="A108" s="252"/>
    </row>
    <row r="109" spans="1:15" s="64" customFormat="1" x14ac:dyDescent="0.3">
      <c r="A109" s="159"/>
    </row>
    <row r="110" spans="1:15" s="64" customFormat="1" x14ac:dyDescent="0.3">
      <c r="A110" s="159"/>
    </row>
    <row r="111" spans="1:15" s="102" customFormat="1" ht="12" x14ac:dyDescent="0.25">
      <c r="A111" s="252"/>
    </row>
    <row r="112" spans="1:15" s="102" customFormat="1" ht="12" x14ac:dyDescent="0.25">
      <c r="A112" s="252"/>
    </row>
    <row r="113" spans="1:1" s="64" customFormat="1" x14ac:dyDescent="0.3">
      <c r="A113" s="159"/>
    </row>
    <row r="114" spans="1:1" s="64" customFormat="1" x14ac:dyDescent="0.3">
      <c r="A114" s="159"/>
    </row>
    <row r="115" spans="1:1" s="102" customFormat="1" ht="12" x14ac:dyDescent="0.25">
      <c r="A115" s="252"/>
    </row>
    <row r="116" spans="1:1" s="102" customFormat="1" ht="12" x14ac:dyDescent="0.25">
      <c r="A116" s="252"/>
    </row>
    <row r="117" spans="1:1" s="64" customFormat="1" x14ac:dyDescent="0.3">
      <c r="A117" s="159"/>
    </row>
    <row r="118" spans="1:1" s="64" customFormat="1" x14ac:dyDescent="0.3">
      <c r="A118" s="159"/>
    </row>
    <row r="119" spans="1:1" s="102" customFormat="1" ht="12" x14ac:dyDescent="0.25">
      <c r="A119" s="252"/>
    </row>
    <row r="120" spans="1:1" s="102" customFormat="1" ht="12" x14ac:dyDescent="0.25">
      <c r="A120" s="252"/>
    </row>
    <row r="121" spans="1:1" s="64" customFormat="1" x14ac:dyDescent="0.3">
      <c r="A121" s="159"/>
    </row>
    <row r="122" spans="1:1" s="64" customFormat="1" x14ac:dyDescent="0.3">
      <c r="A122" s="159"/>
    </row>
    <row r="123" spans="1:1" s="102" customFormat="1" ht="12" x14ac:dyDescent="0.25">
      <c r="A123" s="252"/>
    </row>
    <row r="124" spans="1:1" s="102" customFormat="1" ht="12" x14ac:dyDescent="0.25">
      <c r="A124" s="252"/>
    </row>
    <row r="125" spans="1:1" s="64" customFormat="1" ht="11.4" customHeight="1" x14ac:dyDescent="0.3">
      <c r="A125" s="159"/>
    </row>
    <row r="126" spans="1:1" s="64" customFormat="1" x14ac:dyDescent="0.3">
      <c r="A126" s="159"/>
    </row>
    <row r="127" spans="1:1" s="102" customFormat="1" ht="12" x14ac:dyDescent="0.25">
      <c r="A127" s="252"/>
    </row>
    <row r="128" spans="1:1" s="102" customFormat="1" ht="12" x14ac:dyDescent="0.25">
      <c r="A128" s="252"/>
    </row>
    <row r="129" spans="1:1" s="64" customFormat="1" x14ac:dyDescent="0.3">
      <c r="A129" s="159"/>
    </row>
    <row r="130" spans="1:1" s="64" customFormat="1" x14ac:dyDescent="0.3">
      <c r="A130" s="159"/>
    </row>
    <row r="131" spans="1:1" s="102" customFormat="1" ht="12" x14ac:dyDescent="0.25">
      <c r="A131" s="252"/>
    </row>
    <row r="132" spans="1:1" s="102" customFormat="1" ht="12" x14ac:dyDescent="0.25">
      <c r="A132" s="252"/>
    </row>
    <row r="133" spans="1:1" s="64" customFormat="1" x14ac:dyDescent="0.3">
      <c r="A133" s="159"/>
    </row>
    <row r="134" spans="1:1" s="64" customFormat="1" x14ac:dyDescent="0.3">
      <c r="A134" s="159"/>
    </row>
    <row r="135" spans="1:1" s="102" customFormat="1" ht="12" x14ac:dyDescent="0.25">
      <c r="A135" s="252"/>
    </row>
    <row r="136" spans="1:1" s="102" customFormat="1" ht="12" x14ac:dyDescent="0.25">
      <c r="A136" s="252"/>
    </row>
    <row r="137" spans="1:1" s="64" customFormat="1" x14ac:dyDescent="0.3">
      <c r="A137" s="159"/>
    </row>
    <row r="138" spans="1:1" s="64" customFormat="1" x14ac:dyDescent="0.3">
      <c r="A138" s="159"/>
    </row>
    <row r="139" spans="1:1" s="102" customFormat="1" ht="12" x14ac:dyDescent="0.25">
      <c r="A139" s="252"/>
    </row>
    <row r="140" spans="1:1" s="102" customFormat="1" ht="12" x14ac:dyDescent="0.25">
      <c r="A140" s="252"/>
    </row>
    <row r="141" spans="1:1" s="64" customFormat="1" x14ac:dyDescent="0.3">
      <c r="A141" s="159"/>
    </row>
    <row r="142" spans="1:1" s="64" customFormat="1" x14ac:dyDescent="0.3">
      <c r="A142" s="159"/>
    </row>
    <row r="143" spans="1:1" s="102" customFormat="1" ht="12" x14ac:dyDescent="0.25">
      <c r="A143" s="252"/>
    </row>
    <row r="144" spans="1:1" s="102" customFormat="1" ht="12" x14ac:dyDescent="0.25">
      <c r="A144" s="252"/>
    </row>
    <row r="145" spans="1:1" s="64" customFormat="1" x14ac:dyDescent="0.3">
      <c r="A145" s="159"/>
    </row>
    <row r="146" spans="1:1" s="64" customFormat="1" x14ac:dyDescent="0.3">
      <c r="A146" s="159"/>
    </row>
    <row r="147" spans="1:1" s="102" customFormat="1" ht="12" x14ac:dyDescent="0.25">
      <c r="A147" s="252"/>
    </row>
    <row r="148" spans="1:1" s="102" customFormat="1" ht="12" x14ac:dyDescent="0.25">
      <c r="A148" s="252"/>
    </row>
    <row r="149" spans="1:1" s="64" customFormat="1" x14ac:dyDescent="0.3">
      <c r="A149" s="159"/>
    </row>
    <row r="150" spans="1:1" s="64" customFormat="1" x14ac:dyDescent="0.3">
      <c r="A150" s="159"/>
    </row>
    <row r="151" spans="1:1" s="102" customFormat="1" ht="12" x14ac:dyDescent="0.25">
      <c r="A151" s="252"/>
    </row>
    <row r="152" spans="1:1" s="102" customFormat="1" ht="12" x14ac:dyDescent="0.25">
      <c r="A152" s="252"/>
    </row>
    <row r="153" spans="1:1" s="64" customFormat="1" x14ac:dyDescent="0.3">
      <c r="A153" s="159"/>
    </row>
    <row r="154" spans="1:1" s="64" customFormat="1" x14ac:dyDescent="0.3">
      <c r="A154" s="159"/>
    </row>
    <row r="155" spans="1:1" s="102" customFormat="1" ht="12" x14ac:dyDescent="0.25">
      <c r="A155" s="252"/>
    </row>
    <row r="156" spans="1:1" s="102" customFormat="1" ht="12" x14ac:dyDescent="0.25">
      <c r="A156" s="252"/>
    </row>
    <row r="157" spans="1:1" s="64" customFormat="1" x14ac:dyDescent="0.3">
      <c r="A157" s="159"/>
    </row>
    <row r="158" spans="1:1" s="64" customFormat="1" x14ac:dyDescent="0.3">
      <c r="A158" s="159"/>
    </row>
    <row r="159" spans="1:1" s="102" customFormat="1" ht="12" x14ac:dyDescent="0.25">
      <c r="A159" s="252"/>
    </row>
    <row r="160" spans="1:1" s="102" customFormat="1" ht="12" x14ac:dyDescent="0.25">
      <c r="A160" s="252"/>
    </row>
    <row r="161" spans="1:1" s="64" customFormat="1" x14ac:dyDescent="0.3">
      <c r="A161" s="159"/>
    </row>
    <row r="162" spans="1:1" s="64" customFormat="1" x14ac:dyDescent="0.3">
      <c r="A162" s="159"/>
    </row>
    <row r="163" spans="1:1" s="102" customFormat="1" ht="12" x14ac:dyDescent="0.25">
      <c r="A163" s="252"/>
    </row>
    <row r="164" spans="1:1" s="102" customFormat="1" ht="12" x14ac:dyDescent="0.25">
      <c r="A164" s="252"/>
    </row>
    <row r="165" spans="1:1" s="64" customFormat="1" x14ac:dyDescent="0.3">
      <c r="A165" s="159"/>
    </row>
    <row r="166" spans="1:1" s="64" customFormat="1" x14ac:dyDescent="0.3">
      <c r="A166" s="159"/>
    </row>
    <row r="167" spans="1:1" s="102" customFormat="1" ht="12" x14ac:dyDescent="0.25">
      <c r="A167" s="252"/>
    </row>
    <row r="168" spans="1:1" s="102" customFormat="1" ht="12" x14ac:dyDescent="0.25">
      <c r="A168" s="252"/>
    </row>
    <row r="169" spans="1:1" s="64" customFormat="1" x14ac:dyDescent="0.3">
      <c r="A169" s="159"/>
    </row>
    <row r="170" spans="1:1" s="64" customFormat="1" x14ac:dyDescent="0.3">
      <c r="A170" s="159"/>
    </row>
    <row r="171" spans="1:1" s="102" customFormat="1" ht="12" x14ac:dyDescent="0.25">
      <c r="A171" s="252"/>
    </row>
    <row r="172" spans="1:1" s="102" customFormat="1" ht="12" x14ac:dyDescent="0.25">
      <c r="A172" s="252"/>
    </row>
    <row r="173" spans="1:1" s="64" customFormat="1" x14ac:dyDescent="0.3">
      <c r="A173" s="159"/>
    </row>
    <row r="174" spans="1:1" s="64" customFormat="1" x14ac:dyDescent="0.3">
      <c r="A174" s="159"/>
    </row>
    <row r="175" spans="1:1" s="102" customFormat="1" ht="12" x14ac:dyDescent="0.25">
      <c r="A175" s="252"/>
    </row>
    <row r="176" spans="1:1" s="102" customFormat="1" ht="12" x14ac:dyDescent="0.25">
      <c r="A176" s="252"/>
    </row>
    <row r="177" spans="1:1" s="64" customFormat="1" x14ac:dyDescent="0.3">
      <c r="A177" s="159"/>
    </row>
    <row r="178" spans="1:1" s="64" customFormat="1" x14ac:dyDescent="0.3">
      <c r="A178" s="159"/>
    </row>
    <row r="179" spans="1:1" s="102" customFormat="1" ht="12" x14ac:dyDescent="0.25">
      <c r="A179" s="252"/>
    </row>
    <row r="180" spans="1:1" s="102" customFormat="1" ht="12" x14ac:dyDescent="0.25">
      <c r="A180" s="252"/>
    </row>
    <row r="181" spans="1:1" s="64" customFormat="1" x14ac:dyDescent="0.3">
      <c r="A181" s="159"/>
    </row>
    <row r="182" spans="1:1" s="64" customFormat="1" x14ac:dyDescent="0.3">
      <c r="A182" s="159"/>
    </row>
    <row r="183" spans="1:1" s="102" customFormat="1" ht="12" x14ac:dyDescent="0.25">
      <c r="A183" s="252"/>
    </row>
    <row r="184" spans="1:1" s="102" customFormat="1" ht="12" x14ac:dyDescent="0.25">
      <c r="A184" s="252"/>
    </row>
    <row r="185" spans="1:1" s="64" customFormat="1" x14ac:dyDescent="0.3">
      <c r="A185" s="159"/>
    </row>
    <row r="186" spans="1:1" s="64" customFormat="1" x14ac:dyDescent="0.3">
      <c r="A186" s="159"/>
    </row>
    <row r="187" spans="1:1" s="102" customFormat="1" ht="12" x14ac:dyDescent="0.25">
      <c r="A187" s="252"/>
    </row>
    <row r="188" spans="1:1" s="102" customFormat="1" ht="12" x14ac:dyDescent="0.25">
      <c r="A188" s="252"/>
    </row>
    <row r="189" spans="1:1" s="64" customFormat="1" x14ac:dyDescent="0.3">
      <c r="A189" s="159"/>
    </row>
    <row r="190" spans="1:1" s="64" customFormat="1" x14ac:dyDescent="0.3">
      <c r="A190" s="159"/>
    </row>
    <row r="191" spans="1:1" s="102" customFormat="1" ht="12" x14ac:dyDescent="0.25">
      <c r="A191" s="252"/>
    </row>
    <row r="192" spans="1:1" s="102" customFormat="1" ht="12" x14ac:dyDescent="0.25">
      <c r="A192" s="252"/>
    </row>
    <row r="193" spans="1:1" s="64" customFormat="1" x14ac:dyDescent="0.3">
      <c r="A193" s="159"/>
    </row>
    <row r="194" spans="1:1" s="64" customFormat="1" x14ac:dyDescent="0.3">
      <c r="A194" s="159"/>
    </row>
    <row r="195" spans="1:1" s="102" customFormat="1" ht="12" x14ac:dyDescent="0.25">
      <c r="A195" s="252"/>
    </row>
    <row r="196" spans="1:1" s="102" customFormat="1" ht="12" x14ac:dyDescent="0.25">
      <c r="A196" s="252"/>
    </row>
    <row r="197" spans="1:1" s="64" customFormat="1" x14ac:dyDescent="0.3">
      <c r="A197" s="159"/>
    </row>
    <row r="198" spans="1:1" s="64" customFormat="1" x14ac:dyDescent="0.3">
      <c r="A198" s="159"/>
    </row>
    <row r="199" spans="1:1" s="102" customFormat="1" ht="12" x14ac:dyDescent="0.25">
      <c r="A199" s="252"/>
    </row>
    <row r="200" spans="1:1" s="102" customFormat="1" ht="12" x14ac:dyDescent="0.25">
      <c r="A200" s="252"/>
    </row>
    <row r="201" spans="1:1" s="64" customFormat="1" x14ac:dyDescent="0.3">
      <c r="A201" s="159"/>
    </row>
    <row r="202" spans="1:1" s="64" customFormat="1" x14ac:dyDescent="0.3">
      <c r="A202" s="159"/>
    </row>
    <row r="203" spans="1:1" s="102" customFormat="1" ht="12" x14ac:dyDescent="0.25">
      <c r="A203" s="252"/>
    </row>
    <row r="204" spans="1:1" s="102" customFormat="1" ht="12" x14ac:dyDescent="0.25">
      <c r="A204" s="252"/>
    </row>
    <row r="205" spans="1:1" s="64" customFormat="1" x14ac:dyDescent="0.3">
      <c r="A205" s="159"/>
    </row>
    <row r="206" spans="1:1" s="64" customFormat="1" x14ac:dyDescent="0.3">
      <c r="A206" s="159"/>
    </row>
    <row r="207" spans="1:1" s="102" customFormat="1" ht="12" x14ac:dyDescent="0.25">
      <c r="A207" s="252"/>
    </row>
    <row r="208" spans="1:1" s="102" customFormat="1" ht="12" x14ac:dyDescent="0.25">
      <c r="A208" s="252"/>
    </row>
    <row r="209" spans="1:1" s="64" customFormat="1" x14ac:dyDescent="0.3">
      <c r="A209" s="159"/>
    </row>
    <row r="210" spans="1:1" s="64" customFormat="1" x14ac:dyDescent="0.3">
      <c r="A210" s="159"/>
    </row>
    <row r="211" spans="1:1" s="102" customFormat="1" ht="12" x14ac:dyDescent="0.25">
      <c r="A211" s="252"/>
    </row>
    <row r="212" spans="1:1" s="102" customFormat="1" ht="12" x14ac:dyDescent="0.25">
      <c r="A212" s="252"/>
    </row>
    <row r="213" spans="1:1" s="64" customFormat="1" x14ac:dyDescent="0.3">
      <c r="A213" s="159"/>
    </row>
    <row r="214" spans="1:1" s="64" customFormat="1" x14ac:dyDescent="0.3">
      <c r="A214" s="159"/>
    </row>
    <row r="215" spans="1:1" s="102" customFormat="1" ht="12" x14ac:dyDescent="0.25">
      <c r="A215" s="252"/>
    </row>
    <row r="216" spans="1:1" s="102" customFormat="1" ht="12" x14ac:dyDescent="0.25">
      <c r="A216" s="252"/>
    </row>
    <row r="217" spans="1:1" s="64" customFormat="1" x14ac:dyDescent="0.3">
      <c r="A217" s="107"/>
    </row>
    <row r="218" spans="1:1" s="64" customFormat="1" x14ac:dyDescent="0.3">
      <c r="A218" s="107"/>
    </row>
  </sheetData>
  <mergeCells count="54">
    <mergeCell ref="A203:A204"/>
    <mergeCell ref="A207:A208"/>
    <mergeCell ref="A211:A212"/>
    <mergeCell ref="A215:A216"/>
    <mergeCell ref="A3:A6"/>
    <mergeCell ref="A183:A184"/>
    <mergeCell ref="A187:A188"/>
    <mergeCell ref="A191:A192"/>
    <mergeCell ref="A195:A196"/>
    <mergeCell ref="A199:A200"/>
    <mergeCell ref="A163:A164"/>
    <mergeCell ref="A167:A168"/>
    <mergeCell ref="A171:A172"/>
    <mergeCell ref="A175:A176"/>
    <mergeCell ref="A179:A180"/>
    <mergeCell ref="A143:A144"/>
    <mergeCell ref="A155:A156"/>
    <mergeCell ref="A159:A160"/>
    <mergeCell ref="A123:A124"/>
    <mergeCell ref="A127:A128"/>
    <mergeCell ref="A131:A132"/>
    <mergeCell ref="A135:A136"/>
    <mergeCell ref="A139:A140"/>
    <mergeCell ref="A111:A112"/>
    <mergeCell ref="A115:A116"/>
    <mergeCell ref="A119:A120"/>
    <mergeCell ref="A147:A148"/>
    <mergeCell ref="A151:A152"/>
    <mergeCell ref="A107:A108"/>
    <mergeCell ref="A87:A88"/>
    <mergeCell ref="A91:A92"/>
    <mergeCell ref="A95:A96"/>
    <mergeCell ref="A99:A100"/>
    <mergeCell ref="A55:A56"/>
    <mergeCell ref="A59:A60"/>
    <mergeCell ref="A63:A64"/>
    <mergeCell ref="A67:A68"/>
    <mergeCell ref="A103:A104"/>
    <mergeCell ref="A1:O1"/>
    <mergeCell ref="A71:A72"/>
    <mergeCell ref="A75:A76"/>
    <mergeCell ref="A79:A80"/>
    <mergeCell ref="A83:A84"/>
    <mergeCell ref="A11:A12"/>
    <mergeCell ref="A15:A16"/>
    <mergeCell ref="A19:A20"/>
    <mergeCell ref="A23:A24"/>
    <mergeCell ref="A27:A28"/>
    <mergeCell ref="A31:A32"/>
    <mergeCell ref="A35:A36"/>
    <mergeCell ref="A39:A40"/>
    <mergeCell ref="A43:A44"/>
    <mergeCell ref="A47:A48"/>
    <mergeCell ref="A51:A5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08E37-6E7A-41CA-A060-0DE2D3EAC2C9}">
  <sheetPr codeName="Sheet15"/>
  <dimension ref="A1:Q235"/>
  <sheetViews>
    <sheetView zoomScale="48" zoomScaleNormal="10" workbookViewId="0">
      <pane xSplit="1" ySplit="2" topLeftCell="B142" activePane="bottomRight" state="frozen"/>
      <selection pane="topRight" activeCell="M13" sqref="M13"/>
      <selection pane="bottomLeft" activeCell="M13" sqref="M13"/>
      <selection pane="bottomRight" activeCell="P156" sqref="P156"/>
    </sheetView>
  </sheetViews>
  <sheetFormatPr defaultColWidth="9.109375" defaultRowHeight="14.4" x14ac:dyDescent="0.3"/>
  <cols>
    <col min="1" max="1" width="39.5546875" style="52" bestFit="1" customWidth="1"/>
    <col min="2" max="2" width="22.88671875" style="52" bestFit="1" customWidth="1"/>
    <col min="3" max="7" width="13.109375" style="52" customWidth="1"/>
    <col min="8" max="8" width="14.5546875" style="52" bestFit="1" customWidth="1"/>
    <col min="9" max="15" width="13.109375" style="52" customWidth="1"/>
    <col min="16" max="16" width="9.109375" style="52"/>
    <col min="17" max="17" width="12.109375" style="52" customWidth="1"/>
    <col min="18" max="16384" width="9.109375" style="52"/>
  </cols>
  <sheetData>
    <row r="1" spans="1:17" ht="36.75" customHeight="1" x14ac:dyDescent="0.6">
      <c r="A1" s="232" t="s">
        <v>317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17" x14ac:dyDescent="0.3">
      <c r="A2" s="76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69" t="s">
        <v>7</v>
      </c>
      <c r="J2" s="69" t="s">
        <v>8</v>
      </c>
      <c r="K2" s="69" t="s">
        <v>9</v>
      </c>
      <c r="L2" s="69" t="s">
        <v>10</v>
      </c>
      <c r="M2" s="69" t="s">
        <v>11</v>
      </c>
      <c r="N2" s="69" t="s">
        <v>12</v>
      </c>
      <c r="O2" s="69" t="s">
        <v>13</v>
      </c>
    </row>
    <row r="3" spans="1:17" s="102" customFormat="1" ht="14.4" customHeight="1" x14ac:dyDescent="0.25">
      <c r="A3" s="239" t="s">
        <v>15</v>
      </c>
      <c r="B3" s="181" t="s">
        <v>16</v>
      </c>
      <c r="C3" s="182">
        <f>SUMIFS(C$11:C989,$B$11:$B989,"Actual 2024")</f>
        <v>6906.24</v>
      </c>
      <c r="D3" s="182">
        <f>SUMIFS(D$11:D989,$B$11:$B989,"Actual 2024")</f>
        <v>6134.72</v>
      </c>
      <c r="E3" s="182">
        <f>SUMIFS(E$11:E989,$B$11:$B989,"Actual 2024")</f>
        <v>5579.6100000000006</v>
      </c>
      <c r="F3" s="182">
        <f>SUMIFS(F$11:F989,$B$11:$B989,"Actual 2024")</f>
        <v>7145.87</v>
      </c>
      <c r="G3" s="182">
        <f>SUMIFS(G$11:G989,$B$11:$B989,"Actual 2024")</f>
        <v>6555.0599999999995</v>
      </c>
      <c r="H3" s="182">
        <f>SUMIFS(H$11:H989,$B$11:$B989,"Actual 2024")</f>
        <v>6400.36</v>
      </c>
      <c r="I3" s="185">
        <f>SUMIFS(I$11:I989,$B$11:$B989,"Actual 2024")</f>
        <v>6958.6900000000005</v>
      </c>
      <c r="J3" s="185">
        <f>SUMIFS(J$11:J989,$B$11:$B989,"Actual 2024")</f>
        <v>15241.24</v>
      </c>
      <c r="K3" s="185">
        <f>SUMIFS(K$11:K989,$B$11:$B989,"Actual 2024")</f>
        <v>7692.81</v>
      </c>
      <c r="L3" s="185">
        <f>SUMIFS(L$11:L989,$B$11:$B989,"Actual 2024")</f>
        <v>7421.04</v>
      </c>
      <c r="M3" s="185">
        <f>SUMIFS(M$11:M989,$B$11:$B989,"Actual 2024")</f>
        <v>11233.49</v>
      </c>
      <c r="N3" s="185">
        <f>SUMIFS(N$11:N989,$B$11:$B989,"Actual 2024")</f>
        <v>7521.5500000000011</v>
      </c>
      <c r="O3" s="183">
        <f>SUMIFS(O$11:O989,$B$11:$B989,"Actual 2024")</f>
        <v>94790.68</v>
      </c>
      <c r="P3" s="126">
        <v>63710.26</v>
      </c>
    </row>
    <row r="4" spans="1:17" s="102" customFormat="1" ht="14.4" customHeight="1" x14ac:dyDescent="0.25">
      <c r="A4" s="240"/>
      <c r="B4" s="184" t="s">
        <v>27</v>
      </c>
      <c r="C4" s="189">
        <f>SUMIFS(C$11:C989,$B$11:$B989,"Estimated")</f>
        <v>8473.64</v>
      </c>
      <c r="D4" s="189">
        <f>SUMIFS(D$11:D989,$B$11:$B989,"Estimated")</f>
        <v>9183.16</v>
      </c>
      <c r="E4" s="189">
        <f>SUMIFS(E$11:E989,$B$11:$B989,"Estimated")</f>
        <v>8023.21</v>
      </c>
      <c r="F4" s="189">
        <f>SUMIFS(F$11:F989,$B$11:$B989,"Estimated")</f>
        <v>12423.21</v>
      </c>
      <c r="G4" s="189">
        <f>SUMIFS(G$11:G989,$B$11:$B989,"Estimated")</f>
        <v>8023.21</v>
      </c>
      <c r="H4" s="189">
        <f>SUMIFS(H$11:H989,$B$11:$B989,"Estimated")</f>
        <v>8923.2099999999991</v>
      </c>
      <c r="I4" s="192">
        <f>SUMIFS(I$11:I989,$B$11:$B989,"Estimated")</f>
        <v>8173.21</v>
      </c>
      <c r="J4" s="192">
        <f>SUMIFS(J$11:J989,$B$11:$B989,"Estimated")</f>
        <v>18462.829999999998</v>
      </c>
      <c r="K4" s="192">
        <f>SUMIFS(K$11:K989,$B$11:$B989,"Estimated")</f>
        <v>9453.7999999999993</v>
      </c>
      <c r="L4" s="192">
        <f>SUMIFS(L$11:L989,$B$11:$B989,"Estimated")</f>
        <v>14748.21</v>
      </c>
      <c r="M4" s="192">
        <f>SUMIFS(M$11:M989,$B$11:$B989,"Estimated")</f>
        <v>13522.21</v>
      </c>
      <c r="N4" s="192">
        <f>SUMIFS(N$11:N989,$B$11:$B989,"Estimated")</f>
        <v>8223.2099999999991</v>
      </c>
      <c r="O4" s="191">
        <f>SUMIFS(O$11:O989,$B$11:$B989,"Estimated")</f>
        <v>127633.11000000002</v>
      </c>
      <c r="Q4" s="131">
        <f>O4-O3</f>
        <v>32842.430000000022</v>
      </c>
    </row>
    <row r="5" spans="1:17" s="166" customFormat="1" ht="14.4" customHeight="1" x14ac:dyDescent="0.3">
      <c r="A5" s="240"/>
      <c r="B5" s="162" t="s">
        <v>18</v>
      </c>
      <c r="C5" s="163">
        <v>500</v>
      </c>
      <c r="D5" s="163">
        <v>500</v>
      </c>
      <c r="E5" s="163">
        <v>500</v>
      </c>
      <c r="F5" s="163">
        <v>500</v>
      </c>
      <c r="G5" s="163">
        <v>500</v>
      </c>
      <c r="H5" s="163">
        <v>500</v>
      </c>
      <c r="I5" s="170">
        <v>500</v>
      </c>
      <c r="J5" s="167">
        <v>500</v>
      </c>
      <c r="K5" s="167">
        <v>500</v>
      </c>
      <c r="L5" s="167">
        <v>500</v>
      </c>
      <c r="M5" s="167">
        <v>500</v>
      </c>
      <c r="N5" s="167">
        <v>500</v>
      </c>
      <c r="O5" s="164">
        <f t="shared" ref="O5" si="0">SUM(C5:N5)</f>
        <v>6000</v>
      </c>
      <c r="P5" s="165">
        <v>6000</v>
      </c>
    </row>
    <row r="6" spans="1:17" s="166" customFormat="1" ht="15" thickBot="1" x14ac:dyDescent="0.35">
      <c r="A6" s="241"/>
      <c r="B6" s="174" t="s">
        <v>19</v>
      </c>
      <c r="C6" s="175">
        <f>SUMIFS(C$11:C989,$B$11:$B989,"Actual")</f>
        <v>6731.17</v>
      </c>
      <c r="D6" s="175">
        <f>SUMIFS(D$11:D989,$B$11:$B989,"Actual")</f>
        <v>7121.81</v>
      </c>
      <c r="E6" s="175">
        <f>SUMIFS(E$11:E989,$B$11:$B989,"Actual")</f>
        <v>7581.9399999999987</v>
      </c>
      <c r="F6" s="175">
        <f>SUMIFS(F$11:F989,$B$11:$B989,"Actual")</f>
        <v>6799.1499999999987</v>
      </c>
      <c r="G6" s="175">
        <f>SUMIFS(G$11:G989,$B$11:$B989,"Actual")</f>
        <v>10575.96</v>
      </c>
      <c r="H6" s="175">
        <f>SUMIFS(H$11:H989,$B$11:$B989,"Actual")</f>
        <v>9434.81</v>
      </c>
      <c r="I6" s="177">
        <f>SUMIFS(I$11:I989,$B$11:$B989,"Actual")</f>
        <v>7708.8899999999994</v>
      </c>
      <c r="J6" s="177">
        <f>SUMIFS(J$11:J989,$B$11:$B989,"Actual")</f>
        <v>17798.099999999999</v>
      </c>
      <c r="K6" s="177">
        <f>SUMIFS(K$11:K989,$B$11:$B989,"Actual")</f>
        <v>6392.619999999999</v>
      </c>
      <c r="L6" s="177">
        <f>SUMIFS(L$11:L989,$B$11:$B989,"Actual")</f>
        <v>4818.82</v>
      </c>
      <c r="M6" s="177">
        <f>SUMIFS(M$11:M989,$B$11:$B989,"Actual")</f>
        <v>6854.37</v>
      </c>
      <c r="N6" s="177">
        <f>SUMIFS(N$11:N989,$B$11:$B989,"Actual")</f>
        <v>0</v>
      </c>
      <c r="O6" s="176">
        <f>SUMIFS(O$11:O989,$B$11:$B989,"Actual")</f>
        <v>91817.640000000029</v>
      </c>
    </row>
    <row r="7" spans="1:17" s="64" customFormat="1" ht="15" thickTop="1" x14ac:dyDescent="0.3">
      <c r="A7" s="133"/>
      <c r="B7" s="70" t="s">
        <v>21</v>
      </c>
      <c r="C7" s="60">
        <f t="shared" ref="C7:I7" si="1">C5-C6</f>
        <v>-6231.17</v>
      </c>
      <c r="D7" s="60">
        <f t="shared" si="1"/>
        <v>-6621.81</v>
      </c>
      <c r="E7" s="60">
        <f t="shared" si="1"/>
        <v>-7081.9399999999987</v>
      </c>
      <c r="F7" s="60">
        <f t="shared" si="1"/>
        <v>-6299.1499999999987</v>
      </c>
      <c r="G7" s="60">
        <f t="shared" si="1"/>
        <v>-10075.959999999999</v>
      </c>
      <c r="H7" s="60">
        <f t="shared" si="1"/>
        <v>-8934.81</v>
      </c>
      <c r="I7" s="60">
        <f t="shared" si="1"/>
        <v>-7208.8899999999994</v>
      </c>
      <c r="J7" s="60">
        <f t="shared" ref="J7:N7" si="2">J5-J6</f>
        <v>-17298.099999999999</v>
      </c>
      <c r="K7" s="60">
        <f t="shared" si="2"/>
        <v>-5892.619999999999</v>
      </c>
      <c r="L7" s="60">
        <f t="shared" si="2"/>
        <v>-4318.82</v>
      </c>
      <c r="M7" s="60">
        <f t="shared" si="2"/>
        <v>-6354.37</v>
      </c>
      <c r="N7" s="60">
        <f t="shared" si="2"/>
        <v>500</v>
      </c>
      <c r="O7" s="75">
        <f>O5-O6</f>
        <v>-85817.640000000029</v>
      </c>
    </row>
    <row r="8" spans="1:17" s="137" customFormat="1" x14ac:dyDescent="0.3">
      <c r="A8" s="77"/>
      <c r="B8" s="72" t="s">
        <v>23</v>
      </c>
      <c r="C8" s="50">
        <f>SUM($C6:C6)</f>
        <v>6731.17</v>
      </c>
      <c r="D8" s="50">
        <f>SUM($C6:D6)</f>
        <v>13852.98</v>
      </c>
      <c r="E8" s="50">
        <f>SUM($C6:E6)</f>
        <v>21434.92</v>
      </c>
      <c r="F8" s="50">
        <f>SUM($C6:F6)</f>
        <v>28234.069999999996</v>
      </c>
      <c r="G8" s="50">
        <f>SUM($C6:G6)</f>
        <v>38810.03</v>
      </c>
      <c r="H8" s="50">
        <f>SUM($C6:H6)</f>
        <v>48244.84</v>
      </c>
      <c r="I8" s="50">
        <f>SUM($C6:I6)</f>
        <v>55953.729999999996</v>
      </c>
      <c r="J8" s="50">
        <f>SUM($C6:J6)</f>
        <v>73751.829999999987</v>
      </c>
      <c r="K8" s="50">
        <f>SUM($C6:K6)</f>
        <v>80144.449999999983</v>
      </c>
      <c r="L8" s="50">
        <f>SUM($C6:L6)</f>
        <v>84963.26999999999</v>
      </c>
      <c r="M8" s="50">
        <f>SUM($C6:M6)</f>
        <v>91817.639999999985</v>
      </c>
      <c r="N8" s="50">
        <f>SUM($C6:N6)</f>
        <v>91817.639999999985</v>
      </c>
      <c r="O8" s="71">
        <f>O6</f>
        <v>91817.640000000029</v>
      </c>
    </row>
    <row r="9" spans="1:17" s="137" customFormat="1" x14ac:dyDescent="0.3">
      <c r="A9" s="78"/>
      <c r="B9" s="73" t="s">
        <v>25</v>
      </c>
      <c r="C9" s="51">
        <f>SUM($C5:C5)-C8</f>
        <v>-6231.17</v>
      </c>
      <c r="D9" s="51">
        <f>SUM($C5:D5)-D8</f>
        <v>-12852.98</v>
      </c>
      <c r="E9" s="51">
        <f>SUM($C5:E5)-E8</f>
        <v>-19934.919999999998</v>
      </c>
      <c r="F9" s="51">
        <f>SUM($C5:F5)-F8</f>
        <v>-26234.069999999996</v>
      </c>
      <c r="G9" s="51">
        <f>SUM($C5:G5)-G8</f>
        <v>-36310.03</v>
      </c>
      <c r="H9" s="51">
        <f>SUM($C5:H5)-H8</f>
        <v>-45244.84</v>
      </c>
      <c r="I9" s="51">
        <f>SUM($C5:I5)-I8</f>
        <v>-52453.729999999996</v>
      </c>
      <c r="J9" s="51">
        <f>SUM($C5:J5)-J8</f>
        <v>-69751.829999999987</v>
      </c>
      <c r="K9" s="51">
        <f>SUM($C5:K5)-K8</f>
        <v>-75644.449999999983</v>
      </c>
      <c r="L9" s="51">
        <f>SUM($C5:L5)-L8</f>
        <v>-79963.26999999999</v>
      </c>
      <c r="M9" s="51">
        <f>SUM($C5:M5)-M8</f>
        <v>-86317.639999999985</v>
      </c>
      <c r="N9" s="51">
        <f>SUM($C5:N5)-N8</f>
        <v>-85817.639999999985</v>
      </c>
      <c r="O9" s="74"/>
    </row>
    <row r="10" spans="1:17" x14ac:dyDescent="0.3"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7" s="102" customFormat="1" ht="12" x14ac:dyDescent="0.25">
      <c r="A11" s="236" t="s">
        <v>318</v>
      </c>
      <c r="B11" s="99" t="s">
        <v>16</v>
      </c>
      <c r="C11" s="104">
        <v>1125</v>
      </c>
      <c r="D11" s="104"/>
      <c r="E11" s="104"/>
      <c r="F11" s="104">
        <v>1125</v>
      </c>
      <c r="G11" s="104"/>
      <c r="H11" s="104"/>
      <c r="I11" s="104">
        <v>1125</v>
      </c>
      <c r="J11" s="104"/>
      <c r="K11" s="104"/>
      <c r="L11" s="104">
        <v>1125</v>
      </c>
      <c r="M11" s="104"/>
      <c r="N11" s="104"/>
      <c r="O11" s="101">
        <f t="shared" ref="O11:O74" si="3">SUM(C11:N11)</f>
        <v>4500</v>
      </c>
    </row>
    <row r="12" spans="1:17" s="102" customFormat="1" ht="12" x14ac:dyDescent="0.25">
      <c r="A12" s="235"/>
      <c r="B12" s="99" t="s">
        <v>319</v>
      </c>
      <c r="C12" s="100">
        <v>375</v>
      </c>
      <c r="D12" s="100">
        <v>375</v>
      </c>
      <c r="E12" s="100">
        <v>375</v>
      </c>
      <c r="F12" s="100">
        <v>375</v>
      </c>
      <c r="G12" s="100">
        <v>375</v>
      </c>
      <c r="H12" s="100">
        <v>375</v>
      </c>
      <c r="I12" s="100">
        <v>375</v>
      </c>
      <c r="J12" s="100">
        <v>375</v>
      </c>
      <c r="K12" s="100">
        <v>375</v>
      </c>
      <c r="L12" s="100">
        <v>375</v>
      </c>
      <c r="M12" s="100">
        <v>375</v>
      </c>
      <c r="N12" s="100">
        <v>375</v>
      </c>
      <c r="O12" s="103">
        <f t="shared" si="3"/>
        <v>4500</v>
      </c>
    </row>
    <row r="13" spans="1:17" s="64" customFormat="1" ht="12.6" customHeight="1" x14ac:dyDescent="0.3">
      <c r="A13" s="155"/>
      <c r="B13" s="5" t="s">
        <v>31</v>
      </c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7">
        <f t="shared" si="3"/>
        <v>0</v>
      </c>
    </row>
    <row r="14" spans="1:17" s="64" customFormat="1" ht="12.6" customHeight="1" x14ac:dyDescent="0.3">
      <c r="A14" s="156"/>
      <c r="B14" s="7" t="s">
        <v>32</v>
      </c>
      <c r="C14" s="114" t="s">
        <v>149</v>
      </c>
      <c r="D14" s="114"/>
      <c r="E14" s="114"/>
      <c r="F14" s="114"/>
      <c r="G14" s="114">
        <v>1125</v>
      </c>
      <c r="H14" s="114"/>
      <c r="I14" s="114">
        <v>1125</v>
      </c>
      <c r="J14" s="114"/>
      <c r="K14" s="114"/>
      <c r="L14" s="114"/>
      <c r="M14" s="114"/>
      <c r="N14" s="114"/>
      <c r="O14" s="24">
        <f t="shared" si="3"/>
        <v>2250</v>
      </c>
    </row>
    <row r="15" spans="1:17" s="102" customFormat="1" ht="12" x14ac:dyDescent="0.25">
      <c r="A15" s="236" t="s">
        <v>320</v>
      </c>
      <c r="B15" s="99" t="s">
        <v>16</v>
      </c>
      <c r="C15" s="100">
        <v>93.6</v>
      </c>
      <c r="D15" s="100">
        <v>93.6</v>
      </c>
      <c r="E15" s="100">
        <v>93.6</v>
      </c>
      <c r="F15" s="100">
        <v>93.6</v>
      </c>
      <c r="G15" s="100">
        <v>93.6</v>
      </c>
      <c r="H15" s="100">
        <v>93.6</v>
      </c>
      <c r="I15" s="100">
        <v>93.6</v>
      </c>
      <c r="J15" s="100">
        <v>93.6</v>
      </c>
      <c r="K15" s="100">
        <v>93.6</v>
      </c>
      <c r="L15" s="100">
        <v>93.6</v>
      </c>
      <c r="M15" s="100">
        <v>93.6</v>
      </c>
      <c r="N15" s="100">
        <v>93.6</v>
      </c>
      <c r="O15" s="101">
        <f t="shared" si="3"/>
        <v>1123.2</v>
      </c>
    </row>
    <row r="16" spans="1:17" s="102" customFormat="1" ht="12" x14ac:dyDescent="0.25">
      <c r="A16" s="235"/>
      <c r="B16" s="99" t="s">
        <v>29</v>
      </c>
      <c r="C16" s="100">
        <v>94</v>
      </c>
      <c r="D16" s="100">
        <v>94</v>
      </c>
      <c r="E16" s="100">
        <v>94</v>
      </c>
      <c r="F16" s="100">
        <v>94</v>
      </c>
      <c r="G16" s="100">
        <v>94</v>
      </c>
      <c r="H16" s="100">
        <v>94</v>
      </c>
      <c r="I16" s="100">
        <v>94</v>
      </c>
      <c r="J16" s="100">
        <v>94</v>
      </c>
      <c r="K16" s="100">
        <v>94</v>
      </c>
      <c r="L16" s="100">
        <v>94</v>
      </c>
      <c r="M16" s="100">
        <v>94</v>
      </c>
      <c r="N16" s="100">
        <v>94</v>
      </c>
      <c r="O16" s="103">
        <f t="shared" si="3"/>
        <v>1128</v>
      </c>
    </row>
    <row r="17" spans="1:15" s="64" customFormat="1" ht="12.6" customHeight="1" x14ac:dyDescent="0.3">
      <c r="A17" s="155"/>
      <c r="B17" s="5" t="s">
        <v>31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7">
        <f t="shared" si="3"/>
        <v>0</v>
      </c>
    </row>
    <row r="18" spans="1:15" s="64" customFormat="1" ht="12.6" customHeight="1" x14ac:dyDescent="0.3">
      <c r="A18" s="156"/>
      <c r="B18" s="7" t="s">
        <v>32</v>
      </c>
      <c r="C18" s="114">
        <v>93.6</v>
      </c>
      <c r="D18" s="114">
        <v>93.6</v>
      </c>
      <c r="E18" s="114">
        <v>93.6</v>
      </c>
      <c r="F18" s="114">
        <v>93.6</v>
      </c>
      <c r="G18" s="114">
        <v>93.6</v>
      </c>
      <c r="H18" s="114">
        <v>93.6</v>
      </c>
      <c r="I18" s="114">
        <v>93.6</v>
      </c>
      <c r="J18" s="114">
        <v>93.6</v>
      </c>
      <c r="K18" s="114">
        <v>93.6</v>
      </c>
      <c r="L18" s="114"/>
      <c r="M18" s="114"/>
      <c r="N18" s="114"/>
      <c r="O18" s="24">
        <f t="shared" si="3"/>
        <v>842.40000000000009</v>
      </c>
    </row>
    <row r="19" spans="1:15" s="102" customFormat="1" ht="12" x14ac:dyDescent="0.25">
      <c r="A19" s="236" t="s">
        <v>321</v>
      </c>
      <c r="B19" s="99" t="s">
        <v>16</v>
      </c>
      <c r="C19" s="100"/>
      <c r="D19" s="100"/>
      <c r="E19" s="100"/>
      <c r="F19" s="100"/>
      <c r="G19" s="100">
        <v>59.23</v>
      </c>
      <c r="H19" s="100"/>
      <c r="I19" s="100"/>
      <c r="J19" s="100">
        <v>179.01</v>
      </c>
      <c r="K19" s="100">
        <v>12.57</v>
      </c>
      <c r="L19" s="100">
        <v>41.87</v>
      </c>
      <c r="M19" s="100">
        <v>40.97</v>
      </c>
      <c r="N19" s="100"/>
      <c r="O19" s="101">
        <f t="shared" si="3"/>
        <v>333.65</v>
      </c>
    </row>
    <row r="20" spans="1:15" s="102" customFormat="1" ht="12" x14ac:dyDescent="0.25">
      <c r="A20" s="235"/>
      <c r="B20" s="99" t="s">
        <v>29</v>
      </c>
      <c r="C20" s="100">
        <v>60</v>
      </c>
      <c r="D20" s="100">
        <v>60</v>
      </c>
      <c r="E20" s="100">
        <v>60</v>
      </c>
      <c r="F20" s="100">
        <v>60</v>
      </c>
      <c r="G20" s="100">
        <v>60</v>
      </c>
      <c r="H20" s="100">
        <v>60</v>
      </c>
      <c r="I20" s="100">
        <v>60</v>
      </c>
      <c r="J20" s="100">
        <v>60</v>
      </c>
      <c r="K20" s="100">
        <v>60</v>
      </c>
      <c r="L20" s="100">
        <v>60</v>
      </c>
      <c r="M20" s="100">
        <v>60</v>
      </c>
      <c r="N20" s="100">
        <v>60</v>
      </c>
      <c r="O20" s="103">
        <f t="shared" si="3"/>
        <v>720</v>
      </c>
    </row>
    <row r="21" spans="1:15" s="64" customFormat="1" ht="12.6" customHeight="1" x14ac:dyDescent="0.3">
      <c r="A21" s="155"/>
      <c r="B21" s="5" t="s">
        <v>31</v>
      </c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7">
        <f t="shared" si="3"/>
        <v>0</v>
      </c>
    </row>
    <row r="22" spans="1:15" s="64" customFormat="1" ht="12.6" customHeight="1" x14ac:dyDescent="0.3">
      <c r="A22" s="156"/>
      <c r="B22" s="7" t="s">
        <v>32</v>
      </c>
      <c r="C22" s="114"/>
      <c r="D22" s="114"/>
      <c r="E22" s="114"/>
      <c r="F22" s="114">
        <v>59.23</v>
      </c>
      <c r="G22" s="114"/>
      <c r="H22" s="114"/>
      <c r="I22" s="114"/>
      <c r="J22" s="114">
        <v>179.01</v>
      </c>
      <c r="K22" s="114">
        <v>12.57</v>
      </c>
      <c r="L22" s="114"/>
      <c r="M22" s="114"/>
      <c r="N22" s="114"/>
      <c r="O22" s="24">
        <f t="shared" si="3"/>
        <v>250.80999999999997</v>
      </c>
    </row>
    <row r="23" spans="1:15" s="102" customFormat="1" ht="12" x14ac:dyDescent="0.25">
      <c r="A23" s="236" t="s">
        <v>322</v>
      </c>
      <c r="B23" s="99" t="s">
        <v>16</v>
      </c>
      <c r="C23" s="100">
        <v>400</v>
      </c>
      <c r="D23" s="100">
        <v>652.82000000000005</v>
      </c>
      <c r="E23" s="100">
        <v>652.82000000000005</v>
      </c>
      <c r="F23" s="100">
        <v>529.87</v>
      </c>
      <c r="G23" s="100">
        <v>624.75</v>
      </c>
      <c r="H23" s="100">
        <v>631.58000000000004</v>
      </c>
      <c r="I23" s="100">
        <v>542.20000000000005</v>
      </c>
      <c r="J23" s="100">
        <v>528.79</v>
      </c>
      <c r="K23" s="100">
        <v>523.37</v>
      </c>
      <c r="L23" s="100">
        <v>549.61</v>
      </c>
      <c r="M23" s="100">
        <v>521.1</v>
      </c>
      <c r="N23" s="100">
        <v>602.84</v>
      </c>
      <c r="O23" s="101">
        <f t="shared" si="3"/>
        <v>6759.75</v>
      </c>
    </row>
    <row r="24" spans="1:15" s="102" customFormat="1" ht="12" x14ac:dyDescent="0.25">
      <c r="A24" s="235"/>
      <c r="B24" s="99" t="s">
        <v>29</v>
      </c>
      <c r="C24" s="100">
        <v>500</v>
      </c>
      <c r="D24" s="100">
        <v>500</v>
      </c>
      <c r="E24" s="100">
        <v>500</v>
      </c>
      <c r="F24" s="100">
        <v>500</v>
      </c>
      <c r="G24" s="100">
        <v>500</v>
      </c>
      <c r="H24" s="100">
        <v>500</v>
      </c>
      <c r="I24" s="100">
        <v>500</v>
      </c>
      <c r="J24" s="100">
        <v>542.86</v>
      </c>
      <c r="K24" s="100">
        <v>560.71</v>
      </c>
      <c r="L24" s="100">
        <v>700</v>
      </c>
      <c r="M24" s="100">
        <v>700</v>
      </c>
      <c r="N24" s="100">
        <v>700</v>
      </c>
      <c r="O24" s="103">
        <f t="shared" si="3"/>
        <v>6703.57</v>
      </c>
    </row>
    <row r="25" spans="1:15" s="64" customFormat="1" ht="12.6" customHeight="1" x14ac:dyDescent="0.3">
      <c r="A25" s="155"/>
      <c r="B25" s="5" t="s">
        <v>31</v>
      </c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7">
        <f t="shared" si="3"/>
        <v>0</v>
      </c>
    </row>
    <row r="26" spans="1:15" s="64" customFormat="1" ht="12.6" customHeight="1" x14ac:dyDescent="0.3">
      <c r="A26" s="156"/>
      <c r="B26" s="7" t="s">
        <v>32</v>
      </c>
      <c r="C26" s="114">
        <v>510.39</v>
      </c>
      <c r="D26" s="114">
        <v>509.95</v>
      </c>
      <c r="E26" s="114">
        <v>887.19</v>
      </c>
      <c r="F26" s="114"/>
      <c r="G26" s="114"/>
      <c r="H26" s="114"/>
      <c r="I26" s="114"/>
      <c r="J26" s="114"/>
      <c r="K26" s="114"/>
      <c r="L26" s="114"/>
      <c r="M26" s="114"/>
      <c r="N26" s="114"/>
      <c r="O26" s="24">
        <f t="shared" si="3"/>
        <v>1907.53</v>
      </c>
    </row>
    <row r="27" spans="1:15" s="102" customFormat="1" ht="12" x14ac:dyDescent="0.25">
      <c r="A27" s="236" t="s">
        <v>323</v>
      </c>
      <c r="B27" s="99" t="s">
        <v>16</v>
      </c>
      <c r="C27" s="100">
        <v>51.21</v>
      </c>
      <c r="D27" s="100">
        <v>51.21</v>
      </c>
      <c r="E27" s="100">
        <v>51.21</v>
      </c>
      <c r="F27" s="100">
        <v>51.21</v>
      </c>
      <c r="G27" s="100">
        <v>51.21</v>
      </c>
      <c r="H27" s="100">
        <v>51.21</v>
      </c>
      <c r="I27" s="100">
        <v>51.21</v>
      </c>
      <c r="J27" s="100">
        <v>51.21</v>
      </c>
      <c r="K27" s="100">
        <v>51.21</v>
      </c>
      <c r="L27" s="100">
        <v>51.21</v>
      </c>
      <c r="M27" s="100">
        <v>51.21</v>
      </c>
      <c r="N27" s="100">
        <v>625.96</v>
      </c>
      <c r="O27" s="101">
        <f t="shared" si="3"/>
        <v>1189.27</v>
      </c>
    </row>
    <row r="28" spans="1:15" s="102" customFormat="1" ht="12" x14ac:dyDescent="0.25">
      <c r="A28" s="235"/>
      <c r="B28" s="99" t="s">
        <v>29</v>
      </c>
      <c r="C28" s="100">
        <v>51.21</v>
      </c>
      <c r="D28" s="100">
        <v>51.21</v>
      </c>
      <c r="E28" s="100">
        <v>51.21</v>
      </c>
      <c r="F28" s="100">
        <v>51.21</v>
      </c>
      <c r="G28" s="100">
        <v>51.21</v>
      </c>
      <c r="H28" s="100">
        <v>51.21</v>
      </c>
      <c r="I28" s="100">
        <v>51.21</v>
      </c>
      <c r="J28" s="100">
        <v>51.21</v>
      </c>
      <c r="K28" s="100">
        <v>51.21</v>
      </c>
      <c r="L28" s="100">
        <v>51.21</v>
      </c>
      <c r="M28" s="100">
        <v>51.21</v>
      </c>
      <c r="N28" s="100">
        <v>51.21</v>
      </c>
      <c r="O28" s="103">
        <f t="shared" si="3"/>
        <v>614.52</v>
      </c>
    </row>
    <row r="29" spans="1:15" s="64" customFormat="1" ht="12.6" customHeight="1" x14ac:dyDescent="0.3">
      <c r="A29" s="155"/>
      <c r="B29" s="5" t="s">
        <v>31</v>
      </c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7">
        <f t="shared" si="3"/>
        <v>0</v>
      </c>
    </row>
    <row r="30" spans="1:15" s="64" customFormat="1" ht="12.6" customHeight="1" x14ac:dyDescent="0.3">
      <c r="A30" s="156"/>
      <c r="B30" s="7" t="s">
        <v>32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24">
        <f t="shared" si="3"/>
        <v>0</v>
      </c>
    </row>
    <row r="31" spans="1:15" s="102" customFormat="1" ht="12" x14ac:dyDescent="0.25">
      <c r="A31" s="236" t="s">
        <v>324</v>
      </c>
      <c r="B31" s="99" t="s">
        <v>16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1">
        <f t="shared" si="3"/>
        <v>0</v>
      </c>
    </row>
    <row r="32" spans="1:15" s="102" customFormat="1" ht="12" x14ac:dyDescent="0.25">
      <c r="A32" s="235"/>
      <c r="B32" s="99" t="s">
        <v>29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150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3">
        <f t="shared" si="3"/>
        <v>150</v>
      </c>
    </row>
    <row r="33" spans="1:15" s="64" customFormat="1" ht="12.6" customHeight="1" x14ac:dyDescent="0.3">
      <c r="A33" s="155"/>
      <c r="B33" s="5" t="s">
        <v>31</v>
      </c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7">
        <f t="shared" si="3"/>
        <v>0</v>
      </c>
    </row>
    <row r="34" spans="1:15" s="64" customFormat="1" ht="12.6" customHeight="1" x14ac:dyDescent="0.3">
      <c r="A34" s="156"/>
      <c r="B34" s="7" t="s">
        <v>32</v>
      </c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24">
        <f t="shared" si="3"/>
        <v>0</v>
      </c>
    </row>
    <row r="35" spans="1:15" s="102" customFormat="1" ht="12" x14ac:dyDescent="0.25">
      <c r="A35" s="236" t="s">
        <v>325</v>
      </c>
      <c r="B35" s="99" t="s">
        <v>16</v>
      </c>
      <c r="C35" s="100"/>
      <c r="D35" s="100"/>
      <c r="E35" s="100"/>
      <c r="F35" s="100">
        <v>257.07</v>
      </c>
      <c r="G35" s="100"/>
      <c r="H35" s="100"/>
      <c r="I35" s="100"/>
      <c r="J35" s="100"/>
      <c r="K35" s="100"/>
      <c r="L35" s="100"/>
      <c r="M35" s="100"/>
      <c r="N35" s="100"/>
      <c r="O35" s="101">
        <f t="shared" si="3"/>
        <v>257.07</v>
      </c>
    </row>
    <row r="36" spans="1:15" s="102" customFormat="1" ht="12" x14ac:dyDescent="0.25">
      <c r="A36" s="235"/>
      <c r="B36" s="99" t="s">
        <v>29</v>
      </c>
      <c r="C36" s="100">
        <v>0</v>
      </c>
      <c r="D36" s="100">
        <v>0</v>
      </c>
      <c r="E36" s="100">
        <v>0</v>
      </c>
      <c r="F36" s="100">
        <v>0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100">
        <v>0</v>
      </c>
      <c r="N36" s="100">
        <v>0</v>
      </c>
      <c r="O36" s="103">
        <f t="shared" si="3"/>
        <v>0</v>
      </c>
    </row>
    <row r="37" spans="1:15" s="64" customFormat="1" ht="12.6" customHeight="1" x14ac:dyDescent="0.3">
      <c r="A37" s="155" t="s">
        <v>326</v>
      </c>
      <c r="B37" s="5" t="s">
        <v>31</v>
      </c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7">
        <f t="shared" si="3"/>
        <v>0</v>
      </c>
    </row>
    <row r="38" spans="1:15" s="64" customFormat="1" ht="12.6" customHeight="1" x14ac:dyDescent="0.3">
      <c r="A38" s="156"/>
      <c r="B38" s="7" t="s">
        <v>32</v>
      </c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24">
        <f t="shared" si="3"/>
        <v>0</v>
      </c>
    </row>
    <row r="39" spans="1:15" s="102" customFormat="1" ht="12" x14ac:dyDescent="0.25">
      <c r="A39" s="236" t="s">
        <v>327</v>
      </c>
      <c r="B39" s="99" t="s">
        <v>16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1">
        <f t="shared" si="3"/>
        <v>0</v>
      </c>
    </row>
    <row r="40" spans="1:15" s="102" customFormat="1" ht="12.6" thickBot="1" x14ac:dyDescent="0.3">
      <c r="A40" s="235"/>
      <c r="B40" s="99" t="s">
        <v>29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300</v>
      </c>
      <c r="I40" s="100">
        <v>0</v>
      </c>
      <c r="J40" s="100">
        <v>0</v>
      </c>
      <c r="K40" s="100">
        <v>0</v>
      </c>
      <c r="L40" s="100">
        <v>0</v>
      </c>
      <c r="M40" s="100">
        <v>99</v>
      </c>
      <c r="N40" s="100">
        <v>0</v>
      </c>
      <c r="O40" s="103">
        <f t="shared" si="3"/>
        <v>399</v>
      </c>
    </row>
    <row r="41" spans="1:15" s="64" customFormat="1" ht="12.6" customHeight="1" thickBot="1" x14ac:dyDescent="0.35">
      <c r="A41" s="221" t="s">
        <v>328</v>
      </c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 t="shared" si="3"/>
        <v>0</v>
      </c>
    </row>
    <row r="42" spans="1:15" s="64" customFormat="1" ht="12.6" customHeight="1" x14ac:dyDescent="0.3">
      <c r="A42" s="156" t="s">
        <v>329</v>
      </c>
      <c r="B42" s="7" t="s">
        <v>32</v>
      </c>
      <c r="C42" s="114"/>
      <c r="D42" s="114"/>
      <c r="E42" s="114"/>
      <c r="F42" s="114"/>
      <c r="G42" s="114"/>
      <c r="H42" s="194">
        <v>207.96</v>
      </c>
      <c r="I42" s="114"/>
      <c r="J42" s="114"/>
      <c r="K42" s="114"/>
      <c r="L42" s="114"/>
      <c r="M42" s="114"/>
      <c r="N42" s="114"/>
      <c r="O42" s="24">
        <f t="shared" si="3"/>
        <v>207.96</v>
      </c>
    </row>
    <row r="43" spans="1:15" s="102" customFormat="1" ht="12" x14ac:dyDescent="0.25">
      <c r="A43" s="236" t="s">
        <v>330</v>
      </c>
      <c r="B43" s="99" t="s">
        <v>16</v>
      </c>
      <c r="C43" s="100"/>
      <c r="D43" s="100"/>
      <c r="E43" s="100"/>
      <c r="F43" s="100"/>
      <c r="G43" s="100"/>
      <c r="H43" s="100"/>
      <c r="I43" s="100"/>
      <c r="J43" s="100"/>
      <c r="K43" s="100">
        <v>79</v>
      </c>
      <c r="L43" s="100"/>
      <c r="M43" s="100"/>
      <c r="N43" s="100"/>
      <c r="O43" s="101">
        <f t="shared" si="3"/>
        <v>79</v>
      </c>
    </row>
    <row r="44" spans="1:15" s="102" customFormat="1" ht="12" x14ac:dyDescent="0.25">
      <c r="A44" s="235"/>
      <c r="B44" s="99" t="s">
        <v>29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90</v>
      </c>
      <c r="L44" s="100">
        <v>0</v>
      </c>
      <c r="M44" s="100">
        <v>0</v>
      </c>
      <c r="N44" s="100">
        <v>0</v>
      </c>
      <c r="O44" s="103">
        <f t="shared" si="3"/>
        <v>90</v>
      </c>
    </row>
    <row r="45" spans="1:15" s="64" customFormat="1" ht="12.6" customHeight="1" x14ac:dyDescent="0.3">
      <c r="A45" s="155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 t="shared" si="3"/>
        <v>0</v>
      </c>
    </row>
    <row r="46" spans="1:15" s="64" customFormat="1" ht="12.6" customHeight="1" x14ac:dyDescent="0.3">
      <c r="A46" s="156"/>
      <c r="B46" s="7" t="s">
        <v>32</v>
      </c>
      <c r="C46" s="114"/>
      <c r="D46" s="114"/>
      <c r="E46" s="114"/>
      <c r="F46" s="114"/>
      <c r="G46" s="114"/>
      <c r="H46" s="114"/>
      <c r="I46" s="114"/>
      <c r="J46" s="114"/>
      <c r="K46" s="114">
        <v>79</v>
      </c>
      <c r="L46" s="114"/>
      <c r="M46" s="114"/>
      <c r="N46" s="114"/>
      <c r="O46" s="24">
        <f t="shared" si="3"/>
        <v>79</v>
      </c>
    </row>
    <row r="47" spans="1:15" s="102" customFormat="1" ht="14.4" customHeight="1" x14ac:dyDescent="0.25">
      <c r="A47" s="236" t="s">
        <v>331</v>
      </c>
      <c r="B47" s="99" t="s">
        <v>16</v>
      </c>
      <c r="C47" s="100"/>
      <c r="D47" s="100"/>
      <c r="E47" s="100"/>
      <c r="F47" s="100"/>
      <c r="G47" s="100">
        <v>778.53</v>
      </c>
      <c r="H47" s="100"/>
      <c r="I47" s="100"/>
      <c r="J47" s="100"/>
      <c r="K47" s="100"/>
      <c r="L47" s="100"/>
      <c r="M47" s="100">
        <v>4895.3</v>
      </c>
      <c r="N47" s="100"/>
      <c r="O47" s="101">
        <f t="shared" si="3"/>
        <v>5673.83</v>
      </c>
    </row>
    <row r="48" spans="1:15" s="102" customFormat="1" ht="12" x14ac:dyDescent="0.25">
      <c r="A48" s="235"/>
      <c r="B48" s="99" t="s">
        <v>29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6000</v>
      </c>
      <c r="M48" s="100">
        <v>0</v>
      </c>
      <c r="N48" s="100">
        <v>0</v>
      </c>
      <c r="O48" s="103">
        <f t="shared" si="3"/>
        <v>6000</v>
      </c>
    </row>
    <row r="49" spans="1:15" s="64" customFormat="1" ht="12.6" customHeight="1" x14ac:dyDescent="0.3">
      <c r="A49" s="155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 t="shared" si="3"/>
        <v>0</v>
      </c>
    </row>
    <row r="50" spans="1:15" s="64" customFormat="1" ht="12.6" customHeight="1" x14ac:dyDescent="0.3">
      <c r="A50" s="156"/>
      <c r="B50" s="7" t="s">
        <v>32</v>
      </c>
      <c r="C50" s="114"/>
      <c r="D50" s="114"/>
      <c r="E50" s="114"/>
      <c r="F50" s="114"/>
      <c r="G50" s="114"/>
      <c r="H50" s="114"/>
      <c r="I50" s="114"/>
      <c r="J50" s="114"/>
      <c r="K50" s="114">
        <v>271.7</v>
      </c>
      <c r="L50" s="114"/>
      <c r="M50" s="114">
        <v>6854.37</v>
      </c>
      <c r="N50" s="114"/>
      <c r="O50" s="24">
        <f t="shared" si="3"/>
        <v>7126.07</v>
      </c>
    </row>
    <row r="51" spans="1:15" s="102" customFormat="1" ht="12" x14ac:dyDescent="0.25">
      <c r="A51" s="236" t="s">
        <v>332</v>
      </c>
      <c r="B51" s="99" t="s">
        <v>16</v>
      </c>
      <c r="C51" s="100"/>
      <c r="D51" s="100"/>
      <c r="E51" s="100"/>
      <c r="F51" s="100"/>
      <c r="G51" s="100"/>
      <c r="H51" s="100"/>
      <c r="I51" s="100"/>
      <c r="J51" s="100"/>
      <c r="K51" s="100">
        <v>1199.8800000000001</v>
      </c>
      <c r="L51" s="100"/>
      <c r="M51" s="100"/>
      <c r="N51" s="100"/>
      <c r="O51" s="101">
        <f t="shared" si="3"/>
        <v>1199.8800000000001</v>
      </c>
    </row>
    <row r="52" spans="1:15" s="102" customFormat="1" ht="12" x14ac:dyDescent="0.25">
      <c r="A52" s="235"/>
      <c r="B52" s="99" t="s">
        <v>29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1079.8800000000001</v>
      </c>
      <c r="L52" s="100">
        <v>0</v>
      </c>
      <c r="M52" s="100">
        <v>0</v>
      </c>
      <c r="N52" s="100">
        <v>0</v>
      </c>
      <c r="O52" s="103">
        <f t="shared" si="3"/>
        <v>1079.8800000000001</v>
      </c>
    </row>
    <row r="53" spans="1:15" s="64" customFormat="1" ht="12.6" customHeight="1" x14ac:dyDescent="0.3">
      <c r="A53" s="155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 t="shared" si="3"/>
        <v>0</v>
      </c>
    </row>
    <row r="54" spans="1:15" s="64" customFormat="1" ht="12.6" customHeight="1" x14ac:dyDescent="0.3">
      <c r="A54" s="156"/>
      <c r="B54" s="7" t="s">
        <v>32</v>
      </c>
      <c r="C54" s="114"/>
      <c r="D54" s="114"/>
      <c r="E54" s="114"/>
      <c r="F54" s="114"/>
      <c r="G54" s="114"/>
      <c r="H54" s="114"/>
      <c r="I54" s="114"/>
      <c r="J54" s="114"/>
      <c r="K54" s="114">
        <v>1199.8800000000001</v>
      </c>
      <c r="L54" s="114">
        <v>3150</v>
      </c>
      <c r="M54" s="114"/>
      <c r="N54" s="114"/>
      <c r="O54" s="24">
        <f t="shared" si="3"/>
        <v>4349.88</v>
      </c>
    </row>
    <row r="55" spans="1:15" s="102" customFormat="1" ht="12" x14ac:dyDescent="0.25">
      <c r="A55" s="236" t="s">
        <v>333</v>
      </c>
      <c r="B55" s="99" t="s">
        <v>16</v>
      </c>
      <c r="C55" s="100">
        <v>79</v>
      </c>
      <c r="D55" s="100">
        <v>79</v>
      </c>
      <c r="E55" s="100">
        <v>79</v>
      </c>
      <c r="F55" s="100">
        <v>79</v>
      </c>
      <c r="G55" s="100">
        <v>79</v>
      </c>
      <c r="H55" s="100">
        <v>79</v>
      </c>
      <c r="I55" s="100">
        <v>79</v>
      </c>
      <c r="J55" s="100">
        <v>79</v>
      </c>
      <c r="K55" s="100">
        <v>79</v>
      </c>
      <c r="L55" s="100">
        <v>79</v>
      </c>
      <c r="M55" s="100">
        <v>79</v>
      </c>
      <c r="N55" s="100">
        <v>79</v>
      </c>
      <c r="O55" s="101">
        <f t="shared" si="3"/>
        <v>948</v>
      </c>
    </row>
    <row r="56" spans="1:15" s="102" customFormat="1" ht="12" x14ac:dyDescent="0.25">
      <c r="A56" s="235"/>
      <c r="B56" s="99" t="s">
        <v>29</v>
      </c>
      <c r="C56" s="100">
        <v>79</v>
      </c>
      <c r="D56" s="100">
        <v>79</v>
      </c>
      <c r="E56" s="100">
        <v>79</v>
      </c>
      <c r="F56" s="100">
        <v>79</v>
      </c>
      <c r="G56" s="100">
        <v>79</v>
      </c>
      <c r="H56" s="100">
        <v>79</v>
      </c>
      <c r="I56" s="100">
        <v>79</v>
      </c>
      <c r="J56" s="100">
        <v>79</v>
      </c>
      <c r="K56" s="100">
        <v>79</v>
      </c>
      <c r="L56" s="100">
        <v>79</v>
      </c>
      <c r="M56" s="100">
        <v>79</v>
      </c>
      <c r="N56" s="100">
        <v>79</v>
      </c>
      <c r="O56" s="103">
        <f t="shared" si="3"/>
        <v>948</v>
      </c>
    </row>
    <row r="57" spans="1:15" s="64" customFormat="1" ht="12.6" customHeight="1" x14ac:dyDescent="0.3">
      <c r="A57" s="155"/>
      <c r="B57" s="5" t="s">
        <v>31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7">
        <f t="shared" si="3"/>
        <v>0</v>
      </c>
    </row>
    <row r="58" spans="1:15" s="64" customFormat="1" ht="12.6" customHeight="1" x14ac:dyDescent="0.3">
      <c r="A58" s="156"/>
      <c r="B58" s="7" t="s">
        <v>32</v>
      </c>
      <c r="C58" s="114">
        <v>79</v>
      </c>
      <c r="D58" s="114">
        <v>79</v>
      </c>
      <c r="E58" s="114">
        <v>79</v>
      </c>
      <c r="F58" s="114">
        <v>79</v>
      </c>
      <c r="G58" s="114">
        <v>79</v>
      </c>
      <c r="H58" s="114">
        <v>79</v>
      </c>
      <c r="I58" s="114">
        <v>79</v>
      </c>
      <c r="J58" s="114">
        <v>79</v>
      </c>
      <c r="K58" s="114">
        <v>79</v>
      </c>
      <c r="L58" s="114"/>
      <c r="M58" s="114"/>
      <c r="N58" s="114"/>
      <c r="O58" s="24">
        <f t="shared" si="3"/>
        <v>711</v>
      </c>
    </row>
    <row r="59" spans="1:15" s="102" customFormat="1" ht="12" x14ac:dyDescent="0.25">
      <c r="A59" s="236" t="s">
        <v>334</v>
      </c>
      <c r="B59" s="99" t="s">
        <v>16</v>
      </c>
      <c r="C59" s="100">
        <v>50</v>
      </c>
      <c r="D59" s="100">
        <v>50</v>
      </c>
      <c r="E59" s="100">
        <v>50</v>
      </c>
      <c r="F59" s="100"/>
      <c r="G59" s="100">
        <v>40</v>
      </c>
      <c r="H59" s="100">
        <v>40</v>
      </c>
      <c r="I59" s="100">
        <v>40</v>
      </c>
      <c r="J59" s="100">
        <v>40</v>
      </c>
      <c r="K59" s="100">
        <v>40</v>
      </c>
      <c r="L59" s="100">
        <v>40</v>
      </c>
      <c r="M59" s="100">
        <v>40</v>
      </c>
      <c r="N59" s="100">
        <v>40</v>
      </c>
      <c r="O59" s="101">
        <f t="shared" si="3"/>
        <v>470</v>
      </c>
    </row>
    <row r="60" spans="1:15" s="102" customFormat="1" ht="12" x14ac:dyDescent="0.25">
      <c r="A60" s="235"/>
      <c r="B60" s="99" t="s">
        <v>29</v>
      </c>
      <c r="C60" s="100">
        <v>100</v>
      </c>
      <c r="D60" s="100">
        <v>100</v>
      </c>
      <c r="E60" s="100">
        <v>100</v>
      </c>
      <c r="F60" s="100">
        <v>100</v>
      </c>
      <c r="G60" s="100">
        <v>100</v>
      </c>
      <c r="H60" s="100">
        <v>100</v>
      </c>
      <c r="I60" s="100">
        <v>100</v>
      </c>
      <c r="J60" s="100">
        <v>100</v>
      </c>
      <c r="K60" s="100">
        <v>100</v>
      </c>
      <c r="L60" s="100">
        <v>100</v>
      </c>
      <c r="M60" s="100">
        <v>100</v>
      </c>
      <c r="N60" s="100">
        <v>100</v>
      </c>
      <c r="O60" s="103">
        <f t="shared" si="3"/>
        <v>1200</v>
      </c>
    </row>
    <row r="61" spans="1:15" s="64" customFormat="1" ht="12.6" customHeight="1" x14ac:dyDescent="0.3">
      <c r="A61" s="155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 t="shared" si="3"/>
        <v>0</v>
      </c>
    </row>
    <row r="62" spans="1:15" s="64" customFormat="1" ht="12.6" customHeight="1" x14ac:dyDescent="0.3">
      <c r="A62" s="156"/>
      <c r="B62" s="7" t="s">
        <v>32</v>
      </c>
      <c r="C62" s="114"/>
      <c r="D62" s="114"/>
      <c r="E62" s="114">
        <v>500</v>
      </c>
      <c r="F62" s="114"/>
      <c r="G62" s="114"/>
      <c r="H62" s="114"/>
      <c r="I62" s="114"/>
      <c r="J62" s="114"/>
      <c r="K62" s="114"/>
      <c r="L62" s="114"/>
      <c r="M62" s="114"/>
      <c r="N62" s="114"/>
      <c r="O62" s="24">
        <f t="shared" si="3"/>
        <v>500</v>
      </c>
    </row>
    <row r="63" spans="1:15" s="102" customFormat="1" ht="12" x14ac:dyDescent="0.25">
      <c r="A63" s="236" t="s">
        <v>335</v>
      </c>
      <c r="B63" s="99" t="s">
        <v>16</v>
      </c>
      <c r="C63" s="100">
        <v>62.7</v>
      </c>
      <c r="D63" s="100">
        <v>62.7</v>
      </c>
      <c r="E63" s="100">
        <v>62.7</v>
      </c>
      <c r="F63" s="100">
        <v>62.7</v>
      </c>
      <c r="G63" s="100">
        <v>62.7</v>
      </c>
      <c r="H63" s="100">
        <v>62.7</v>
      </c>
      <c r="I63" s="100">
        <v>62.7</v>
      </c>
      <c r="J63" s="100">
        <v>62.7</v>
      </c>
      <c r="K63" s="100">
        <v>62.7</v>
      </c>
      <c r="L63" s="100">
        <v>62.7</v>
      </c>
      <c r="M63" s="100">
        <v>62.7</v>
      </c>
      <c r="N63" s="100">
        <v>62.7</v>
      </c>
      <c r="O63" s="101">
        <f t="shared" si="3"/>
        <v>752.40000000000009</v>
      </c>
    </row>
    <row r="64" spans="1:15" s="102" customFormat="1" ht="12" x14ac:dyDescent="0.25">
      <c r="A64" s="235"/>
      <c r="B64" s="99" t="s">
        <v>29</v>
      </c>
      <c r="C64" s="100">
        <v>63</v>
      </c>
      <c r="D64" s="100">
        <v>63</v>
      </c>
      <c r="E64" s="100">
        <v>63</v>
      </c>
      <c r="F64" s="100">
        <v>63</v>
      </c>
      <c r="G64" s="100">
        <v>63</v>
      </c>
      <c r="H64" s="100">
        <v>63</v>
      </c>
      <c r="I64" s="100">
        <v>63</v>
      </c>
      <c r="J64" s="100">
        <v>63</v>
      </c>
      <c r="K64" s="100">
        <v>63</v>
      </c>
      <c r="L64" s="100">
        <v>63</v>
      </c>
      <c r="M64" s="100">
        <v>63</v>
      </c>
      <c r="N64" s="100">
        <v>63</v>
      </c>
      <c r="O64" s="103">
        <f t="shared" si="3"/>
        <v>756</v>
      </c>
    </row>
    <row r="65" spans="1:15" s="64" customFormat="1" ht="12.6" customHeight="1" x14ac:dyDescent="0.3">
      <c r="A65" s="155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 t="shared" si="3"/>
        <v>0</v>
      </c>
    </row>
    <row r="66" spans="1:15" s="64" customFormat="1" ht="12.6" customHeight="1" x14ac:dyDescent="0.3">
      <c r="A66" s="156"/>
      <c r="B66" s="7" t="s">
        <v>32</v>
      </c>
      <c r="C66" s="114">
        <v>62.7</v>
      </c>
      <c r="D66" s="114">
        <v>62.7</v>
      </c>
      <c r="E66" s="114">
        <v>62.7</v>
      </c>
      <c r="F66" s="114">
        <v>62.7</v>
      </c>
      <c r="G66" s="114">
        <v>62.7</v>
      </c>
      <c r="H66" s="114">
        <v>62.7</v>
      </c>
      <c r="I66" s="114">
        <v>62.7</v>
      </c>
      <c r="J66" s="114">
        <v>62.7</v>
      </c>
      <c r="K66" s="114">
        <v>62.7</v>
      </c>
      <c r="L66" s="114"/>
      <c r="M66" s="114"/>
      <c r="N66" s="114"/>
      <c r="O66" s="24">
        <f t="shared" si="3"/>
        <v>564.29999999999995</v>
      </c>
    </row>
    <row r="67" spans="1:15" s="102" customFormat="1" ht="12.6" customHeight="1" x14ac:dyDescent="0.25">
      <c r="A67" s="236" t="s">
        <v>336</v>
      </c>
      <c r="B67" s="99" t="s">
        <v>16</v>
      </c>
      <c r="C67" s="100">
        <v>150.47999999999999</v>
      </c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1">
        <f t="shared" si="3"/>
        <v>150.47999999999999</v>
      </c>
    </row>
    <row r="68" spans="1:15" s="102" customFormat="1" ht="12" x14ac:dyDescent="0.25">
      <c r="A68" s="235"/>
      <c r="B68" s="99" t="s">
        <v>29</v>
      </c>
      <c r="C68" s="100">
        <v>150.47999999999999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3">
        <f t="shared" si="3"/>
        <v>150.47999999999999</v>
      </c>
    </row>
    <row r="69" spans="1:15" s="64" customFormat="1" x14ac:dyDescent="0.3">
      <c r="A69" s="155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 t="shared" si="3"/>
        <v>0</v>
      </c>
    </row>
    <row r="70" spans="1:15" s="64" customFormat="1" x14ac:dyDescent="0.3">
      <c r="A70" s="156"/>
      <c r="B70" s="7" t="s">
        <v>32</v>
      </c>
      <c r="C70" s="114">
        <v>150.47999999999999</v>
      </c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24">
        <f t="shared" si="3"/>
        <v>150.47999999999999</v>
      </c>
    </row>
    <row r="71" spans="1:15" s="102" customFormat="1" ht="12" x14ac:dyDescent="0.25">
      <c r="A71" s="236" t="s">
        <v>337</v>
      </c>
      <c r="B71" s="99" t="s">
        <v>16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1">
        <f t="shared" si="3"/>
        <v>0</v>
      </c>
    </row>
    <row r="72" spans="1:15" s="102" customFormat="1" ht="12" x14ac:dyDescent="0.25">
      <c r="A72" s="235"/>
      <c r="B72" s="99" t="s">
        <v>29</v>
      </c>
      <c r="C72" s="100">
        <v>99.95</v>
      </c>
      <c r="D72" s="100">
        <v>29.95</v>
      </c>
      <c r="E72" s="100">
        <v>0</v>
      </c>
      <c r="F72" s="100">
        <v>0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3">
        <f t="shared" si="3"/>
        <v>129.9</v>
      </c>
    </row>
    <row r="73" spans="1:15" s="64" customFormat="1" x14ac:dyDescent="0.3">
      <c r="A73" s="155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 t="shared" si="3"/>
        <v>0</v>
      </c>
    </row>
    <row r="74" spans="1:15" s="64" customFormat="1" x14ac:dyDescent="0.3">
      <c r="A74" s="156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24">
        <f t="shared" si="3"/>
        <v>0</v>
      </c>
    </row>
    <row r="75" spans="1:15" s="102" customFormat="1" ht="12" x14ac:dyDescent="0.25">
      <c r="A75" s="236" t="s">
        <v>338</v>
      </c>
      <c r="B75" s="99" t="s">
        <v>16</v>
      </c>
      <c r="C75" s="100">
        <v>11.34</v>
      </c>
      <c r="D75" s="100">
        <v>72.89</v>
      </c>
      <c r="E75" s="100">
        <v>29.84</v>
      </c>
      <c r="F75" s="100">
        <v>62.54</v>
      </c>
      <c r="G75" s="100">
        <v>64.5</v>
      </c>
      <c r="H75" s="100">
        <v>62.7</v>
      </c>
      <c r="I75" s="100">
        <v>69.010000000000005</v>
      </c>
      <c r="J75" s="100">
        <v>9266.2099999999991</v>
      </c>
      <c r="K75" s="100">
        <v>40.26</v>
      </c>
      <c r="L75" s="100">
        <v>52.46</v>
      </c>
      <c r="M75" s="100">
        <v>59.44</v>
      </c>
      <c r="N75" s="100">
        <v>55.32</v>
      </c>
      <c r="O75" s="101">
        <f t="shared" ref="O75:O138" si="4">SUM(C75:N75)</f>
        <v>9846.5099999999984</v>
      </c>
    </row>
    <row r="76" spans="1:15" s="102" customFormat="1" ht="12" x14ac:dyDescent="0.25">
      <c r="A76" s="235"/>
      <c r="B76" s="99" t="s">
        <v>29</v>
      </c>
      <c r="C76" s="100">
        <v>190</v>
      </c>
      <c r="D76" s="100">
        <v>190</v>
      </c>
      <c r="E76" s="100">
        <v>190</v>
      </c>
      <c r="F76" s="100">
        <v>190</v>
      </c>
      <c r="G76" s="100">
        <v>190</v>
      </c>
      <c r="H76" s="100">
        <v>190</v>
      </c>
      <c r="I76" s="100">
        <v>190</v>
      </c>
      <c r="J76" s="100">
        <v>9172</v>
      </c>
      <c r="K76" s="100">
        <v>190</v>
      </c>
      <c r="L76" s="100">
        <v>190</v>
      </c>
      <c r="M76" s="100">
        <v>190</v>
      </c>
      <c r="N76" s="100">
        <v>190</v>
      </c>
      <c r="O76" s="103">
        <f t="shared" si="4"/>
        <v>11262</v>
      </c>
    </row>
    <row r="77" spans="1:15" s="64" customFormat="1" x14ac:dyDescent="0.3">
      <c r="A77" s="154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7">
        <f t="shared" si="4"/>
        <v>0</v>
      </c>
    </row>
    <row r="78" spans="1:15" s="64" customFormat="1" x14ac:dyDescent="0.3">
      <c r="A78" s="157"/>
      <c r="B78" s="7" t="s">
        <v>32</v>
      </c>
      <c r="C78" s="114">
        <v>61.22</v>
      </c>
      <c r="D78" s="114">
        <v>60.73</v>
      </c>
      <c r="E78" s="114">
        <v>30.87</v>
      </c>
      <c r="F78" s="114">
        <v>31.29</v>
      </c>
      <c r="G78" s="114">
        <f>95.58+100.4</f>
        <v>195.98000000000002</v>
      </c>
      <c r="H78" s="114">
        <f>11.47+101.29</f>
        <v>112.76</v>
      </c>
      <c r="I78" s="114">
        <v>103.04</v>
      </c>
      <c r="J78" s="114">
        <f>32.53+43.06+9604.18</f>
        <v>9679.77</v>
      </c>
      <c r="K78" s="114">
        <v>174.91</v>
      </c>
      <c r="L78" s="114"/>
      <c r="M78" s="114"/>
      <c r="N78" s="114"/>
      <c r="O78" s="24">
        <f t="shared" si="4"/>
        <v>10450.57</v>
      </c>
    </row>
    <row r="79" spans="1:15" s="102" customFormat="1" ht="12" x14ac:dyDescent="0.25">
      <c r="A79" s="236" t="s">
        <v>339</v>
      </c>
      <c r="B79" s="99" t="s">
        <v>16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1">
        <f t="shared" si="4"/>
        <v>0</v>
      </c>
    </row>
    <row r="80" spans="1:15" s="102" customFormat="1" ht="12" x14ac:dyDescent="0.25">
      <c r="A80" s="235"/>
      <c r="B80" s="99" t="s">
        <v>29</v>
      </c>
      <c r="C80" s="100">
        <v>0</v>
      </c>
      <c r="D80" s="100">
        <v>5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3">
        <f t="shared" si="4"/>
        <v>5</v>
      </c>
    </row>
    <row r="81" spans="1:15" s="64" customFormat="1" x14ac:dyDescent="0.3">
      <c r="A81" s="154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7">
        <f t="shared" si="4"/>
        <v>0</v>
      </c>
    </row>
    <row r="82" spans="1:15" s="64" customFormat="1" x14ac:dyDescent="0.3">
      <c r="A82" s="157"/>
      <c r="B82" s="7" t="s">
        <v>32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24">
        <f t="shared" si="4"/>
        <v>0</v>
      </c>
    </row>
    <row r="83" spans="1:15" s="102" customFormat="1" ht="14.4" customHeight="1" x14ac:dyDescent="0.25">
      <c r="A83" s="236" t="s">
        <v>340</v>
      </c>
      <c r="B83" s="99" t="s">
        <v>16</v>
      </c>
      <c r="C83" s="100"/>
      <c r="D83" s="100"/>
      <c r="E83" s="100"/>
      <c r="F83" s="100"/>
      <c r="G83" s="100"/>
      <c r="H83" s="100">
        <v>800</v>
      </c>
      <c r="I83" s="100">
        <v>400</v>
      </c>
      <c r="J83" s="100">
        <v>400</v>
      </c>
      <c r="K83" s="100">
        <v>400</v>
      </c>
      <c r="L83" s="100">
        <v>400</v>
      </c>
      <c r="M83" s="100">
        <v>400</v>
      </c>
      <c r="N83" s="100">
        <v>400</v>
      </c>
      <c r="O83" s="101">
        <f t="shared" si="4"/>
        <v>3200</v>
      </c>
    </row>
    <row r="84" spans="1:15" s="102" customFormat="1" ht="12" x14ac:dyDescent="0.25">
      <c r="A84" s="235"/>
      <c r="B84" s="99" t="s">
        <v>29</v>
      </c>
      <c r="C84" s="100">
        <v>400</v>
      </c>
      <c r="D84" s="100">
        <v>400</v>
      </c>
      <c r="E84" s="100">
        <v>400</v>
      </c>
      <c r="F84" s="100">
        <v>4800</v>
      </c>
      <c r="G84" s="100">
        <v>400</v>
      </c>
      <c r="H84" s="100">
        <v>400</v>
      </c>
      <c r="I84" s="100">
        <v>400</v>
      </c>
      <c r="J84" s="100">
        <v>400</v>
      </c>
      <c r="K84" s="100">
        <v>400</v>
      </c>
      <c r="L84" s="100">
        <v>400</v>
      </c>
      <c r="M84" s="100">
        <v>400</v>
      </c>
      <c r="N84" s="100">
        <v>400</v>
      </c>
      <c r="O84" s="103">
        <f t="shared" si="4"/>
        <v>9200</v>
      </c>
    </row>
    <row r="85" spans="1:15" s="64" customFormat="1" x14ac:dyDescent="0.3">
      <c r="A85" s="154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7">
        <f t="shared" si="4"/>
        <v>0</v>
      </c>
    </row>
    <row r="86" spans="1:15" s="64" customFormat="1" x14ac:dyDescent="0.3">
      <c r="A86" s="157"/>
      <c r="B86" s="7" t="s">
        <v>32</v>
      </c>
      <c r="C86" s="114">
        <v>400</v>
      </c>
      <c r="D86" s="114">
        <v>400</v>
      </c>
      <c r="E86" s="114">
        <v>400</v>
      </c>
      <c r="F86" s="114">
        <v>400</v>
      </c>
      <c r="G86" s="114">
        <v>400</v>
      </c>
      <c r="H86" s="114">
        <v>400</v>
      </c>
      <c r="I86" s="114">
        <v>400</v>
      </c>
      <c r="J86" s="114">
        <v>400</v>
      </c>
      <c r="K86" s="114">
        <v>400</v>
      </c>
      <c r="L86" s="114"/>
      <c r="M86" s="114"/>
      <c r="N86" s="114"/>
      <c r="O86" s="24">
        <f t="shared" si="4"/>
        <v>3600</v>
      </c>
    </row>
    <row r="87" spans="1:15" s="102" customFormat="1" ht="12" x14ac:dyDescent="0.25">
      <c r="A87" s="236" t="s">
        <v>341</v>
      </c>
      <c r="B87" s="99" t="s">
        <v>16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1">
        <f t="shared" si="4"/>
        <v>0</v>
      </c>
    </row>
    <row r="88" spans="1:15" s="102" customFormat="1" ht="12" x14ac:dyDescent="0.25">
      <c r="A88" s="235"/>
      <c r="B88" s="99" t="s">
        <v>29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3">
        <f t="shared" si="4"/>
        <v>0</v>
      </c>
    </row>
    <row r="89" spans="1:15" s="64" customFormat="1" x14ac:dyDescent="0.3">
      <c r="A89" s="155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7">
        <f t="shared" si="4"/>
        <v>0</v>
      </c>
    </row>
    <row r="90" spans="1:15" s="64" customFormat="1" x14ac:dyDescent="0.3">
      <c r="A90" s="156"/>
      <c r="B90" s="7" t="s">
        <v>32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24">
        <f t="shared" si="4"/>
        <v>0</v>
      </c>
    </row>
    <row r="91" spans="1:15" s="102" customFormat="1" ht="12" x14ac:dyDescent="0.25">
      <c r="A91" s="236" t="s">
        <v>342</v>
      </c>
      <c r="B91" s="99" t="s">
        <v>16</v>
      </c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1">
        <f t="shared" si="4"/>
        <v>0</v>
      </c>
    </row>
    <row r="92" spans="1:15" s="102" customFormat="1" ht="12" x14ac:dyDescent="0.25">
      <c r="A92" s="235"/>
      <c r="B92" s="99" t="s">
        <v>29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100">
        <v>0</v>
      </c>
      <c r="N92" s="100">
        <v>0</v>
      </c>
      <c r="O92" s="103">
        <f t="shared" si="4"/>
        <v>0</v>
      </c>
    </row>
    <row r="93" spans="1:15" s="64" customFormat="1" x14ac:dyDescent="0.3">
      <c r="A93" s="155"/>
      <c r="B93" s="5" t="s">
        <v>31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7">
        <f t="shared" si="4"/>
        <v>0</v>
      </c>
    </row>
    <row r="94" spans="1:15" s="64" customFormat="1" x14ac:dyDescent="0.3">
      <c r="A94" s="156"/>
      <c r="B94" s="7" t="s">
        <v>32</v>
      </c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24">
        <f t="shared" si="4"/>
        <v>0</v>
      </c>
    </row>
    <row r="95" spans="1:15" s="102" customFormat="1" ht="12" x14ac:dyDescent="0.25">
      <c r="A95" s="236" t="s">
        <v>343</v>
      </c>
      <c r="B95" s="99" t="s">
        <v>16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1">
        <f t="shared" si="4"/>
        <v>0</v>
      </c>
    </row>
    <row r="96" spans="1:15" s="102" customFormat="1" ht="12" x14ac:dyDescent="0.25">
      <c r="A96" s="235"/>
      <c r="B96" s="99" t="s">
        <v>29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747</v>
      </c>
      <c r="K96" s="100">
        <v>0</v>
      </c>
      <c r="L96" s="100">
        <v>0</v>
      </c>
      <c r="M96" s="100">
        <v>0</v>
      </c>
      <c r="N96" s="100">
        <v>0</v>
      </c>
      <c r="O96" s="103">
        <f t="shared" si="4"/>
        <v>747</v>
      </c>
    </row>
    <row r="97" spans="1:15" s="64" customFormat="1" x14ac:dyDescent="0.3">
      <c r="A97" s="155"/>
      <c r="B97" s="5" t="s">
        <v>31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7">
        <f t="shared" si="4"/>
        <v>0</v>
      </c>
    </row>
    <row r="98" spans="1:15" s="64" customFormat="1" x14ac:dyDescent="0.3">
      <c r="A98" s="156"/>
      <c r="B98" s="7" t="s">
        <v>32</v>
      </c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24">
        <f t="shared" si="4"/>
        <v>0</v>
      </c>
    </row>
    <row r="99" spans="1:15" s="102" customFormat="1" ht="12" x14ac:dyDescent="0.25">
      <c r="A99" s="236" t="s">
        <v>344</v>
      </c>
      <c r="B99" s="99" t="s">
        <v>16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1">
        <f t="shared" si="4"/>
        <v>0</v>
      </c>
    </row>
    <row r="100" spans="1:15" s="102" customFormat="1" ht="12" x14ac:dyDescent="0.25">
      <c r="A100" s="235"/>
      <c r="B100" s="99" t="s">
        <v>29</v>
      </c>
      <c r="C100" s="100">
        <v>0</v>
      </c>
      <c r="D100" s="100">
        <v>0</v>
      </c>
      <c r="E100" s="100">
        <v>0</v>
      </c>
      <c r="F100" s="100">
        <v>0</v>
      </c>
      <c r="G100" s="100">
        <v>0</v>
      </c>
      <c r="H100" s="100">
        <v>0</v>
      </c>
      <c r="I100" s="100">
        <v>0</v>
      </c>
      <c r="J100" s="100">
        <v>103.46</v>
      </c>
      <c r="K100" s="100">
        <v>0</v>
      </c>
      <c r="L100" s="100">
        <v>0</v>
      </c>
      <c r="M100" s="100">
        <v>0</v>
      </c>
      <c r="N100" s="100">
        <v>0</v>
      </c>
      <c r="O100" s="103">
        <f t="shared" si="4"/>
        <v>103.46</v>
      </c>
    </row>
    <row r="101" spans="1:15" s="64" customFormat="1" x14ac:dyDescent="0.3">
      <c r="A101" s="155"/>
      <c r="B101" s="5" t="s">
        <v>31</v>
      </c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7">
        <f t="shared" si="4"/>
        <v>0</v>
      </c>
    </row>
    <row r="102" spans="1:15" s="64" customFormat="1" x14ac:dyDescent="0.3">
      <c r="A102" s="156"/>
      <c r="B102" s="7" t="s">
        <v>32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24">
        <f t="shared" si="4"/>
        <v>0</v>
      </c>
    </row>
    <row r="103" spans="1:15" s="102" customFormat="1" ht="12" x14ac:dyDescent="0.25">
      <c r="A103" s="236" t="s">
        <v>345</v>
      </c>
      <c r="B103" s="99" t="s">
        <v>16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1">
        <f t="shared" si="4"/>
        <v>0</v>
      </c>
    </row>
    <row r="104" spans="1:15" s="102" customFormat="1" ht="12" x14ac:dyDescent="0.25">
      <c r="A104" s="235"/>
      <c r="B104" s="99" t="s">
        <v>29</v>
      </c>
      <c r="C104" s="100">
        <v>0</v>
      </c>
      <c r="D104" s="100">
        <v>0</v>
      </c>
      <c r="E104" s="100">
        <v>0</v>
      </c>
      <c r="F104" s="100">
        <v>0</v>
      </c>
      <c r="G104" s="100">
        <v>0</v>
      </c>
      <c r="H104" s="100">
        <v>0</v>
      </c>
      <c r="I104" s="100">
        <v>0</v>
      </c>
      <c r="J104" s="100">
        <v>250.5</v>
      </c>
      <c r="K104" s="100">
        <v>0</v>
      </c>
      <c r="L104" s="100">
        <v>0</v>
      </c>
      <c r="M104" s="100">
        <v>0</v>
      </c>
      <c r="N104" s="100">
        <v>0</v>
      </c>
      <c r="O104" s="103">
        <f t="shared" si="4"/>
        <v>250.5</v>
      </c>
    </row>
    <row r="105" spans="1:15" s="64" customFormat="1" x14ac:dyDescent="0.3">
      <c r="A105" s="155"/>
      <c r="B105" s="5" t="s">
        <v>31</v>
      </c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7">
        <f t="shared" si="4"/>
        <v>0</v>
      </c>
    </row>
    <row r="106" spans="1:15" s="64" customFormat="1" x14ac:dyDescent="0.3">
      <c r="A106" s="156"/>
      <c r="B106" s="7" t="s">
        <v>32</v>
      </c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24">
        <f t="shared" si="4"/>
        <v>0</v>
      </c>
    </row>
    <row r="107" spans="1:15" s="102" customFormat="1" ht="12" x14ac:dyDescent="0.25">
      <c r="A107" s="236" t="s">
        <v>346</v>
      </c>
      <c r="B107" s="99" t="s">
        <v>16</v>
      </c>
      <c r="C107" s="100"/>
      <c r="D107" s="100"/>
      <c r="E107" s="100"/>
      <c r="F107" s="100"/>
      <c r="G107" s="100"/>
      <c r="H107" s="100"/>
      <c r="I107" s="100"/>
      <c r="J107" s="100"/>
      <c r="K107" s="100">
        <v>191.88</v>
      </c>
      <c r="L107" s="100"/>
      <c r="M107" s="100"/>
      <c r="N107" s="100"/>
      <c r="O107" s="101">
        <f t="shared" si="4"/>
        <v>191.88</v>
      </c>
    </row>
    <row r="108" spans="1:15" s="102" customFormat="1" ht="12" x14ac:dyDescent="0.25">
      <c r="A108" s="235"/>
      <c r="B108" s="99" t="s">
        <v>29</v>
      </c>
      <c r="C108" s="100">
        <v>0</v>
      </c>
      <c r="D108" s="100">
        <v>0</v>
      </c>
      <c r="E108" s="100">
        <v>0</v>
      </c>
      <c r="F108" s="100">
        <v>0</v>
      </c>
      <c r="G108" s="100">
        <v>0</v>
      </c>
      <c r="H108" s="100">
        <v>0</v>
      </c>
      <c r="I108" s="100">
        <v>0</v>
      </c>
      <c r="J108" s="100">
        <v>193.8</v>
      </c>
      <c r="K108" s="100">
        <v>200</v>
      </c>
      <c r="L108" s="100">
        <v>0</v>
      </c>
      <c r="M108" s="100">
        <v>0</v>
      </c>
      <c r="N108" s="100">
        <v>0</v>
      </c>
      <c r="O108" s="103">
        <f t="shared" si="4"/>
        <v>393.8</v>
      </c>
    </row>
    <row r="109" spans="1:15" s="64" customFormat="1" x14ac:dyDescent="0.3">
      <c r="A109" s="155"/>
      <c r="B109" s="5" t="s">
        <v>31</v>
      </c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7">
        <f t="shared" si="4"/>
        <v>0</v>
      </c>
    </row>
    <row r="110" spans="1:15" s="64" customFormat="1" x14ac:dyDescent="0.3">
      <c r="A110" s="156"/>
      <c r="B110" s="7" t="s">
        <v>32</v>
      </c>
      <c r="C110" s="114"/>
      <c r="D110" s="114"/>
      <c r="E110" s="114"/>
      <c r="F110" s="114"/>
      <c r="G110" s="114"/>
      <c r="H110" s="114"/>
      <c r="I110" s="114"/>
      <c r="J110" s="137">
        <v>191.88</v>
      </c>
      <c r="K110" s="114"/>
      <c r="L110" s="114"/>
      <c r="M110" s="114"/>
      <c r="N110" s="114"/>
      <c r="O110" s="24">
        <f t="shared" si="4"/>
        <v>191.88</v>
      </c>
    </row>
    <row r="111" spans="1:15" s="102" customFormat="1" ht="12" x14ac:dyDescent="0.25">
      <c r="A111" s="236" t="s">
        <v>347</v>
      </c>
      <c r="B111" s="99" t="s">
        <v>16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1">
        <f t="shared" si="4"/>
        <v>0</v>
      </c>
    </row>
    <row r="112" spans="1:15" s="102" customFormat="1" ht="12" x14ac:dyDescent="0.25">
      <c r="A112" s="235"/>
      <c r="B112" s="99" t="s">
        <v>29</v>
      </c>
      <c r="C112" s="100">
        <v>0</v>
      </c>
      <c r="D112" s="100">
        <v>0</v>
      </c>
      <c r="E112" s="100">
        <v>0</v>
      </c>
      <c r="F112" s="100">
        <v>0</v>
      </c>
      <c r="G112" s="100">
        <v>0</v>
      </c>
      <c r="H112" s="100">
        <v>0</v>
      </c>
      <c r="I112" s="100">
        <v>0</v>
      </c>
      <c r="J112" s="100">
        <v>120</v>
      </c>
      <c r="K112" s="100">
        <v>0</v>
      </c>
      <c r="L112" s="100">
        <v>0</v>
      </c>
      <c r="M112" s="100">
        <v>0</v>
      </c>
      <c r="N112" s="100">
        <v>0</v>
      </c>
      <c r="O112" s="103">
        <f t="shared" si="4"/>
        <v>120</v>
      </c>
    </row>
    <row r="113" spans="1:15" s="64" customFormat="1" x14ac:dyDescent="0.3">
      <c r="A113" s="155"/>
      <c r="B113" s="5" t="s">
        <v>31</v>
      </c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7">
        <f t="shared" si="4"/>
        <v>0</v>
      </c>
    </row>
    <row r="114" spans="1:15" s="64" customFormat="1" x14ac:dyDescent="0.3">
      <c r="A114" s="156"/>
      <c r="B114" s="7" t="s">
        <v>32</v>
      </c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24">
        <f t="shared" si="4"/>
        <v>0</v>
      </c>
    </row>
    <row r="115" spans="1:15" s="102" customFormat="1" ht="12" x14ac:dyDescent="0.25">
      <c r="A115" s="236" t="s">
        <v>348</v>
      </c>
      <c r="B115" s="99" t="s">
        <v>16</v>
      </c>
      <c r="C115" s="100">
        <v>600</v>
      </c>
      <c r="D115" s="100">
        <v>600</v>
      </c>
      <c r="E115" s="100">
        <v>600</v>
      </c>
      <c r="F115" s="100">
        <v>600</v>
      </c>
      <c r="G115" s="100">
        <v>600</v>
      </c>
      <c r="H115" s="100">
        <v>600</v>
      </c>
      <c r="I115" s="100">
        <v>600</v>
      </c>
      <c r="J115" s="100">
        <v>600</v>
      </c>
      <c r="K115" s="100">
        <v>600</v>
      </c>
      <c r="L115" s="100">
        <v>600</v>
      </c>
      <c r="M115" s="100">
        <v>600</v>
      </c>
      <c r="N115" s="100">
        <v>600</v>
      </c>
      <c r="O115" s="103">
        <f t="shared" si="4"/>
        <v>7200</v>
      </c>
    </row>
    <row r="116" spans="1:15" s="102" customFormat="1" ht="12" x14ac:dyDescent="0.25">
      <c r="A116" s="235"/>
      <c r="B116" s="99" t="s">
        <v>29</v>
      </c>
      <c r="C116" s="100">
        <v>600</v>
      </c>
      <c r="D116" s="100">
        <v>600</v>
      </c>
      <c r="E116" s="100">
        <v>600</v>
      </c>
      <c r="F116" s="100">
        <v>600</v>
      </c>
      <c r="G116" s="100">
        <v>600</v>
      </c>
      <c r="H116" s="100">
        <v>600</v>
      </c>
      <c r="I116" s="100">
        <v>600</v>
      </c>
      <c r="J116" s="100">
        <v>600</v>
      </c>
      <c r="K116" s="100">
        <v>600</v>
      </c>
      <c r="L116" s="100">
        <v>600</v>
      </c>
      <c r="M116" s="100">
        <v>600</v>
      </c>
      <c r="N116" s="100">
        <v>600</v>
      </c>
      <c r="O116" s="103">
        <f t="shared" si="4"/>
        <v>7200</v>
      </c>
    </row>
    <row r="117" spans="1:15" s="64" customFormat="1" x14ac:dyDescent="0.3">
      <c r="A117" s="155"/>
      <c r="B117" s="5" t="s">
        <v>31</v>
      </c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7">
        <f t="shared" si="4"/>
        <v>0</v>
      </c>
    </row>
    <row r="118" spans="1:15" s="64" customFormat="1" x14ac:dyDescent="0.3">
      <c r="A118" s="156"/>
      <c r="B118" s="7" t="s">
        <v>32</v>
      </c>
      <c r="C118" s="114">
        <v>600</v>
      </c>
      <c r="D118" s="114">
        <v>600</v>
      </c>
      <c r="E118" s="114">
        <v>600</v>
      </c>
      <c r="F118" s="114">
        <v>600</v>
      </c>
      <c r="G118" s="114">
        <v>600</v>
      </c>
      <c r="H118" s="114">
        <v>600</v>
      </c>
      <c r="I118" s="114">
        <f>3.56+43.89</f>
        <v>47.45</v>
      </c>
      <c r="J118" s="114">
        <v>600</v>
      </c>
      <c r="K118" s="114">
        <v>600</v>
      </c>
      <c r="L118" s="114"/>
      <c r="M118" s="114"/>
      <c r="N118" s="114"/>
      <c r="O118" s="24">
        <f t="shared" si="4"/>
        <v>4847.45</v>
      </c>
    </row>
    <row r="119" spans="1:15" s="102" customFormat="1" ht="12" x14ac:dyDescent="0.25">
      <c r="A119" s="236" t="s">
        <v>349</v>
      </c>
      <c r="B119" s="99" t="s">
        <v>16</v>
      </c>
      <c r="C119" s="100"/>
      <c r="D119" s="100">
        <v>501.56</v>
      </c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3">
        <f t="shared" si="4"/>
        <v>501.56</v>
      </c>
    </row>
    <row r="120" spans="1:15" s="102" customFormat="1" ht="12" x14ac:dyDescent="0.25">
      <c r="A120" s="235"/>
      <c r="B120" s="99" t="s">
        <v>29</v>
      </c>
      <c r="C120" s="100">
        <v>0</v>
      </c>
      <c r="D120" s="100">
        <v>600</v>
      </c>
      <c r="E120" s="100">
        <v>0</v>
      </c>
      <c r="F120" s="100">
        <v>0</v>
      </c>
      <c r="G120" s="100">
        <v>0</v>
      </c>
      <c r="H120" s="100">
        <v>0</v>
      </c>
      <c r="I120" s="100">
        <v>0</v>
      </c>
      <c r="J120" s="100">
        <v>0</v>
      </c>
      <c r="K120" s="100">
        <v>0</v>
      </c>
      <c r="L120" s="100">
        <v>0</v>
      </c>
      <c r="M120" s="100">
        <v>0</v>
      </c>
      <c r="N120" s="100">
        <v>0</v>
      </c>
      <c r="O120" s="103">
        <f t="shared" si="4"/>
        <v>600</v>
      </c>
    </row>
    <row r="121" spans="1:15" s="64" customFormat="1" x14ac:dyDescent="0.3">
      <c r="A121" s="155"/>
      <c r="B121" s="5" t="s">
        <v>31</v>
      </c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7">
        <f t="shared" si="4"/>
        <v>0</v>
      </c>
    </row>
    <row r="122" spans="1:15" s="64" customFormat="1" x14ac:dyDescent="0.3">
      <c r="A122" s="156"/>
      <c r="B122" s="7" t="s">
        <v>32</v>
      </c>
      <c r="C122" s="114"/>
      <c r="D122" s="114">
        <v>626.95000000000005</v>
      </c>
      <c r="E122" s="114"/>
      <c r="F122" s="114"/>
      <c r="G122" s="109">
        <v>95.85</v>
      </c>
      <c r="H122" s="114"/>
      <c r="I122" s="114"/>
      <c r="J122" s="114"/>
      <c r="K122" s="114"/>
      <c r="L122" s="114"/>
      <c r="M122" s="114"/>
      <c r="N122" s="114"/>
      <c r="O122" s="24">
        <f t="shared" si="4"/>
        <v>722.80000000000007</v>
      </c>
    </row>
    <row r="123" spans="1:15" s="102" customFormat="1" ht="12" x14ac:dyDescent="0.25">
      <c r="A123" s="236" t="s">
        <v>350</v>
      </c>
      <c r="B123" s="99" t="s">
        <v>16</v>
      </c>
      <c r="C123" s="100"/>
      <c r="D123" s="100"/>
      <c r="E123" s="100"/>
      <c r="F123" s="100"/>
      <c r="G123" s="100">
        <v>31.35</v>
      </c>
      <c r="H123" s="100">
        <v>31.35</v>
      </c>
      <c r="I123" s="100">
        <v>31.35</v>
      </c>
      <c r="J123" s="100">
        <v>31.35</v>
      </c>
      <c r="K123" s="100">
        <v>31.35</v>
      </c>
      <c r="L123" s="100">
        <v>31.35</v>
      </c>
      <c r="M123" s="100">
        <v>31.35</v>
      </c>
      <c r="N123" s="100">
        <v>31.35</v>
      </c>
      <c r="O123" s="103">
        <f t="shared" si="4"/>
        <v>250.79999999999998</v>
      </c>
    </row>
    <row r="124" spans="1:15" s="102" customFormat="1" ht="12" x14ac:dyDescent="0.25">
      <c r="A124" s="235"/>
      <c r="B124" s="99" t="s">
        <v>29</v>
      </c>
      <c r="C124" s="100">
        <v>0</v>
      </c>
      <c r="D124" s="100">
        <v>525</v>
      </c>
      <c r="E124" s="100">
        <v>0</v>
      </c>
      <c r="F124" s="100">
        <v>0</v>
      </c>
      <c r="G124" s="100">
        <v>0</v>
      </c>
      <c r="H124" s="100">
        <v>0</v>
      </c>
      <c r="I124" s="100">
        <v>0</v>
      </c>
      <c r="J124" s="100">
        <v>0</v>
      </c>
      <c r="K124" s="100">
        <v>0</v>
      </c>
      <c r="L124" s="100">
        <v>525</v>
      </c>
      <c r="M124" s="100">
        <v>0</v>
      </c>
      <c r="N124" s="100">
        <v>0</v>
      </c>
      <c r="O124" s="103">
        <f t="shared" si="4"/>
        <v>1050</v>
      </c>
    </row>
    <row r="125" spans="1:15" s="64" customFormat="1" ht="11.4" customHeight="1" x14ac:dyDescent="0.3">
      <c r="A125" s="155"/>
      <c r="B125" s="5" t="s">
        <v>31</v>
      </c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7">
        <f t="shared" si="4"/>
        <v>0</v>
      </c>
    </row>
    <row r="126" spans="1:15" s="64" customFormat="1" x14ac:dyDescent="0.3">
      <c r="A126" s="156"/>
      <c r="B126" s="7" t="s">
        <v>32</v>
      </c>
      <c r="C126" s="114">
        <v>31.35</v>
      </c>
      <c r="D126" s="114">
        <v>31.35</v>
      </c>
      <c r="E126" s="114">
        <v>31.35</v>
      </c>
      <c r="F126" s="114">
        <v>31.35</v>
      </c>
      <c r="G126" s="114">
        <v>37.619999999999997</v>
      </c>
      <c r="H126" s="114">
        <v>37.619999999999997</v>
      </c>
      <c r="I126" s="114">
        <f>3.56+43.89</f>
        <v>47.45</v>
      </c>
      <c r="J126" s="114">
        <v>43.89</v>
      </c>
      <c r="K126" s="114">
        <v>43.89</v>
      </c>
      <c r="L126" s="114"/>
      <c r="M126" s="114"/>
      <c r="N126" s="114"/>
      <c r="O126" s="24">
        <f t="shared" si="4"/>
        <v>335.87</v>
      </c>
    </row>
    <row r="127" spans="1:15" s="102" customFormat="1" ht="12" x14ac:dyDescent="0.25">
      <c r="A127" s="236" t="s">
        <v>351</v>
      </c>
      <c r="B127" s="99" t="s">
        <v>16</v>
      </c>
      <c r="C127" s="100">
        <v>374.73</v>
      </c>
      <c r="D127" s="100">
        <v>313.44</v>
      </c>
      <c r="E127" s="100">
        <v>302.94</v>
      </c>
      <c r="F127" s="100">
        <v>328.38</v>
      </c>
      <c r="G127" s="100">
        <v>412.69</v>
      </c>
      <c r="H127" s="100">
        <v>290.72000000000003</v>
      </c>
      <c r="I127" s="100">
        <v>207.12</v>
      </c>
      <c r="J127" s="100">
        <v>251.87</v>
      </c>
      <c r="K127" s="100">
        <v>281.49</v>
      </c>
      <c r="L127" s="100">
        <v>287.74</v>
      </c>
      <c r="M127" s="100">
        <v>302.38</v>
      </c>
      <c r="N127" s="100">
        <v>302.5</v>
      </c>
      <c r="O127" s="103">
        <f t="shared" si="4"/>
        <v>3656</v>
      </c>
    </row>
    <row r="128" spans="1:15" s="102" customFormat="1" ht="12" x14ac:dyDescent="0.25">
      <c r="A128" s="235"/>
      <c r="B128" s="99" t="s">
        <v>29</v>
      </c>
      <c r="C128" s="100">
        <v>500</v>
      </c>
      <c r="D128" s="100">
        <v>500</v>
      </c>
      <c r="E128" s="100">
        <v>500</v>
      </c>
      <c r="F128" s="100">
        <v>500</v>
      </c>
      <c r="G128" s="100">
        <v>500</v>
      </c>
      <c r="H128" s="100">
        <v>500</v>
      </c>
      <c r="I128" s="100">
        <v>500</v>
      </c>
      <c r="J128" s="100">
        <v>500</v>
      </c>
      <c r="K128" s="100">
        <v>500</v>
      </c>
      <c r="L128" s="100">
        <v>500</v>
      </c>
      <c r="M128" s="100">
        <v>500</v>
      </c>
      <c r="N128" s="100">
        <v>500</v>
      </c>
      <c r="O128" s="103">
        <f t="shared" si="4"/>
        <v>6000</v>
      </c>
    </row>
    <row r="129" spans="1:15" s="64" customFormat="1" x14ac:dyDescent="0.3">
      <c r="A129" s="155"/>
      <c r="B129" s="5" t="s">
        <v>31</v>
      </c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7">
        <f t="shared" si="4"/>
        <v>0</v>
      </c>
    </row>
    <row r="130" spans="1:15" s="64" customFormat="1" x14ac:dyDescent="0.3">
      <c r="A130" s="156"/>
      <c r="B130" s="7" t="s">
        <v>32</v>
      </c>
      <c r="C130" s="113">
        <v>243.69</v>
      </c>
      <c r="D130" s="113">
        <v>234.03</v>
      </c>
      <c r="E130" s="113">
        <v>257</v>
      </c>
      <c r="F130" s="113">
        <v>1184.81</v>
      </c>
      <c r="G130" s="113">
        <f>887.19+313.41</f>
        <v>1200.6000000000001</v>
      </c>
      <c r="H130" s="113">
        <f>888.13+304.14</f>
        <v>1192.27</v>
      </c>
      <c r="I130" s="194">
        <v>887.54</v>
      </c>
      <c r="J130" s="113">
        <f>887.19+313+258.86</f>
        <v>1459.0500000000002</v>
      </c>
      <c r="K130" s="113">
        <v>966.62</v>
      </c>
      <c r="L130" s="113"/>
      <c r="M130" s="113"/>
      <c r="N130" s="114"/>
      <c r="O130" s="24">
        <f t="shared" si="4"/>
        <v>7625.61</v>
      </c>
    </row>
    <row r="131" spans="1:15" s="102" customFormat="1" ht="12" x14ac:dyDescent="0.25">
      <c r="A131" s="236" t="s">
        <v>352</v>
      </c>
      <c r="B131" s="99" t="s">
        <v>16</v>
      </c>
      <c r="C131" s="104">
        <v>3657.5</v>
      </c>
      <c r="D131" s="104">
        <v>3657.5</v>
      </c>
      <c r="E131" s="104">
        <v>3657.5</v>
      </c>
      <c r="F131" s="104">
        <v>3657.5</v>
      </c>
      <c r="G131" s="104">
        <v>3657.5</v>
      </c>
      <c r="H131" s="104">
        <v>3657.5</v>
      </c>
      <c r="I131" s="104">
        <v>3657.5</v>
      </c>
      <c r="J131" s="104">
        <v>3657.5</v>
      </c>
      <c r="K131" s="104">
        <v>3657.5</v>
      </c>
      <c r="L131" s="104">
        <v>3657.5</v>
      </c>
      <c r="M131" s="104">
        <v>3657.5</v>
      </c>
      <c r="N131" s="100">
        <v>3657.5</v>
      </c>
      <c r="O131" s="101">
        <f t="shared" si="4"/>
        <v>43890</v>
      </c>
    </row>
    <row r="132" spans="1:15" s="102" customFormat="1" ht="12" x14ac:dyDescent="0.25">
      <c r="A132" s="235"/>
      <c r="B132" s="99" t="s">
        <v>29</v>
      </c>
      <c r="C132" s="100">
        <v>3657</v>
      </c>
      <c r="D132" s="100">
        <v>3657</v>
      </c>
      <c r="E132" s="100">
        <v>3657</v>
      </c>
      <c r="F132" s="100">
        <v>3657</v>
      </c>
      <c r="G132" s="100">
        <v>3657</v>
      </c>
      <c r="H132" s="100">
        <v>3657</v>
      </c>
      <c r="I132" s="100">
        <v>3657</v>
      </c>
      <c r="J132" s="100">
        <v>3657</v>
      </c>
      <c r="K132" s="100">
        <v>3657</v>
      </c>
      <c r="L132" s="100">
        <v>3657</v>
      </c>
      <c r="M132" s="100">
        <v>3657</v>
      </c>
      <c r="N132" s="100">
        <v>3657</v>
      </c>
      <c r="O132" s="103">
        <f t="shared" si="4"/>
        <v>43884</v>
      </c>
    </row>
    <row r="133" spans="1:15" s="64" customFormat="1" x14ac:dyDescent="0.3">
      <c r="A133" s="155"/>
      <c r="B133" s="5" t="s">
        <v>31</v>
      </c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7">
        <f t="shared" si="4"/>
        <v>0</v>
      </c>
    </row>
    <row r="134" spans="1:15" s="64" customFormat="1" x14ac:dyDescent="0.3">
      <c r="A134" s="156"/>
      <c r="B134" s="7" t="s">
        <v>32</v>
      </c>
      <c r="C134" s="114">
        <v>3657.5</v>
      </c>
      <c r="D134" s="114">
        <v>3657.5</v>
      </c>
      <c r="E134" s="114">
        <v>3657.5</v>
      </c>
      <c r="F134" s="114">
        <v>3657.5</v>
      </c>
      <c r="G134" s="114">
        <v>3657.5</v>
      </c>
      <c r="H134" s="114">
        <v>3657.5</v>
      </c>
      <c r="I134" s="114">
        <v>3657.5</v>
      </c>
      <c r="J134" s="114">
        <v>3857.5</v>
      </c>
      <c r="K134" s="114"/>
      <c r="L134" s="114"/>
      <c r="M134" s="114"/>
      <c r="N134" s="114"/>
      <c r="O134" s="24">
        <f t="shared" si="4"/>
        <v>29460</v>
      </c>
    </row>
    <row r="135" spans="1:15" s="102" customFormat="1" ht="12" x14ac:dyDescent="0.25">
      <c r="A135" s="236" t="s">
        <v>353</v>
      </c>
      <c r="B135" s="99" t="s">
        <v>16</v>
      </c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1">
        <f t="shared" si="4"/>
        <v>0</v>
      </c>
    </row>
    <row r="136" spans="1:15" s="102" customFormat="1" ht="12" x14ac:dyDescent="0.25">
      <c r="A136" s="235"/>
      <c r="B136" s="99" t="s">
        <v>29</v>
      </c>
      <c r="C136" s="100">
        <v>80</v>
      </c>
      <c r="D136" s="100">
        <v>80</v>
      </c>
      <c r="E136" s="100">
        <v>80</v>
      </c>
      <c r="F136" s="100">
        <v>80</v>
      </c>
      <c r="G136" s="100">
        <v>80</v>
      </c>
      <c r="H136" s="100">
        <v>80</v>
      </c>
      <c r="I136" s="100">
        <v>80</v>
      </c>
      <c r="J136" s="100">
        <v>80</v>
      </c>
      <c r="K136" s="100">
        <v>80</v>
      </c>
      <c r="L136" s="100">
        <v>80</v>
      </c>
      <c r="M136" s="100">
        <v>80</v>
      </c>
      <c r="N136" s="100">
        <v>80</v>
      </c>
      <c r="O136" s="103">
        <f t="shared" si="4"/>
        <v>960</v>
      </c>
    </row>
    <row r="137" spans="1:15" s="64" customFormat="1" x14ac:dyDescent="0.3">
      <c r="A137" s="155"/>
      <c r="B137" s="5" t="s">
        <v>31</v>
      </c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7">
        <f t="shared" si="4"/>
        <v>0</v>
      </c>
    </row>
    <row r="138" spans="1:15" s="64" customFormat="1" x14ac:dyDescent="0.3">
      <c r="A138" s="156"/>
      <c r="B138" s="7" t="s">
        <v>32</v>
      </c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24">
        <f t="shared" si="4"/>
        <v>0</v>
      </c>
    </row>
    <row r="139" spans="1:15" s="102" customFormat="1" ht="12" x14ac:dyDescent="0.25">
      <c r="A139" s="236" t="s">
        <v>354</v>
      </c>
      <c r="B139" s="99" t="s">
        <v>16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1">
        <f t="shared" ref="O139:O202" si="5">SUM(C139:N139)</f>
        <v>0</v>
      </c>
    </row>
    <row r="140" spans="1:15" s="102" customFormat="1" ht="12" x14ac:dyDescent="0.25">
      <c r="A140" s="235"/>
      <c r="B140" s="99" t="s">
        <v>29</v>
      </c>
      <c r="C140" s="100">
        <v>0</v>
      </c>
      <c r="D140" s="100">
        <v>0</v>
      </c>
      <c r="E140" s="100">
        <v>0</v>
      </c>
      <c r="F140" s="100">
        <v>0</v>
      </c>
      <c r="G140" s="100">
        <v>0</v>
      </c>
      <c r="H140" s="100">
        <v>600</v>
      </c>
      <c r="I140" s="100">
        <v>0</v>
      </c>
      <c r="J140" s="100">
        <v>0</v>
      </c>
      <c r="K140" s="100">
        <v>0</v>
      </c>
      <c r="L140" s="100">
        <v>0</v>
      </c>
      <c r="M140" s="100">
        <v>0</v>
      </c>
      <c r="N140" s="100">
        <v>0</v>
      </c>
      <c r="O140" s="103">
        <f t="shared" si="5"/>
        <v>600</v>
      </c>
    </row>
    <row r="141" spans="1:15" s="64" customFormat="1" x14ac:dyDescent="0.3">
      <c r="A141" s="155"/>
      <c r="B141" s="5" t="s">
        <v>31</v>
      </c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7">
        <f t="shared" si="5"/>
        <v>0</v>
      </c>
    </row>
    <row r="142" spans="1:15" s="64" customFormat="1" x14ac:dyDescent="0.3">
      <c r="A142" s="156"/>
      <c r="B142" s="7" t="s">
        <v>32</v>
      </c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24">
        <f t="shared" si="5"/>
        <v>0</v>
      </c>
    </row>
    <row r="143" spans="1:15" s="102" customFormat="1" ht="12" x14ac:dyDescent="0.25">
      <c r="A143" s="236" t="s">
        <v>355</v>
      </c>
      <c r="B143" s="99" t="s">
        <v>16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1">
        <f t="shared" si="5"/>
        <v>0</v>
      </c>
    </row>
    <row r="144" spans="1:15" s="102" customFormat="1" ht="12" x14ac:dyDescent="0.25">
      <c r="A144" s="235"/>
      <c r="B144" s="99" t="s">
        <v>29</v>
      </c>
      <c r="C144" s="100">
        <v>150</v>
      </c>
      <c r="D144" s="100">
        <v>150</v>
      </c>
      <c r="E144" s="100">
        <v>150</v>
      </c>
      <c r="F144" s="100">
        <v>150</v>
      </c>
      <c r="G144" s="100">
        <v>150</v>
      </c>
      <c r="H144" s="100">
        <v>150</v>
      </c>
      <c r="I144" s="100">
        <v>150</v>
      </c>
      <c r="J144" s="100">
        <v>150</v>
      </c>
      <c r="K144" s="100">
        <v>150</v>
      </c>
      <c r="L144" s="100">
        <v>150</v>
      </c>
      <c r="M144" s="100">
        <v>150</v>
      </c>
      <c r="N144" s="100">
        <v>150</v>
      </c>
      <c r="O144" s="103">
        <f t="shared" si="5"/>
        <v>1800</v>
      </c>
    </row>
    <row r="145" spans="1:15" s="64" customFormat="1" x14ac:dyDescent="0.3">
      <c r="A145" s="155"/>
      <c r="B145" s="5" t="s">
        <v>31</v>
      </c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7">
        <f t="shared" si="5"/>
        <v>0</v>
      </c>
    </row>
    <row r="146" spans="1:15" s="64" customFormat="1" x14ac:dyDescent="0.3">
      <c r="A146" s="156"/>
      <c r="B146" s="7" t="s">
        <v>32</v>
      </c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24">
        <f t="shared" si="5"/>
        <v>0</v>
      </c>
    </row>
    <row r="147" spans="1:15" s="102" customFormat="1" ht="12" x14ac:dyDescent="0.25">
      <c r="A147" s="236" t="s">
        <v>356</v>
      </c>
      <c r="B147" s="99" t="s">
        <v>16</v>
      </c>
      <c r="C147" s="100">
        <v>250.68</v>
      </c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1">
        <f t="shared" si="5"/>
        <v>250.68</v>
      </c>
    </row>
    <row r="148" spans="1:15" s="102" customFormat="1" ht="12" x14ac:dyDescent="0.25">
      <c r="A148" s="235"/>
      <c r="B148" s="99" t="s">
        <v>29</v>
      </c>
      <c r="C148" s="100">
        <v>0</v>
      </c>
      <c r="D148" s="100">
        <v>0</v>
      </c>
      <c r="E148" s="100">
        <v>0</v>
      </c>
      <c r="F148" s="100">
        <v>0</v>
      </c>
      <c r="G148" s="100">
        <v>0</v>
      </c>
      <c r="H148" s="100">
        <v>0</v>
      </c>
      <c r="I148" s="100">
        <v>0</v>
      </c>
      <c r="J148" s="100">
        <v>0</v>
      </c>
      <c r="K148" s="100">
        <v>0</v>
      </c>
      <c r="L148" s="100">
        <v>0</v>
      </c>
      <c r="M148" s="100">
        <v>0</v>
      </c>
      <c r="N148" s="100">
        <v>0</v>
      </c>
      <c r="O148" s="103">
        <f t="shared" si="5"/>
        <v>0</v>
      </c>
    </row>
    <row r="149" spans="1:15" s="64" customFormat="1" x14ac:dyDescent="0.3">
      <c r="A149" s="155"/>
      <c r="B149" s="5" t="s">
        <v>31</v>
      </c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7">
        <f t="shared" si="5"/>
        <v>0</v>
      </c>
    </row>
    <row r="150" spans="1:15" s="64" customFormat="1" x14ac:dyDescent="0.3">
      <c r="A150" s="156"/>
      <c r="B150" s="7" t="s">
        <v>32</v>
      </c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24">
        <f t="shared" si="5"/>
        <v>0</v>
      </c>
    </row>
    <row r="151" spans="1:15" s="102" customFormat="1" ht="12" x14ac:dyDescent="0.25">
      <c r="A151" s="236" t="s">
        <v>357</v>
      </c>
      <c r="B151" s="99" t="s">
        <v>16</v>
      </c>
      <c r="C151" s="100"/>
      <c r="D151" s="100"/>
      <c r="E151" s="100"/>
      <c r="F151" s="100">
        <v>299</v>
      </c>
      <c r="G151" s="100"/>
      <c r="H151" s="100"/>
      <c r="I151" s="100"/>
      <c r="J151" s="100"/>
      <c r="K151" s="100"/>
      <c r="L151" s="100"/>
      <c r="M151" s="100"/>
      <c r="N151" s="100"/>
      <c r="O151" s="101">
        <f t="shared" si="5"/>
        <v>299</v>
      </c>
    </row>
    <row r="152" spans="1:15" s="102" customFormat="1" ht="12" x14ac:dyDescent="0.25">
      <c r="A152" s="235"/>
      <c r="B152" s="99" t="s">
        <v>29</v>
      </c>
      <c r="C152" s="100">
        <v>0</v>
      </c>
      <c r="D152" s="100">
        <v>0</v>
      </c>
      <c r="E152" s="100">
        <v>0</v>
      </c>
      <c r="F152" s="100">
        <v>0</v>
      </c>
      <c r="G152" s="100">
        <v>0</v>
      </c>
      <c r="H152" s="100">
        <v>0</v>
      </c>
      <c r="I152" s="100">
        <v>0</v>
      </c>
      <c r="J152" s="100">
        <v>0</v>
      </c>
      <c r="K152" s="100">
        <v>0</v>
      </c>
      <c r="L152" s="100">
        <v>0</v>
      </c>
      <c r="M152" s="100">
        <v>0</v>
      </c>
      <c r="N152" s="100">
        <v>0</v>
      </c>
      <c r="O152" s="103">
        <f t="shared" si="5"/>
        <v>0</v>
      </c>
    </row>
    <row r="153" spans="1:15" s="64" customFormat="1" x14ac:dyDescent="0.3">
      <c r="A153" s="155"/>
      <c r="B153" s="5" t="s">
        <v>31</v>
      </c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7">
        <f t="shared" si="5"/>
        <v>0</v>
      </c>
    </row>
    <row r="154" spans="1:15" s="64" customFormat="1" x14ac:dyDescent="0.3">
      <c r="A154" s="156"/>
      <c r="B154" s="7" t="s">
        <v>32</v>
      </c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24">
        <f t="shared" si="5"/>
        <v>0</v>
      </c>
    </row>
    <row r="155" spans="1:15" s="102" customFormat="1" ht="12" x14ac:dyDescent="0.25">
      <c r="A155" s="236" t="s">
        <v>358</v>
      </c>
      <c r="B155" s="99" t="s">
        <v>16</v>
      </c>
      <c r="C155" s="100"/>
      <c r="D155" s="100"/>
      <c r="E155" s="100"/>
      <c r="F155" s="100"/>
      <c r="G155" s="100"/>
      <c r="H155" s="100"/>
      <c r="I155" s="100"/>
      <c r="J155" s="100"/>
      <c r="K155" s="100">
        <v>349</v>
      </c>
      <c r="L155" s="100">
        <v>349</v>
      </c>
      <c r="M155" s="100">
        <v>349</v>
      </c>
      <c r="N155" s="100">
        <v>349</v>
      </c>
      <c r="O155" s="101">
        <f t="shared" si="5"/>
        <v>1396</v>
      </c>
    </row>
    <row r="156" spans="1:15" s="102" customFormat="1" ht="12" x14ac:dyDescent="0.25">
      <c r="A156" s="235"/>
      <c r="B156" s="99" t="s">
        <v>29</v>
      </c>
      <c r="C156" s="100">
        <v>349</v>
      </c>
      <c r="D156" s="100">
        <v>349</v>
      </c>
      <c r="E156" s="100">
        <v>349</v>
      </c>
      <c r="F156" s="100">
        <v>349</v>
      </c>
      <c r="G156" s="100">
        <v>349</v>
      </c>
      <c r="H156" s="100">
        <v>349</v>
      </c>
      <c r="I156" s="100">
        <v>349</v>
      </c>
      <c r="J156" s="100">
        <v>349</v>
      </c>
      <c r="K156" s="100">
        <v>349</v>
      </c>
      <c r="L156" s="100">
        <v>349</v>
      </c>
      <c r="M156" s="100">
        <v>349</v>
      </c>
      <c r="N156" s="100">
        <v>349</v>
      </c>
      <c r="O156" s="103">
        <f t="shared" si="5"/>
        <v>4188</v>
      </c>
    </row>
    <row r="157" spans="1:15" s="64" customFormat="1" x14ac:dyDescent="0.3">
      <c r="A157" s="155"/>
      <c r="B157" s="5" t="s">
        <v>31</v>
      </c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7">
        <f t="shared" si="5"/>
        <v>0</v>
      </c>
    </row>
    <row r="158" spans="1:15" s="64" customFormat="1" x14ac:dyDescent="0.3">
      <c r="A158" s="156"/>
      <c r="B158" s="7" t="s">
        <v>32</v>
      </c>
      <c r="C158" s="114">
        <v>349</v>
      </c>
      <c r="D158" s="114">
        <v>349</v>
      </c>
      <c r="E158" s="114">
        <v>349</v>
      </c>
      <c r="F158" s="114">
        <v>349</v>
      </c>
      <c r="G158" s="114">
        <v>349</v>
      </c>
      <c r="H158" s="114">
        <v>349</v>
      </c>
      <c r="I158" s="114">
        <v>349</v>
      </c>
      <c r="J158" s="137">
        <v>349</v>
      </c>
      <c r="K158" s="114">
        <v>349</v>
      </c>
      <c r="L158" s="114"/>
      <c r="M158" s="114"/>
      <c r="N158" s="114"/>
      <c r="O158" s="24">
        <f t="shared" si="5"/>
        <v>3141</v>
      </c>
    </row>
    <row r="159" spans="1:15" s="102" customFormat="1" ht="12" x14ac:dyDescent="0.25">
      <c r="A159" s="236" t="s">
        <v>359</v>
      </c>
      <c r="B159" s="99" t="s">
        <v>16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>
        <v>396.06</v>
      </c>
      <c r="O159" s="101">
        <f t="shared" si="5"/>
        <v>396.06</v>
      </c>
    </row>
    <row r="160" spans="1:15" s="102" customFormat="1" ht="12" x14ac:dyDescent="0.25">
      <c r="A160" s="235"/>
      <c r="B160" s="99" t="s">
        <v>29</v>
      </c>
      <c r="C160" s="100">
        <v>380</v>
      </c>
      <c r="D160" s="100">
        <v>380</v>
      </c>
      <c r="E160" s="100">
        <v>380</v>
      </c>
      <c r="F160" s="100">
        <v>380</v>
      </c>
      <c r="G160" s="100">
        <v>380</v>
      </c>
      <c r="H160" s="100">
        <v>380</v>
      </c>
      <c r="I160" s="100">
        <v>380</v>
      </c>
      <c r="J160" s="100">
        <v>380</v>
      </c>
      <c r="K160" s="100">
        <v>380</v>
      </c>
      <c r="L160" s="100">
        <v>380</v>
      </c>
      <c r="M160" s="100">
        <v>380</v>
      </c>
      <c r="N160" s="100">
        <v>380</v>
      </c>
      <c r="O160" s="103">
        <f t="shared" si="5"/>
        <v>4560</v>
      </c>
    </row>
    <row r="161" spans="1:15" s="64" customFormat="1" x14ac:dyDescent="0.3">
      <c r="A161" s="155"/>
      <c r="B161" s="5" t="s">
        <v>31</v>
      </c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7">
        <f t="shared" si="5"/>
        <v>0</v>
      </c>
    </row>
    <row r="162" spans="1:15" s="64" customFormat="1" ht="22.8" x14ac:dyDescent="0.4">
      <c r="A162" s="156"/>
      <c r="B162" s="7" t="s">
        <v>32</v>
      </c>
      <c r="C162" s="114">
        <v>396.06</v>
      </c>
      <c r="D162" s="114">
        <v>396.06</v>
      </c>
      <c r="E162" s="114">
        <v>396.06</v>
      </c>
      <c r="F162" s="114"/>
      <c r="G162" s="110">
        <v>1972.96</v>
      </c>
      <c r="H162" s="196">
        <v>1972.96</v>
      </c>
      <c r="I162" s="114"/>
      <c r="J162" s="113"/>
      <c r="K162" s="114"/>
      <c r="L162" s="114"/>
      <c r="M162" s="114"/>
      <c r="N162" s="114"/>
      <c r="O162" s="24">
        <f t="shared" si="5"/>
        <v>5134.1000000000004</v>
      </c>
    </row>
    <row r="163" spans="1:15" s="102" customFormat="1" ht="12" x14ac:dyDescent="0.25">
      <c r="A163" s="236" t="s">
        <v>360</v>
      </c>
      <c r="B163" s="99" t="s">
        <v>16</v>
      </c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1">
        <f t="shared" si="5"/>
        <v>0</v>
      </c>
    </row>
    <row r="164" spans="1:15" s="102" customFormat="1" ht="12" x14ac:dyDescent="0.25">
      <c r="A164" s="235"/>
      <c r="B164" s="99" t="s">
        <v>29</v>
      </c>
      <c r="C164" s="100">
        <v>0</v>
      </c>
      <c r="D164" s="100">
        <v>0</v>
      </c>
      <c r="E164" s="100">
        <v>0</v>
      </c>
      <c r="F164" s="100">
        <v>0</v>
      </c>
      <c r="G164" s="100">
        <v>0</v>
      </c>
      <c r="H164" s="100">
        <v>0</v>
      </c>
      <c r="I164" s="100">
        <v>0</v>
      </c>
      <c r="J164" s="100">
        <v>0</v>
      </c>
      <c r="K164" s="100">
        <v>0</v>
      </c>
      <c r="L164" s="100">
        <v>0</v>
      </c>
      <c r="M164" s="100">
        <v>5200</v>
      </c>
      <c r="N164" s="100">
        <v>0</v>
      </c>
      <c r="O164" s="103">
        <f t="shared" si="5"/>
        <v>5200</v>
      </c>
    </row>
    <row r="165" spans="1:15" s="64" customFormat="1" x14ac:dyDescent="0.3">
      <c r="A165" s="155"/>
      <c r="B165" s="5" t="s">
        <v>31</v>
      </c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7">
        <f t="shared" si="5"/>
        <v>0</v>
      </c>
    </row>
    <row r="166" spans="1:15" s="64" customFormat="1" x14ac:dyDescent="0.3">
      <c r="A166" s="156"/>
      <c r="B166" s="7" t="s">
        <v>32</v>
      </c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24">
        <f t="shared" si="5"/>
        <v>0</v>
      </c>
    </row>
    <row r="167" spans="1:15" s="102" customFormat="1" ht="12" x14ac:dyDescent="0.25">
      <c r="A167" s="236" t="s">
        <v>361</v>
      </c>
      <c r="B167" s="99" t="s">
        <v>16</v>
      </c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1">
        <f t="shared" si="5"/>
        <v>0</v>
      </c>
    </row>
    <row r="168" spans="1:15" s="102" customFormat="1" ht="12" x14ac:dyDescent="0.25">
      <c r="A168" s="235"/>
      <c r="B168" s="99" t="s">
        <v>29</v>
      </c>
      <c r="C168" s="100">
        <v>0</v>
      </c>
      <c r="D168" s="100">
        <v>0</v>
      </c>
      <c r="E168" s="100">
        <v>0</v>
      </c>
      <c r="F168" s="100">
        <v>0</v>
      </c>
      <c r="G168" s="100">
        <v>0</v>
      </c>
      <c r="H168" s="100">
        <v>0</v>
      </c>
      <c r="I168" s="100">
        <v>0</v>
      </c>
      <c r="J168" s="100">
        <v>0</v>
      </c>
      <c r="K168" s="100">
        <v>0</v>
      </c>
      <c r="L168" s="100">
        <v>0</v>
      </c>
      <c r="M168" s="100">
        <v>0</v>
      </c>
      <c r="N168" s="100">
        <v>0</v>
      </c>
      <c r="O168" s="103">
        <f t="shared" si="5"/>
        <v>0</v>
      </c>
    </row>
    <row r="169" spans="1:15" s="64" customFormat="1" x14ac:dyDescent="0.3">
      <c r="A169" s="155"/>
      <c r="B169" s="5" t="s">
        <v>31</v>
      </c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7">
        <f t="shared" si="5"/>
        <v>0</v>
      </c>
    </row>
    <row r="170" spans="1:15" s="64" customFormat="1" x14ac:dyDescent="0.3">
      <c r="A170" s="156"/>
      <c r="B170" s="7" t="s">
        <v>32</v>
      </c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24">
        <f t="shared" si="5"/>
        <v>0</v>
      </c>
    </row>
    <row r="171" spans="1:15" s="102" customFormat="1" ht="12" x14ac:dyDescent="0.25">
      <c r="A171" s="236" t="s">
        <v>362</v>
      </c>
      <c r="B171" s="99" t="s">
        <v>16</v>
      </c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1">
        <f t="shared" si="5"/>
        <v>0</v>
      </c>
    </row>
    <row r="172" spans="1:15" s="102" customFormat="1" ht="12" x14ac:dyDescent="0.25">
      <c r="A172" s="235"/>
      <c r="B172" s="99" t="s">
        <v>29</v>
      </c>
      <c r="C172" s="100">
        <v>105</v>
      </c>
      <c r="D172" s="100">
        <v>105</v>
      </c>
      <c r="E172" s="100">
        <v>105</v>
      </c>
      <c r="F172" s="100">
        <v>105</v>
      </c>
      <c r="G172" s="100">
        <v>105</v>
      </c>
      <c r="H172" s="100">
        <v>105</v>
      </c>
      <c r="I172" s="100">
        <v>105</v>
      </c>
      <c r="J172" s="100">
        <v>105</v>
      </c>
      <c r="K172" s="100">
        <v>105</v>
      </c>
      <c r="L172" s="100">
        <v>105</v>
      </c>
      <c r="M172" s="100">
        <v>105</v>
      </c>
      <c r="N172" s="100">
        <v>105</v>
      </c>
      <c r="O172" s="103">
        <f t="shared" si="5"/>
        <v>1260</v>
      </c>
    </row>
    <row r="173" spans="1:15" s="64" customFormat="1" x14ac:dyDescent="0.3">
      <c r="A173" s="155"/>
      <c r="B173" s="5" t="s">
        <v>31</v>
      </c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7">
        <f t="shared" si="5"/>
        <v>0</v>
      </c>
    </row>
    <row r="174" spans="1:15" s="64" customFormat="1" x14ac:dyDescent="0.3">
      <c r="A174" s="156"/>
      <c r="B174" s="7" t="s">
        <v>32</v>
      </c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24">
        <f t="shared" si="5"/>
        <v>0</v>
      </c>
    </row>
    <row r="175" spans="1:15" s="102" customFormat="1" ht="12" x14ac:dyDescent="0.25">
      <c r="A175" s="236" t="s">
        <v>363</v>
      </c>
      <c r="B175" s="99" t="s">
        <v>16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1">
        <f t="shared" si="5"/>
        <v>0</v>
      </c>
    </row>
    <row r="176" spans="1:15" s="102" customFormat="1" ht="12" x14ac:dyDescent="0.25">
      <c r="A176" s="235"/>
      <c r="B176" s="99" t="s">
        <v>29</v>
      </c>
      <c r="C176" s="100">
        <v>55</v>
      </c>
      <c r="D176" s="100">
        <v>55</v>
      </c>
      <c r="E176" s="100">
        <v>55</v>
      </c>
      <c r="F176" s="100">
        <v>55</v>
      </c>
      <c r="G176" s="100">
        <v>55</v>
      </c>
      <c r="H176" s="100">
        <v>55</v>
      </c>
      <c r="I176" s="100">
        <v>55</v>
      </c>
      <c r="J176" s="100">
        <v>55</v>
      </c>
      <c r="K176" s="100">
        <v>55</v>
      </c>
      <c r="L176" s="100">
        <v>55</v>
      </c>
      <c r="M176" s="100">
        <v>55</v>
      </c>
      <c r="N176" s="100">
        <v>55</v>
      </c>
      <c r="O176" s="103">
        <f t="shared" si="5"/>
        <v>660</v>
      </c>
    </row>
    <row r="177" spans="1:15" s="64" customFormat="1" x14ac:dyDescent="0.3">
      <c r="A177" s="155"/>
      <c r="B177" s="5" t="s">
        <v>31</v>
      </c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7">
        <f t="shared" si="5"/>
        <v>0</v>
      </c>
    </row>
    <row r="178" spans="1:15" s="64" customFormat="1" x14ac:dyDescent="0.3">
      <c r="A178" s="156"/>
      <c r="B178" s="7" t="s">
        <v>32</v>
      </c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24">
        <f t="shared" si="5"/>
        <v>0</v>
      </c>
    </row>
    <row r="179" spans="1:15" s="102" customFormat="1" ht="12" x14ac:dyDescent="0.25">
      <c r="A179" s="236" t="s">
        <v>364</v>
      </c>
      <c r="B179" s="99" t="s">
        <v>16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1">
        <f t="shared" si="5"/>
        <v>0</v>
      </c>
    </row>
    <row r="180" spans="1:15" s="102" customFormat="1" ht="12" x14ac:dyDescent="0.25">
      <c r="A180" s="235"/>
      <c r="B180" s="99" t="s">
        <v>29</v>
      </c>
      <c r="C180" s="100">
        <v>499</v>
      </c>
      <c r="D180" s="100">
        <v>499</v>
      </c>
      <c r="E180" s="100">
        <v>499</v>
      </c>
      <c r="F180" s="100">
        <v>499</v>
      </c>
      <c r="G180" s="100">
        <v>499</v>
      </c>
      <c r="H180" s="100">
        <v>499</v>
      </c>
      <c r="I180" s="100">
        <v>499</v>
      </c>
      <c r="J180" s="100">
        <v>499</v>
      </c>
      <c r="K180" s="100">
        <v>499</v>
      </c>
      <c r="L180" s="100">
        <v>499</v>
      </c>
      <c r="M180" s="100">
        <v>499</v>
      </c>
      <c r="N180" s="100">
        <v>499</v>
      </c>
      <c r="O180" s="103">
        <f t="shared" si="5"/>
        <v>5988</v>
      </c>
    </row>
    <row r="181" spans="1:15" s="64" customFormat="1" x14ac:dyDescent="0.3">
      <c r="A181" s="155"/>
      <c r="B181" s="5" t="s">
        <v>31</v>
      </c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7">
        <f t="shared" si="5"/>
        <v>0</v>
      </c>
    </row>
    <row r="182" spans="1:15" s="64" customFormat="1" x14ac:dyDescent="0.3">
      <c r="A182" s="156"/>
      <c r="B182" s="7" t="s">
        <v>32</v>
      </c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24">
        <f t="shared" si="5"/>
        <v>0</v>
      </c>
    </row>
    <row r="183" spans="1:15" s="102" customFormat="1" ht="12" x14ac:dyDescent="0.25">
      <c r="A183" s="236" t="s">
        <v>365</v>
      </c>
      <c r="B183" s="99" t="s">
        <v>16</v>
      </c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1">
        <f t="shared" si="5"/>
        <v>0</v>
      </c>
    </row>
    <row r="184" spans="1:15" s="102" customFormat="1" ht="12" x14ac:dyDescent="0.25">
      <c r="A184" s="235"/>
      <c r="B184" s="99" t="s">
        <v>29</v>
      </c>
      <c r="C184" s="100">
        <v>200</v>
      </c>
      <c r="D184" s="100">
        <v>0</v>
      </c>
      <c r="E184" s="100">
        <v>0</v>
      </c>
      <c r="F184" s="100">
        <v>0</v>
      </c>
      <c r="G184" s="100">
        <v>0</v>
      </c>
      <c r="H184" s="100">
        <v>0</v>
      </c>
      <c r="I184" s="100">
        <v>0</v>
      </c>
      <c r="J184" s="100">
        <v>0</v>
      </c>
      <c r="K184" s="100">
        <v>0</v>
      </c>
      <c r="L184" s="100">
        <v>0</v>
      </c>
      <c r="M184" s="100">
        <v>0</v>
      </c>
      <c r="N184" s="100">
        <v>0</v>
      </c>
      <c r="O184" s="103">
        <f t="shared" si="5"/>
        <v>200</v>
      </c>
    </row>
    <row r="185" spans="1:15" s="64" customFormat="1" x14ac:dyDescent="0.3">
      <c r="A185" s="155"/>
      <c r="B185" s="5" t="s">
        <v>31</v>
      </c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7">
        <f t="shared" si="5"/>
        <v>0</v>
      </c>
    </row>
    <row r="186" spans="1:15" s="64" customFormat="1" x14ac:dyDescent="0.3">
      <c r="A186" s="156"/>
      <c r="B186" s="7" t="s">
        <v>32</v>
      </c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24">
        <f t="shared" si="5"/>
        <v>0</v>
      </c>
    </row>
    <row r="187" spans="1:15" s="102" customFormat="1" ht="12" x14ac:dyDescent="0.25">
      <c r="A187" s="236" t="s">
        <v>353</v>
      </c>
      <c r="B187" s="99" t="s">
        <v>16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1">
        <f t="shared" si="5"/>
        <v>0</v>
      </c>
    </row>
    <row r="188" spans="1:15" s="102" customFormat="1" ht="12" x14ac:dyDescent="0.25">
      <c r="A188" s="235"/>
      <c r="B188" s="99" t="s">
        <v>29</v>
      </c>
      <c r="C188" s="100">
        <v>90</v>
      </c>
      <c r="D188" s="100">
        <v>90</v>
      </c>
      <c r="E188" s="100">
        <v>90</v>
      </c>
      <c r="F188" s="100">
        <v>90</v>
      </c>
      <c r="G188" s="100">
        <v>90</v>
      </c>
      <c r="H188" s="100">
        <v>90</v>
      </c>
      <c r="I188" s="100">
        <v>90</v>
      </c>
      <c r="J188" s="100">
        <v>90</v>
      </c>
      <c r="K188" s="100">
        <v>90</v>
      </c>
      <c r="L188" s="100">
        <v>90</v>
      </c>
      <c r="M188" s="100">
        <v>90</v>
      </c>
      <c r="N188" s="100">
        <v>90</v>
      </c>
      <c r="O188" s="103">
        <f t="shared" si="5"/>
        <v>1080</v>
      </c>
    </row>
    <row r="189" spans="1:15" s="64" customFormat="1" x14ac:dyDescent="0.3">
      <c r="A189" s="155"/>
      <c r="B189" s="5" t="s">
        <v>31</v>
      </c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7">
        <f t="shared" si="5"/>
        <v>0</v>
      </c>
    </row>
    <row r="190" spans="1:15" s="64" customFormat="1" x14ac:dyDescent="0.3">
      <c r="A190" s="156"/>
      <c r="B190" s="7" t="s">
        <v>32</v>
      </c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24">
        <f t="shared" si="5"/>
        <v>0</v>
      </c>
    </row>
    <row r="191" spans="1:15" s="102" customFormat="1" ht="12" x14ac:dyDescent="0.25">
      <c r="A191" s="236" t="s">
        <v>366</v>
      </c>
      <c r="B191" s="99" t="s">
        <v>16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>
        <v>20.94</v>
      </c>
      <c r="N191" s="100"/>
      <c r="O191" s="101">
        <f t="shared" si="5"/>
        <v>20.94</v>
      </c>
    </row>
    <row r="192" spans="1:15" s="102" customFormat="1" ht="12" x14ac:dyDescent="0.25">
      <c r="A192" s="235"/>
      <c r="B192" s="99" t="s">
        <v>29</v>
      </c>
      <c r="C192" s="100">
        <v>21</v>
      </c>
      <c r="D192" s="100">
        <v>21</v>
      </c>
      <c r="E192" s="100">
        <v>21</v>
      </c>
      <c r="F192" s="100">
        <v>21</v>
      </c>
      <c r="G192" s="100">
        <v>21</v>
      </c>
      <c r="H192" s="100">
        <v>21</v>
      </c>
      <c r="I192" s="100">
        <v>21</v>
      </c>
      <c r="J192" s="100">
        <v>21</v>
      </c>
      <c r="K192" s="100">
        <v>21</v>
      </c>
      <c r="L192" s="100">
        <v>21</v>
      </c>
      <c r="M192" s="100">
        <v>21</v>
      </c>
      <c r="N192" s="100">
        <v>21</v>
      </c>
      <c r="O192" s="103">
        <f t="shared" si="5"/>
        <v>252</v>
      </c>
    </row>
    <row r="193" spans="1:15" s="64" customFormat="1" x14ac:dyDescent="0.3">
      <c r="A193" s="155"/>
      <c r="B193" s="5" t="s">
        <v>31</v>
      </c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7">
        <f t="shared" si="5"/>
        <v>0</v>
      </c>
    </row>
    <row r="194" spans="1:15" s="64" customFormat="1" x14ac:dyDescent="0.3">
      <c r="A194" s="156"/>
      <c r="B194" s="7" t="s">
        <v>32</v>
      </c>
      <c r="C194" s="114">
        <v>20.94</v>
      </c>
      <c r="D194" s="114">
        <v>20.94</v>
      </c>
      <c r="E194" s="114">
        <v>20.94</v>
      </c>
      <c r="F194" s="114">
        <v>20.94</v>
      </c>
      <c r="G194" s="114">
        <v>20.94</v>
      </c>
      <c r="H194" s="114">
        <v>20.94</v>
      </c>
      <c r="I194" s="114">
        <v>20.94</v>
      </c>
      <c r="J194" s="114">
        <v>20.94</v>
      </c>
      <c r="K194" s="114">
        <v>20.94</v>
      </c>
      <c r="L194" s="114"/>
      <c r="M194" s="114"/>
      <c r="N194" s="114"/>
      <c r="O194" s="24">
        <f t="shared" si="5"/>
        <v>188.46</v>
      </c>
    </row>
    <row r="195" spans="1:15" s="102" customFormat="1" ht="12" x14ac:dyDescent="0.25">
      <c r="A195" s="236" t="s">
        <v>367</v>
      </c>
      <c r="B195" s="99" t="s">
        <v>16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>
        <v>29</v>
      </c>
      <c r="N195" s="100"/>
      <c r="O195" s="101">
        <f t="shared" si="5"/>
        <v>29</v>
      </c>
    </row>
    <row r="196" spans="1:15" s="102" customFormat="1" ht="12" x14ac:dyDescent="0.25">
      <c r="A196" s="235"/>
      <c r="B196" s="99" t="s">
        <v>29</v>
      </c>
      <c r="C196" s="100">
        <v>0</v>
      </c>
      <c r="D196" s="100">
        <v>0</v>
      </c>
      <c r="E196" s="100">
        <v>0</v>
      </c>
      <c r="F196" s="100">
        <v>0</v>
      </c>
      <c r="G196" s="100">
        <v>0</v>
      </c>
      <c r="H196" s="100">
        <v>0</v>
      </c>
      <c r="I196" s="100">
        <v>0</v>
      </c>
      <c r="J196" s="100">
        <v>0</v>
      </c>
      <c r="K196" s="100">
        <v>0</v>
      </c>
      <c r="L196" s="100">
        <v>0</v>
      </c>
      <c r="M196" s="100">
        <v>0</v>
      </c>
      <c r="N196" s="100">
        <v>0</v>
      </c>
      <c r="O196" s="103">
        <f t="shared" si="5"/>
        <v>0</v>
      </c>
    </row>
    <row r="197" spans="1:15" s="64" customFormat="1" x14ac:dyDescent="0.3">
      <c r="A197" s="155"/>
      <c r="B197" s="5" t="s">
        <v>31</v>
      </c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7">
        <f t="shared" si="5"/>
        <v>0</v>
      </c>
    </row>
    <row r="198" spans="1:15" s="64" customFormat="1" x14ac:dyDescent="0.3">
      <c r="A198" s="156"/>
      <c r="B198" s="7" t="s">
        <v>32</v>
      </c>
      <c r="C198" s="114"/>
      <c r="D198" s="114"/>
      <c r="E198" s="114"/>
      <c r="F198" s="114">
        <f>29*2</f>
        <v>58</v>
      </c>
      <c r="G198" s="114"/>
      <c r="H198" s="114"/>
      <c r="I198" s="114"/>
      <c r="J198" s="114"/>
      <c r="K198" s="114"/>
      <c r="L198" s="114"/>
      <c r="M198" s="114"/>
      <c r="N198" s="114"/>
      <c r="O198" s="24">
        <f t="shared" si="5"/>
        <v>58</v>
      </c>
    </row>
    <row r="199" spans="1:15" s="102" customFormat="1" ht="12" x14ac:dyDescent="0.25">
      <c r="A199" s="236" t="s">
        <v>368</v>
      </c>
      <c r="B199" s="99" t="s">
        <v>16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>
        <v>225.72</v>
      </c>
      <c r="O199" s="101">
        <f t="shared" si="5"/>
        <v>225.72</v>
      </c>
    </row>
    <row r="200" spans="1:15" s="102" customFormat="1" ht="12" x14ac:dyDescent="0.25">
      <c r="A200" s="235"/>
      <c r="B200" s="99" t="s">
        <v>29</v>
      </c>
      <c r="C200" s="100">
        <v>0</v>
      </c>
      <c r="D200" s="100">
        <v>0</v>
      </c>
      <c r="E200" s="100">
        <v>0</v>
      </c>
      <c r="F200" s="100">
        <v>0</v>
      </c>
      <c r="G200" s="100">
        <v>0</v>
      </c>
      <c r="H200" s="100">
        <v>0</v>
      </c>
      <c r="I200" s="100">
        <v>0</v>
      </c>
      <c r="J200" s="100">
        <v>0</v>
      </c>
      <c r="K200" s="100">
        <v>0</v>
      </c>
      <c r="L200" s="100">
        <v>0</v>
      </c>
      <c r="M200" s="100">
        <v>0</v>
      </c>
      <c r="N200" s="100">
        <v>0</v>
      </c>
      <c r="O200" s="103">
        <f t="shared" si="5"/>
        <v>0</v>
      </c>
    </row>
    <row r="201" spans="1:15" s="64" customFormat="1" x14ac:dyDescent="0.3">
      <c r="A201" s="155"/>
      <c r="B201" s="5" t="s">
        <v>31</v>
      </c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7">
        <f t="shared" si="5"/>
        <v>0</v>
      </c>
    </row>
    <row r="202" spans="1:15" s="64" customFormat="1" x14ac:dyDescent="0.3">
      <c r="A202" s="156"/>
      <c r="B202" s="7" t="s">
        <v>32</v>
      </c>
      <c r="C202" s="114">
        <v>75.239999999999995</v>
      </c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24">
        <f t="shared" si="5"/>
        <v>75.239999999999995</v>
      </c>
    </row>
    <row r="203" spans="1:15" s="102" customFormat="1" ht="12" x14ac:dyDescent="0.25">
      <c r="A203" s="236" t="s">
        <v>369</v>
      </c>
      <c r="B203" s="99" t="s">
        <v>16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1">
        <f t="shared" ref="O203:O217" si="6">SUM(C203:N203)</f>
        <v>0</v>
      </c>
    </row>
    <row r="204" spans="1:15" s="102" customFormat="1" ht="12" x14ac:dyDescent="0.25">
      <c r="A204" s="235"/>
      <c r="B204" s="99" t="s">
        <v>29</v>
      </c>
      <c r="C204" s="100">
        <v>0</v>
      </c>
      <c r="D204" s="100">
        <v>0</v>
      </c>
      <c r="E204" s="100">
        <v>0</v>
      </c>
      <c r="F204" s="100">
        <v>0</v>
      </c>
      <c r="G204" s="100">
        <v>0</v>
      </c>
      <c r="H204" s="100">
        <v>0</v>
      </c>
      <c r="I204" s="100">
        <v>0</v>
      </c>
      <c r="J204" s="100">
        <v>0</v>
      </c>
      <c r="K204" s="100">
        <v>0</v>
      </c>
      <c r="L204" s="100">
        <v>0</v>
      </c>
      <c r="M204" s="100">
        <v>0</v>
      </c>
      <c r="N204" s="100">
        <v>0</v>
      </c>
      <c r="O204" s="103">
        <f t="shared" si="6"/>
        <v>0</v>
      </c>
    </row>
    <row r="205" spans="1:15" s="64" customFormat="1" x14ac:dyDescent="0.3">
      <c r="A205" s="155"/>
      <c r="B205" s="5" t="s">
        <v>31</v>
      </c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7">
        <f t="shared" si="6"/>
        <v>0</v>
      </c>
    </row>
    <row r="206" spans="1:15" s="64" customFormat="1" ht="22.8" x14ac:dyDescent="0.4">
      <c r="A206" s="156"/>
      <c r="B206" s="7" t="s">
        <v>32</v>
      </c>
      <c r="C206" s="114"/>
      <c r="D206" s="114"/>
      <c r="E206" s="114">
        <v>135.08000000000001</v>
      </c>
      <c r="F206" s="114">
        <v>135.08000000000001</v>
      </c>
      <c r="G206" s="114">
        <v>135.08000000000001</v>
      </c>
      <c r="H206" s="114">
        <v>135.08000000000001</v>
      </c>
      <c r="I206" s="195">
        <v>135.08000000000001</v>
      </c>
      <c r="J206" s="137">
        <v>135.08000000000001</v>
      </c>
      <c r="K206" s="114">
        <v>135.08000000000001</v>
      </c>
      <c r="L206" s="114">
        <v>135.08000000000001</v>
      </c>
      <c r="M206" s="114"/>
      <c r="N206" s="114"/>
      <c r="O206" s="24">
        <f t="shared" si="6"/>
        <v>1080.6400000000001</v>
      </c>
    </row>
    <row r="207" spans="1:15" s="102" customFormat="1" ht="12" x14ac:dyDescent="0.25">
      <c r="A207" s="236" t="s">
        <v>370</v>
      </c>
      <c r="B207" s="99" t="s">
        <v>16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1">
        <f t="shared" si="6"/>
        <v>0</v>
      </c>
    </row>
    <row r="208" spans="1:15" s="102" customFormat="1" ht="12" x14ac:dyDescent="0.25">
      <c r="A208" s="235"/>
      <c r="B208" s="99" t="s">
        <v>29</v>
      </c>
      <c r="C208" s="100">
        <v>0</v>
      </c>
      <c r="D208" s="100">
        <v>0</v>
      </c>
      <c r="E208" s="100">
        <v>0</v>
      </c>
      <c r="F208" s="100">
        <v>0</v>
      </c>
      <c r="G208" s="100">
        <v>0</v>
      </c>
      <c r="H208" s="100">
        <v>0</v>
      </c>
      <c r="I208" s="100">
        <v>0</v>
      </c>
      <c r="J208" s="100">
        <v>0</v>
      </c>
      <c r="K208" s="100">
        <v>0</v>
      </c>
      <c r="L208" s="100">
        <v>0</v>
      </c>
      <c r="M208" s="100">
        <v>0</v>
      </c>
      <c r="N208" s="100">
        <v>0</v>
      </c>
      <c r="O208" s="103">
        <f t="shared" si="6"/>
        <v>0</v>
      </c>
    </row>
    <row r="209" spans="1:15" s="64" customFormat="1" x14ac:dyDescent="0.3">
      <c r="A209" s="155"/>
      <c r="B209" s="5" t="s">
        <v>31</v>
      </c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7">
        <f t="shared" si="6"/>
        <v>0</v>
      </c>
    </row>
    <row r="210" spans="1:15" s="64" customFormat="1" x14ac:dyDescent="0.3">
      <c r="A210" s="156"/>
      <c r="B210" s="7" t="s">
        <v>32</v>
      </c>
      <c r="C210" s="114"/>
      <c r="D210" s="114"/>
      <c r="E210" s="114">
        <v>36.65</v>
      </c>
      <c r="F210" s="114">
        <v>36.65</v>
      </c>
      <c r="G210" s="114">
        <f>36.65</f>
        <v>36.65</v>
      </c>
      <c r="H210" s="114"/>
      <c r="I210" s="114"/>
      <c r="J210" s="114"/>
      <c r="K210" s="114"/>
      <c r="L210" s="114"/>
      <c r="M210" s="114"/>
      <c r="N210" s="114"/>
      <c r="O210" s="24">
        <f t="shared" si="6"/>
        <v>109.94999999999999</v>
      </c>
    </row>
    <row r="211" spans="1:15" s="102" customFormat="1" ht="12" x14ac:dyDescent="0.25">
      <c r="A211" s="236" t="s">
        <v>371</v>
      </c>
      <c r="B211" s="99" t="s">
        <v>16</v>
      </c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1">
        <f t="shared" si="6"/>
        <v>0</v>
      </c>
    </row>
    <row r="212" spans="1:15" s="102" customFormat="1" ht="12" x14ac:dyDescent="0.25">
      <c r="A212" s="235"/>
      <c r="B212" s="99" t="s">
        <v>29</v>
      </c>
      <c r="C212" s="100">
        <v>0</v>
      </c>
      <c r="D212" s="100">
        <v>0</v>
      </c>
      <c r="E212" s="100">
        <v>0</v>
      </c>
      <c r="F212" s="100">
        <v>0</v>
      </c>
      <c r="G212" s="100">
        <v>0</v>
      </c>
      <c r="H212" s="100">
        <v>0</v>
      </c>
      <c r="I212" s="100">
        <v>0</v>
      </c>
      <c r="J212" s="100">
        <v>0</v>
      </c>
      <c r="K212" s="100">
        <v>0</v>
      </c>
      <c r="L212" s="100">
        <v>0</v>
      </c>
      <c r="M212" s="100">
        <v>0</v>
      </c>
      <c r="N212" s="100">
        <v>0</v>
      </c>
      <c r="O212" s="103">
        <f t="shared" si="6"/>
        <v>0</v>
      </c>
    </row>
    <row r="213" spans="1:15" s="64" customFormat="1" x14ac:dyDescent="0.3">
      <c r="A213" s="155"/>
      <c r="B213" s="5" t="s">
        <v>31</v>
      </c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7">
        <f t="shared" si="6"/>
        <v>0</v>
      </c>
    </row>
    <row r="214" spans="1:15" s="64" customFormat="1" x14ac:dyDescent="0.3">
      <c r="A214" s="156"/>
      <c r="B214" s="7" t="s">
        <v>32</v>
      </c>
      <c r="C214" s="114"/>
      <c r="D214" s="114"/>
      <c r="E214" s="114">
        <v>45</v>
      </c>
      <c r="F214" s="114"/>
      <c r="G214" s="114"/>
      <c r="H214" s="114"/>
      <c r="I214" s="114"/>
      <c r="J214" s="114"/>
      <c r="K214" s="114"/>
      <c r="L214" s="114"/>
      <c r="M214" s="114"/>
      <c r="N214" s="114"/>
      <c r="O214" s="24">
        <f t="shared" si="6"/>
        <v>45</v>
      </c>
    </row>
    <row r="215" spans="1:15" s="102" customFormat="1" ht="12" x14ac:dyDescent="0.25">
      <c r="A215" s="236" t="s">
        <v>372</v>
      </c>
      <c r="B215" s="99" t="s">
        <v>16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1">
        <f t="shared" si="6"/>
        <v>0</v>
      </c>
    </row>
    <row r="216" spans="1:15" s="102" customFormat="1" ht="12" x14ac:dyDescent="0.25">
      <c r="A216" s="235"/>
      <c r="B216" s="99" t="s">
        <v>29</v>
      </c>
      <c r="C216" s="100">
        <v>0</v>
      </c>
      <c r="D216" s="100">
        <v>0</v>
      </c>
      <c r="E216" s="100">
        <v>0</v>
      </c>
      <c r="F216" s="100">
        <v>0</v>
      </c>
      <c r="G216" s="100">
        <v>0</v>
      </c>
      <c r="H216" s="100">
        <v>0</v>
      </c>
      <c r="I216" s="100">
        <v>0</v>
      </c>
      <c r="J216" s="100">
        <v>0</v>
      </c>
      <c r="K216" s="100">
        <v>0</v>
      </c>
      <c r="L216" s="100">
        <v>0</v>
      </c>
      <c r="M216" s="100">
        <v>0</v>
      </c>
      <c r="N216" s="100">
        <v>0</v>
      </c>
      <c r="O216" s="103">
        <f t="shared" si="6"/>
        <v>0</v>
      </c>
    </row>
    <row r="217" spans="1:15" s="64" customFormat="1" x14ac:dyDescent="0.3">
      <c r="A217" s="105"/>
      <c r="B217" s="5" t="s">
        <v>31</v>
      </c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7">
        <f t="shared" si="6"/>
        <v>0</v>
      </c>
    </row>
    <row r="218" spans="1:15" s="64" customFormat="1" x14ac:dyDescent="0.3">
      <c r="A218" s="106"/>
      <c r="B218" s="7" t="s">
        <v>32</v>
      </c>
      <c r="C218" s="114"/>
      <c r="D218" s="114"/>
      <c r="E218" s="114"/>
      <c r="F218" s="114"/>
      <c r="G218" s="114">
        <v>0.51</v>
      </c>
      <c r="H218" s="114">
        <v>0.51</v>
      </c>
      <c r="I218" s="114">
        <v>4.18</v>
      </c>
      <c r="J218" s="114">
        <v>4.18</v>
      </c>
      <c r="K218" s="114">
        <v>4.18</v>
      </c>
      <c r="L218" s="114"/>
      <c r="M218" s="114"/>
      <c r="N218" s="114"/>
      <c r="O218" s="24">
        <f>SUM(C218:N218)</f>
        <v>13.559999999999999</v>
      </c>
    </row>
    <row r="219" spans="1:15" x14ac:dyDescent="0.3">
      <c r="A219" s="52" t="s">
        <v>373</v>
      </c>
      <c r="B219" s="52" t="s">
        <v>32</v>
      </c>
      <c r="G219" s="52">
        <v>324.51</v>
      </c>
      <c r="H219" s="194">
        <f>324.45</f>
        <v>324.45</v>
      </c>
      <c r="I219" s="52">
        <f>361.09+24.82</f>
        <v>385.90999999999997</v>
      </c>
      <c r="J219" s="52">
        <v>361.09</v>
      </c>
      <c r="K219" s="52">
        <f>10.46+376.79</f>
        <v>387.25</v>
      </c>
      <c r="L219" s="52">
        <v>376.79</v>
      </c>
      <c r="O219" s="24">
        <f t="shared" ref="O219:O223" si="7">SUM(C219:N219)</f>
        <v>2160</v>
      </c>
    </row>
    <row r="220" spans="1:15" x14ac:dyDescent="0.3">
      <c r="A220" s="52" t="s">
        <v>374</v>
      </c>
      <c r="B220" s="52" t="s">
        <v>32</v>
      </c>
      <c r="G220" s="52">
        <f>62.82*3</f>
        <v>188.46</v>
      </c>
      <c r="H220" s="52">
        <f>62.82*3</f>
        <v>188.46</v>
      </c>
      <c r="K220" s="52">
        <f>62.82*3</f>
        <v>188.46</v>
      </c>
      <c r="O220" s="24">
        <f t="shared" si="7"/>
        <v>565.38</v>
      </c>
    </row>
    <row r="221" spans="1:15" x14ac:dyDescent="0.3">
      <c r="A221" s="52" t="s">
        <v>375</v>
      </c>
      <c r="B221" s="52" t="s">
        <v>32</v>
      </c>
      <c r="K221" s="52">
        <v>1180.99</v>
      </c>
      <c r="L221" s="52">
        <v>1146.49</v>
      </c>
      <c r="O221" s="24">
        <f t="shared" si="7"/>
        <v>2327.48</v>
      </c>
    </row>
    <row r="222" spans="1:15" x14ac:dyDescent="0.3">
      <c r="A222" s="52" t="s">
        <v>148</v>
      </c>
      <c r="B222" s="52" t="s">
        <v>32</v>
      </c>
      <c r="I222" s="52">
        <v>310.5</v>
      </c>
      <c r="O222" s="24">
        <f t="shared" si="7"/>
        <v>310.5</v>
      </c>
    </row>
    <row r="223" spans="1:15" x14ac:dyDescent="0.3">
      <c r="A223" s="52" t="s">
        <v>376</v>
      </c>
      <c r="B223" s="52" t="s">
        <v>32</v>
      </c>
      <c r="J223" s="52">
        <v>31.41</v>
      </c>
      <c r="K223" s="52">
        <v>31.41</v>
      </c>
      <c r="O223" s="24">
        <f t="shared" si="7"/>
        <v>62.82</v>
      </c>
    </row>
    <row r="224" spans="1:15" x14ac:dyDescent="0.3">
      <c r="A224" s="254" t="s">
        <v>377</v>
      </c>
      <c r="B224" s="203" t="s">
        <v>16</v>
      </c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5">
        <f t="shared" ref="O224:O231" si="8">SUM(C224:N224)</f>
        <v>0</v>
      </c>
    </row>
    <row r="225" spans="1:15" x14ac:dyDescent="0.3">
      <c r="A225" s="255"/>
      <c r="B225" s="99" t="s">
        <v>29</v>
      </c>
      <c r="C225" s="100">
        <v>0</v>
      </c>
      <c r="D225" s="100">
        <v>0</v>
      </c>
      <c r="E225" s="100">
        <v>0</v>
      </c>
      <c r="F225" s="100">
        <v>0</v>
      </c>
      <c r="G225" s="100">
        <v>0</v>
      </c>
      <c r="H225" s="100">
        <v>0</v>
      </c>
      <c r="I225" s="100">
        <v>0</v>
      </c>
      <c r="J225" s="100">
        <v>0</v>
      </c>
      <c r="K225" s="100">
        <v>0</v>
      </c>
      <c r="L225" s="100">
        <v>0</v>
      </c>
      <c r="M225" s="100">
        <v>0</v>
      </c>
      <c r="N225" s="100">
        <v>0</v>
      </c>
      <c r="O225" s="206">
        <f t="shared" si="8"/>
        <v>0</v>
      </c>
    </row>
    <row r="226" spans="1:15" x14ac:dyDescent="0.3">
      <c r="A226" s="207"/>
      <c r="B226" s="5" t="s">
        <v>31</v>
      </c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208">
        <f t="shared" si="8"/>
        <v>0</v>
      </c>
    </row>
    <row r="227" spans="1:15" x14ac:dyDescent="0.3">
      <c r="A227" s="209"/>
      <c r="B227" s="210" t="s">
        <v>32</v>
      </c>
      <c r="C227" s="211"/>
      <c r="D227" s="211"/>
      <c r="E227" s="211"/>
      <c r="F227" s="211"/>
      <c r="G227" s="211"/>
      <c r="H227" s="211"/>
      <c r="I227" s="211"/>
      <c r="J227" s="211">
        <v>40</v>
      </c>
      <c r="K227" s="211">
        <v>40</v>
      </c>
      <c r="L227" s="211"/>
      <c r="M227" s="211"/>
      <c r="N227" s="211"/>
      <c r="O227" s="212">
        <f t="shared" si="8"/>
        <v>80</v>
      </c>
    </row>
    <row r="228" spans="1:15" x14ac:dyDescent="0.3">
      <c r="A228" s="254" t="s">
        <v>378</v>
      </c>
      <c r="B228" s="203" t="s">
        <v>16</v>
      </c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5">
        <f t="shared" si="8"/>
        <v>0</v>
      </c>
    </row>
    <row r="229" spans="1:15" x14ac:dyDescent="0.3">
      <c r="A229" s="255"/>
      <c r="B229" s="99" t="s">
        <v>29</v>
      </c>
      <c r="C229" s="100">
        <v>0</v>
      </c>
      <c r="D229" s="100">
        <v>0</v>
      </c>
      <c r="E229" s="100">
        <v>0</v>
      </c>
      <c r="F229" s="100">
        <v>0</v>
      </c>
      <c r="G229" s="100">
        <v>0</v>
      </c>
      <c r="H229" s="100">
        <v>0</v>
      </c>
      <c r="I229" s="100">
        <v>0</v>
      </c>
      <c r="J229" s="100">
        <v>0</v>
      </c>
      <c r="K229" s="100">
        <v>0</v>
      </c>
      <c r="L229" s="100">
        <v>0</v>
      </c>
      <c r="M229" s="100">
        <v>0</v>
      </c>
      <c r="N229" s="100">
        <v>0</v>
      </c>
      <c r="O229" s="206">
        <f t="shared" si="8"/>
        <v>0</v>
      </c>
    </row>
    <row r="230" spans="1:15" x14ac:dyDescent="0.3">
      <c r="A230" s="207"/>
      <c r="B230" s="5" t="s">
        <v>31</v>
      </c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208">
        <f t="shared" si="8"/>
        <v>0</v>
      </c>
    </row>
    <row r="231" spans="1:15" x14ac:dyDescent="0.3">
      <c r="A231" s="209"/>
      <c r="B231" s="210" t="s">
        <v>32</v>
      </c>
      <c r="C231" s="211"/>
      <c r="D231" s="211"/>
      <c r="E231" s="211"/>
      <c r="F231" s="211"/>
      <c r="G231" s="211"/>
      <c r="H231" s="211"/>
      <c r="I231" s="211"/>
      <c r="J231" s="211">
        <v>210</v>
      </c>
      <c r="K231" s="211">
        <v>71.44</v>
      </c>
      <c r="L231" s="211"/>
      <c r="M231" s="211"/>
      <c r="N231" s="211"/>
      <c r="O231" s="212">
        <f t="shared" si="8"/>
        <v>281.44</v>
      </c>
    </row>
    <row r="232" spans="1:15" x14ac:dyDescent="0.3">
      <c r="A232" s="254" t="s">
        <v>292</v>
      </c>
      <c r="B232" s="203" t="s">
        <v>16</v>
      </c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5">
        <f t="shared" ref="O232:O235" si="9">SUM(C232:N232)</f>
        <v>0</v>
      </c>
    </row>
    <row r="233" spans="1:15" x14ac:dyDescent="0.3">
      <c r="A233" s="255"/>
      <c r="B233" s="99" t="s">
        <v>29</v>
      </c>
      <c r="C233" s="100">
        <v>0</v>
      </c>
      <c r="D233" s="100">
        <v>0</v>
      </c>
      <c r="E233" s="100">
        <v>0</v>
      </c>
      <c r="F233" s="100">
        <v>0</v>
      </c>
      <c r="G233" s="100">
        <v>0</v>
      </c>
      <c r="H233" s="100">
        <v>0</v>
      </c>
      <c r="I233" s="100">
        <v>0</v>
      </c>
      <c r="J233" s="100">
        <v>0</v>
      </c>
      <c r="K233" s="100">
        <v>0</v>
      </c>
      <c r="L233" s="100">
        <v>0</v>
      </c>
      <c r="M233" s="100">
        <v>0</v>
      </c>
      <c r="N233" s="100">
        <v>0</v>
      </c>
      <c r="O233" s="206">
        <f t="shared" si="9"/>
        <v>0</v>
      </c>
    </row>
    <row r="234" spans="1:15" x14ac:dyDescent="0.3">
      <c r="A234" s="207"/>
      <c r="B234" s="5" t="s">
        <v>31</v>
      </c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208">
        <f t="shared" si="9"/>
        <v>0</v>
      </c>
    </row>
    <row r="235" spans="1:15" x14ac:dyDescent="0.3">
      <c r="A235" s="209"/>
      <c r="B235" s="210" t="s">
        <v>32</v>
      </c>
      <c r="C235" s="211"/>
      <c r="D235" s="211"/>
      <c r="E235" s="211"/>
      <c r="F235" s="211"/>
      <c r="G235" s="211"/>
      <c r="H235" s="211"/>
      <c r="I235" s="211"/>
      <c r="J235" s="211"/>
      <c r="K235" s="211"/>
      <c r="L235" s="211">
        <v>10.46</v>
      </c>
      <c r="M235" s="211"/>
      <c r="N235" s="211"/>
      <c r="O235" s="212">
        <f t="shared" si="9"/>
        <v>10.46</v>
      </c>
    </row>
  </sheetData>
  <mergeCells count="57">
    <mergeCell ref="A224:A225"/>
    <mergeCell ref="A228:A229"/>
    <mergeCell ref="A3:A6"/>
    <mergeCell ref="A199:A200"/>
    <mergeCell ref="A203:A204"/>
    <mergeCell ref="A207:A208"/>
    <mergeCell ref="A211:A212"/>
    <mergeCell ref="A95:A96"/>
    <mergeCell ref="A99:A100"/>
    <mergeCell ref="A103:A104"/>
    <mergeCell ref="A107:A108"/>
    <mergeCell ref="A111:A112"/>
    <mergeCell ref="A75:A76"/>
    <mergeCell ref="A79:A80"/>
    <mergeCell ref="A83:A84"/>
    <mergeCell ref="A87:A88"/>
    <mergeCell ref="A91:A92"/>
    <mergeCell ref="A51:A52"/>
    <mergeCell ref="A215:A216"/>
    <mergeCell ref="A143:A144"/>
    <mergeCell ref="A147:A148"/>
    <mergeCell ref="A151:A152"/>
    <mergeCell ref="A155:A156"/>
    <mergeCell ref="A159:A160"/>
    <mergeCell ref="A167:A168"/>
    <mergeCell ref="A171:A172"/>
    <mergeCell ref="A175:A176"/>
    <mergeCell ref="A179:A180"/>
    <mergeCell ref="A183:A184"/>
    <mergeCell ref="A187:A188"/>
    <mergeCell ref="A191:A192"/>
    <mergeCell ref="A195:A196"/>
    <mergeCell ref="A55:A56"/>
    <mergeCell ref="A59:A60"/>
    <mergeCell ref="A63:A64"/>
    <mergeCell ref="A67:A68"/>
    <mergeCell ref="A31:A32"/>
    <mergeCell ref="A35:A36"/>
    <mergeCell ref="A39:A40"/>
    <mergeCell ref="A43:A44"/>
    <mergeCell ref="A47:A48"/>
    <mergeCell ref="A232:A233"/>
    <mergeCell ref="A135:A136"/>
    <mergeCell ref="A139:A140"/>
    <mergeCell ref="A1:O1"/>
    <mergeCell ref="A71:A72"/>
    <mergeCell ref="A163:A164"/>
    <mergeCell ref="A115:A116"/>
    <mergeCell ref="A119:A120"/>
    <mergeCell ref="A123:A124"/>
    <mergeCell ref="A127:A128"/>
    <mergeCell ref="A131:A132"/>
    <mergeCell ref="A11:A12"/>
    <mergeCell ref="A15:A16"/>
    <mergeCell ref="A19:A20"/>
    <mergeCell ref="A23:A24"/>
    <mergeCell ref="A27:A28"/>
  </mergeCells>
  <conditionalFormatting sqref="C6:N6">
    <cfRule type="cellIs" dxfId="11" priority="1" operator="greaterThan">
      <formula>C5*1.15</formula>
    </cfRule>
    <cfRule type="cellIs" dxfId="10" priority="2" operator="lessThan">
      <formula>C5*0.85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15FE-7C90-42DA-8EEF-DDEA474956BF}">
  <sheetPr codeName="Sheet16"/>
  <dimension ref="A1:Q218"/>
  <sheetViews>
    <sheetView zoomScale="48" zoomScaleNormal="40" workbookViewId="0">
      <pane xSplit="1" ySplit="2" topLeftCell="B51" activePane="bottomRight" state="frozen"/>
      <selection pane="topRight" activeCell="M13" sqref="M13"/>
      <selection pane="bottomLeft" activeCell="M13" sqref="M13"/>
      <selection pane="bottomRight" activeCell="M13" sqref="M13"/>
    </sheetView>
  </sheetViews>
  <sheetFormatPr defaultColWidth="9.109375" defaultRowHeight="14.4" x14ac:dyDescent="0.3"/>
  <cols>
    <col min="1" max="1" width="34.5546875" style="54" customWidth="1"/>
    <col min="2" max="2" width="22.88671875" style="52" bestFit="1" customWidth="1"/>
    <col min="3" max="15" width="12.44140625" style="52" customWidth="1"/>
    <col min="16" max="16" width="9.109375" style="52"/>
    <col min="17" max="17" width="13.44140625" style="52" customWidth="1"/>
    <col min="18" max="16384" width="9.109375" style="52"/>
  </cols>
  <sheetData>
    <row r="1" spans="1:17" ht="30.75" customHeight="1" x14ac:dyDescent="0.6">
      <c r="A1" s="232" t="s">
        <v>379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17" x14ac:dyDescent="0.3">
      <c r="A2" s="68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69" t="s">
        <v>7</v>
      </c>
      <c r="J2" s="69" t="s">
        <v>8</v>
      </c>
      <c r="K2" s="69" t="s">
        <v>9</v>
      </c>
      <c r="L2" s="69" t="s">
        <v>10</v>
      </c>
      <c r="M2" s="69" t="s">
        <v>11</v>
      </c>
      <c r="N2" s="69" t="s">
        <v>12</v>
      </c>
      <c r="O2" s="69" t="s">
        <v>13</v>
      </c>
    </row>
    <row r="3" spans="1:17" s="102" customFormat="1" ht="14.4" customHeight="1" x14ac:dyDescent="0.25">
      <c r="A3" s="239" t="s">
        <v>15</v>
      </c>
      <c r="B3" s="181" t="s">
        <v>16</v>
      </c>
      <c r="C3" s="182">
        <f>SUMIFS(C$11:C972,$B$11:$B972,"Actual 2024")</f>
        <v>2933.06</v>
      </c>
      <c r="D3" s="182">
        <f>SUMIFS(D$11:D972,$B$11:$B972,"Actual 2024")</f>
        <v>4322.33</v>
      </c>
      <c r="E3" s="182">
        <f>SUMIFS(E$11:E972,$B$11:$B972,"Actual 2024")</f>
        <v>43334.07</v>
      </c>
      <c r="F3" s="182">
        <f>SUMIFS(F$11:F972,$B$11:$B972,"Actual 2024")</f>
        <v>7210.8600000000006</v>
      </c>
      <c r="G3" s="182">
        <f>SUMIFS(G$11:G972,$B$11:$B972,"Actual 2024")</f>
        <v>4411.6499999999996</v>
      </c>
      <c r="H3" s="182">
        <f>SUMIFS(H$11:H972,$B$11:$B972,"Actual 2024")</f>
        <v>4692.3099999999995</v>
      </c>
      <c r="I3" s="185">
        <f>SUMIFS(I$11:I972,$B$11:$B972,"Actual 2024")</f>
        <v>5262.45</v>
      </c>
      <c r="J3" s="185">
        <f>SUMIFS(J$11:J972,$B$11:$B972,"Actual 2024")</f>
        <v>4715.6899999999996</v>
      </c>
      <c r="K3" s="185">
        <f>SUMIFS(K$11:K972,$B$11:$B972,"Actual 2024")</f>
        <v>7064.16</v>
      </c>
      <c r="L3" s="185">
        <f>SUMIFS(L$11:L972,$B$11:$B972,"Actual 2024")</f>
        <v>6939.98</v>
      </c>
      <c r="M3" s="185">
        <f>SUMIFS(M$11:M972,$B$11:$B972,"Actual 2024")</f>
        <v>4745.24</v>
      </c>
      <c r="N3" s="185">
        <f>SUMIFS(N$11:N972,$B$11:$B972,"Actual 2024")</f>
        <v>4721.7199999999993</v>
      </c>
      <c r="O3" s="183">
        <f>SUMIFS(O$11:O972,$B$11:$B972,"Actual 2024")</f>
        <v>100353.52000000002</v>
      </c>
      <c r="P3" s="102" t="s">
        <v>380</v>
      </c>
    </row>
    <row r="4" spans="1:17" s="102" customFormat="1" ht="14.4" customHeight="1" x14ac:dyDescent="0.25">
      <c r="A4" s="240"/>
      <c r="B4" s="184" t="s">
        <v>27</v>
      </c>
      <c r="C4" s="189">
        <f>SUMIFS(C$11:C972,$B$11:$B972,"Estimated")</f>
        <v>2984.8</v>
      </c>
      <c r="D4" s="189">
        <f>SUMIFS(D$11:D972,$B$11:$B972,"Estimated")</f>
        <v>38680</v>
      </c>
      <c r="E4" s="189">
        <f>SUMIFS(E$11:E972,$B$11:$B972,"Estimated")</f>
        <v>60292.81</v>
      </c>
      <c r="F4" s="189">
        <f>SUMIFS(F$11:F972,$B$11:$B972,"Estimated")</f>
        <v>2544.3100000000004</v>
      </c>
      <c r="G4" s="189">
        <f>SUMIFS(G$11:G972,$B$11:$B972,"Estimated")</f>
        <v>1612.94</v>
      </c>
      <c r="H4" s="189">
        <f>SUMIFS(H$11:H972,$B$11:$B972,"Estimated")</f>
        <v>1605.6100000000001</v>
      </c>
      <c r="I4" s="192">
        <f>SUMIFS(I$11:I972,$B$11:$B972,"Estimated")</f>
        <v>11339.4</v>
      </c>
      <c r="J4" s="192">
        <f>SUMIFS(J$11:J972,$B$11:$B972,"Estimated")</f>
        <v>4205.6100000000006</v>
      </c>
      <c r="K4" s="192">
        <f>SUMIFS(K$11:K972,$B$11:$B972,"Estimated")</f>
        <v>2511.29</v>
      </c>
      <c r="L4" s="192">
        <f>SUMIFS(L$11:L972,$B$11:$B972,"Estimated")</f>
        <v>2056.4299999999998</v>
      </c>
      <c r="M4" s="192">
        <f>SUMIFS(M$11:M972,$B$11:$B972,"Estimated")</f>
        <v>1605.6100000000001</v>
      </c>
      <c r="N4" s="192">
        <f>SUMIFS(N$11:N972,$B$11:$B972,"Estimated")</f>
        <v>1605.6100000000001</v>
      </c>
      <c r="O4" s="191">
        <f>SUMIFS(O$11:O972,$B$11:$B972,"Estimated")</f>
        <v>131044.42000000001</v>
      </c>
      <c r="P4" s="102" t="s">
        <v>380</v>
      </c>
      <c r="Q4" s="131">
        <f>O4-O3</f>
        <v>30690.899999999994</v>
      </c>
    </row>
    <row r="5" spans="1:17" s="166" customFormat="1" ht="14.4" customHeight="1" x14ac:dyDescent="0.3">
      <c r="A5" s="240"/>
      <c r="B5" s="162" t="s">
        <v>18</v>
      </c>
      <c r="C5" s="163">
        <v>0</v>
      </c>
      <c r="D5" s="163">
        <v>0</v>
      </c>
      <c r="E5" s="163">
        <v>0</v>
      </c>
      <c r="F5" s="163">
        <v>0</v>
      </c>
      <c r="G5" s="163">
        <v>0</v>
      </c>
      <c r="H5" s="163">
        <v>0</v>
      </c>
      <c r="I5" s="163">
        <v>0</v>
      </c>
      <c r="J5" s="163">
        <v>0</v>
      </c>
      <c r="K5" s="163">
        <v>0</v>
      </c>
      <c r="L5" s="163">
        <v>0</v>
      </c>
      <c r="M5" s="163">
        <v>0</v>
      </c>
      <c r="N5" s="163">
        <v>0</v>
      </c>
      <c r="O5" s="168">
        <f t="shared" ref="O5" si="0">SUM(C5:N5)</f>
        <v>0</v>
      </c>
      <c r="P5" s="166" t="s">
        <v>380</v>
      </c>
    </row>
    <row r="6" spans="1:17" s="166" customFormat="1" ht="15" thickBot="1" x14ac:dyDescent="0.35">
      <c r="A6" s="241"/>
      <c r="B6" s="174" t="s">
        <v>19</v>
      </c>
      <c r="C6" s="175">
        <f>SUMIFS(C$11:C977,$B$11:$B977,"Actual")</f>
        <v>3692.29</v>
      </c>
      <c r="D6" s="175">
        <f>SUMIFS(D$11:D977,$B$11:$B977,"Actual")</f>
        <v>38805.870000000003</v>
      </c>
      <c r="E6" s="175">
        <f>SUMIFS(E$11:E977,$B$11:$B977,"Actual")</f>
        <v>61092.63</v>
      </c>
      <c r="F6" s="175">
        <f>SUMIFS(F$11:F977,$B$11:$B977,"Actual")</f>
        <v>21354.829999999998</v>
      </c>
      <c r="G6" s="175">
        <f>SUMIFS(G$11:G977,$B$11:$B977,"Actual")</f>
        <v>2325.79</v>
      </c>
      <c r="H6" s="175">
        <f>SUMIFS(H$11:H977,$B$11:$B977,"Actual")</f>
        <v>1536.3600000000001</v>
      </c>
      <c r="I6" s="177">
        <f>SUMIFS(I$11:I977,$B$11:$B977,"Actual")</f>
        <v>1381.8400000000001</v>
      </c>
      <c r="J6" s="177">
        <f>SUMIFS(J$11:J977,$B$11:$B977,"Actual")</f>
        <v>1381.69</v>
      </c>
      <c r="K6" s="177">
        <f>SUMIFS(K$11:K977,$B$11:$B977,"Actual")</f>
        <v>0</v>
      </c>
      <c r="L6" s="177">
        <f>SUMIFS(L$11:L977,$B$11:$B977,"Actual")</f>
        <v>0</v>
      </c>
      <c r="M6" s="177">
        <f>SUMIFS(M$11:M977,$B$11:$B977,"Actual")</f>
        <v>0</v>
      </c>
      <c r="N6" s="177">
        <f>SUMIFS(N$11:N977,$B$11:$B977,"Actual")</f>
        <v>0</v>
      </c>
      <c r="O6" s="176">
        <f>SUMIFS(O$11:O977,$B$11:$B977,"Actual")</f>
        <v>131571.29999999999</v>
      </c>
    </row>
    <row r="7" spans="1:17" s="64" customFormat="1" ht="15" thickTop="1" x14ac:dyDescent="0.3">
      <c r="A7" s="134"/>
      <c r="B7" s="70" t="s">
        <v>21</v>
      </c>
      <c r="C7" s="60">
        <f t="shared" ref="C7:I7" si="1">C5-C6</f>
        <v>-3692.29</v>
      </c>
      <c r="D7" s="60">
        <f t="shared" si="1"/>
        <v>-38805.870000000003</v>
      </c>
      <c r="E7" s="60">
        <f t="shared" si="1"/>
        <v>-61092.63</v>
      </c>
      <c r="F7" s="60">
        <f t="shared" si="1"/>
        <v>-21354.829999999998</v>
      </c>
      <c r="G7" s="60">
        <f t="shared" si="1"/>
        <v>-2325.79</v>
      </c>
      <c r="H7" s="60">
        <f t="shared" si="1"/>
        <v>-1536.3600000000001</v>
      </c>
      <c r="I7" s="60">
        <f t="shared" si="1"/>
        <v>-1381.8400000000001</v>
      </c>
      <c r="J7" s="60">
        <f t="shared" ref="J7:N7" si="2">J5-J6</f>
        <v>-1381.69</v>
      </c>
      <c r="K7" s="60">
        <f t="shared" si="2"/>
        <v>0</v>
      </c>
      <c r="L7" s="60">
        <f t="shared" si="2"/>
        <v>0</v>
      </c>
      <c r="M7" s="60">
        <f t="shared" si="2"/>
        <v>0</v>
      </c>
      <c r="N7" s="60">
        <f t="shared" si="2"/>
        <v>0</v>
      </c>
      <c r="O7" s="75">
        <f>O5-O6</f>
        <v>-131571.29999999999</v>
      </c>
    </row>
    <row r="8" spans="1:17" s="142" customFormat="1" x14ac:dyDescent="0.3">
      <c r="A8" s="138"/>
      <c r="B8" s="139" t="s">
        <v>23</v>
      </c>
      <c r="C8" s="140">
        <f>SUM($C6:C6)</f>
        <v>3692.29</v>
      </c>
      <c r="D8" s="140">
        <f>SUM($C6:D6)</f>
        <v>42498.16</v>
      </c>
      <c r="E8" s="140">
        <f>SUM($C6:E6)</f>
        <v>103590.79000000001</v>
      </c>
      <c r="F8" s="140">
        <f>SUM($C6:F6)</f>
        <v>124945.62000000001</v>
      </c>
      <c r="G8" s="140">
        <f>SUM($C6:G6)</f>
        <v>127271.41</v>
      </c>
      <c r="H8" s="140">
        <f>SUM($C6:H6)</f>
        <v>128807.77</v>
      </c>
      <c r="I8" s="140">
        <f>SUM($C6:I6)</f>
        <v>130189.61</v>
      </c>
      <c r="J8" s="140">
        <f>SUM($C6:J6)</f>
        <v>131571.29999999999</v>
      </c>
      <c r="K8" s="140">
        <f>SUM($C6:K6)</f>
        <v>131571.29999999999</v>
      </c>
      <c r="L8" s="140">
        <f>SUM($C6:L6)</f>
        <v>131571.29999999999</v>
      </c>
      <c r="M8" s="140">
        <f>SUM($C6:M6)</f>
        <v>131571.29999999999</v>
      </c>
      <c r="N8" s="140">
        <f>SUM($C6:N6)</f>
        <v>131571.29999999999</v>
      </c>
      <c r="O8" s="141">
        <f>O6</f>
        <v>131571.29999999999</v>
      </c>
    </row>
    <row r="9" spans="1:17" s="142" customFormat="1" x14ac:dyDescent="0.3">
      <c r="A9" s="143"/>
      <c r="B9" s="144" t="s">
        <v>25</v>
      </c>
      <c r="C9" s="145">
        <f>SUM($C5:C5)-C8</f>
        <v>-3692.29</v>
      </c>
      <c r="D9" s="145">
        <f>SUM($C5:D5)-D8</f>
        <v>-42498.16</v>
      </c>
      <c r="E9" s="145">
        <f>SUM($C5:E5)-E8</f>
        <v>-103590.79000000001</v>
      </c>
      <c r="F9" s="145">
        <f>SUM($C5:F5)-F8</f>
        <v>-124945.62000000001</v>
      </c>
      <c r="G9" s="145">
        <f>SUM($C5:G5)-G8</f>
        <v>-127271.41</v>
      </c>
      <c r="H9" s="145">
        <f>SUM($C5:H5)-H8</f>
        <v>-128807.77</v>
      </c>
      <c r="I9" s="145">
        <f>SUM($C5:I5)-I8</f>
        <v>-130189.61</v>
      </c>
      <c r="J9" s="145">
        <f>SUM($C5:J5)-J8</f>
        <v>-131571.29999999999</v>
      </c>
      <c r="K9" s="145">
        <f>SUM($C5:K5)-K8</f>
        <v>-131571.29999999999</v>
      </c>
      <c r="L9" s="145">
        <f>SUM($C5:L5)-L8</f>
        <v>-131571.29999999999</v>
      </c>
      <c r="M9" s="145">
        <f>SUM($C5:M5)-M8</f>
        <v>-131571.29999999999</v>
      </c>
      <c r="N9" s="145">
        <f>SUM($C5:N5)-N8</f>
        <v>-131571.29999999999</v>
      </c>
      <c r="O9" s="146"/>
    </row>
    <row r="10" spans="1:17" x14ac:dyDescent="0.3"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7" s="102" customFormat="1" ht="12" x14ac:dyDescent="0.25">
      <c r="A11" s="235" t="s">
        <v>381</v>
      </c>
      <c r="B11" s="99" t="s">
        <v>16</v>
      </c>
      <c r="C11" s="100">
        <v>1805.76</v>
      </c>
      <c r="D11" s="100"/>
      <c r="E11" s="100"/>
      <c r="F11" s="100">
        <v>1805.76</v>
      </c>
      <c r="G11" s="100"/>
      <c r="H11" s="100"/>
      <c r="I11" s="100"/>
      <c r="J11" s="100"/>
      <c r="K11" s="100">
        <v>1865.95</v>
      </c>
      <c r="L11" s="100">
        <v>1865.95</v>
      </c>
      <c r="M11" s="100"/>
      <c r="N11" s="100"/>
      <c r="O11" s="103">
        <f>SUM(C11:N11)</f>
        <v>7343.42</v>
      </c>
    </row>
    <row r="12" spans="1:17" s="102" customFormat="1" ht="12" x14ac:dyDescent="0.25">
      <c r="A12" s="235"/>
      <c r="B12" s="99" t="s">
        <v>29</v>
      </c>
      <c r="C12" s="100">
        <v>1504.8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9028</v>
      </c>
      <c r="J12" s="100">
        <v>0</v>
      </c>
      <c r="K12" s="100">
        <v>250</v>
      </c>
      <c r="L12" s="100">
        <v>0</v>
      </c>
      <c r="M12" s="100">
        <v>0</v>
      </c>
      <c r="N12" s="100">
        <v>0</v>
      </c>
      <c r="O12" s="103">
        <f>SUM(C12:N12)</f>
        <v>10782.8</v>
      </c>
    </row>
    <row r="13" spans="1:17" s="67" customFormat="1" ht="12.6" customHeight="1" x14ac:dyDescent="0.3">
      <c r="A13" s="155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66">
        <f>SUM(C13:N13)</f>
        <v>0</v>
      </c>
    </row>
    <row r="14" spans="1:17" s="67" customFormat="1" ht="12.6" customHeight="1" x14ac:dyDescent="0.3">
      <c r="A14" s="156"/>
      <c r="B14" s="116" t="s">
        <v>32</v>
      </c>
      <c r="C14" s="117">
        <v>1865.95</v>
      </c>
      <c r="D14" s="117"/>
      <c r="E14" s="117"/>
      <c r="F14" s="117">
        <v>1865.95</v>
      </c>
      <c r="G14" s="117"/>
      <c r="H14" s="117"/>
      <c r="I14" s="117"/>
      <c r="J14" s="117"/>
      <c r="K14" s="117"/>
      <c r="L14" s="117"/>
      <c r="M14" s="117"/>
      <c r="N14" s="117"/>
      <c r="O14" s="118">
        <f>SUM(C14:N14)</f>
        <v>3731.9</v>
      </c>
    </row>
    <row r="15" spans="1:17" s="102" customFormat="1" ht="12" x14ac:dyDescent="0.25">
      <c r="A15" s="236" t="s">
        <v>382</v>
      </c>
      <c r="B15" s="99" t="s">
        <v>16</v>
      </c>
      <c r="C15" s="100"/>
      <c r="D15" s="100"/>
      <c r="E15" s="100">
        <v>38975.08</v>
      </c>
      <c r="F15" s="100">
        <v>805.65</v>
      </c>
      <c r="G15" s="100"/>
      <c r="H15" s="100"/>
      <c r="I15" s="100">
        <v>608.45000000000005</v>
      </c>
      <c r="J15" s="100"/>
      <c r="K15" s="100">
        <v>466.56</v>
      </c>
      <c r="L15" s="100">
        <v>392.02</v>
      </c>
      <c r="M15" s="100"/>
      <c r="N15" s="100"/>
      <c r="O15" s="103">
        <f t="shared" ref="O15:O42" si="3">SUM(C15:N15)</f>
        <v>41247.759999999995</v>
      </c>
    </row>
    <row r="16" spans="1:17" s="102" customFormat="1" ht="12" x14ac:dyDescent="0.25">
      <c r="A16" s="235"/>
      <c r="B16" s="99" t="s">
        <v>29</v>
      </c>
      <c r="C16" s="100">
        <v>0</v>
      </c>
      <c r="D16" s="100">
        <v>0</v>
      </c>
      <c r="E16" s="100">
        <v>58687.199999999997</v>
      </c>
      <c r="F16" s="100">
        <v>926.5</v>
      </c>
      <c r="G16" s="100"/>
      <c r="H16" s="100">
        <v>0</v>
      </c>
      <c r="I16" s="100">
        <v>699.72</v>
      </c>
      <c r="J16" s="100">
        <v>0</v>
      </c>
      <c r="K16" s="100">
        <v>536.54</v>
      </c>
      <c r="L16" s="100">
        <v>450.82</v>
      </c>
      <c r="M16" s="100">
        <v>0</v>
      </c>
      <c r="N16" s="100">
        <v>0</v>
      </c>
      <c r="O16" s="103">
        <f t="shared" si="3"/>
        <v>61300.78</v>
      </c>
    </row>
    <row r="17" spans="1:15" s="67" customFormat="1" ht="12.6" customHeight="1" x14ac:dyDescent="0.3">
      <c r="A17" s="155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>
        <f>SUM(C17:N17)</f>
        <v>0</v>
      </c>
    </row>
    <row r="18" spans="1:15" s="67" customFormat="1" ht="12.6" customHeight="1" x14ac:dyDescent="0.3">
      <c r="A18" s="156"/>
      <c r="B18" s="116" t="s">
        <v>32</v>
      </c>
      <c r="C18" s="117">
        <v>158.72999999999999</v>
      </c>
      <c r="D18" s="117"/>
      <c r="E18" s="117">
        <v>59565</v>
      </c>
      <c r="F18" s="117">
        <f>17100.1+719.42</f>
        <v>17819.519999999997</v>
      </c>
      <c r="G18" s="117">
        <v>716.42</v>
      </c>
      <c r="H18" s="117"/>
      <c r="I18" s="117"/>
      <c r="J18" s="117"/>
      <c r="K18" s="117"/>
      <c r="L18" s="117"/>
      <c r="M18" s="117"/>
      <c r="N18" s="117"/>
      <c r="O18" s="118">
        <f t="shared" si="3"/>
        <v>78259.67</v>
      </c>
    </row>
    <row r="19" spans="1:15" s="102" customFormat="1" ht="12" x14ac:dyDescent="0.25">
      <c r="A19" s="236" t="s">
        <v>383</v>
      </c>
      <c r="B19" s="99" t="s">
        <v>16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3">
        <f t="shared" ref="O19:O22" si="4">SUM(C19:N19)</f>
        <v>0</v>
      </c>
    </row>
    <row r="20" spans="1:15" s="102" customFormat="1" ht="12" x14ac:dyDescent="0.25">
      <c r="A20" s="235"/>
      <c r="B20" s="99" t="s">
        <v>29</v>
      </c>
      <c r="C20" s="100">
        <v>0</v>
      </c>
      <c r="D20" s="100">
        <v>0</v>
      </c>
      <c r="E20" s="100">
        <v>0</v>
      </c>
      <c r="F20" s="100">
        <v>12.2</v>
      </c>
      <c r="G20" s="100">
        <v>7.33</v>
      </c>
      <c r="H20" s="100">
        <v>0</v>
      </c>
      <c r="I20" s="100">
        <v>6.07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3">
        <f>SUM(C20:N20)</f>
        <v>25.6</v>
      </c>
    </row>
    <row r="21" spans="1:15" s="67" customFormat="1" ht="12.6" customHeight="1" x14ac:dyDescent="0.3">
      <c r="A21" s="155"/>
      <c r="B21" s="65" t="s">
        <v>31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66">
        <f t="shared" si="4"/>
        <v>0</v>
      </c>
    </row>
    <row r="22" spans="1:15" s="67" customFormat="1" ht="12.6" customHeight="1" x14ac:dyDescent="0.3">
      <c r="A22" s="156"/>
      <c r="B22" s="116" t="s">
        <v>32</v>
      </c>
      <c r="C22" s="117"/>
      <c r="D22" s="117"/>
      <c r="E22" s="117">
        <v>4.5599999999999996</v>
      </c>
      <c r="F22" s="117">
        <v>31.41</v>
      </c>
      <c r="G22" s="117"/>
      <c r="H22" s="117"/>
      <c r="I22" s="117"/>
      <c r="J22" s="117"/>
      <c r="K22" s="117"/>
      <c r="L22" s="117"/>
      <c r="M22" s="117"/>
      <c r="N22" s="117"/>
      <c r="O22" s="118">
        <f t="shared" si="4"/>
        <v>35.97</v>
      </c>
    </row>
    <row r="23" spans="1:15" s="102" customFormat="1" ht="12" x14ac:dyDescent="0.25">
      <c r="A23" s="236" t="s">
        <v>384</v>
      </c>
      <c r="B23" s="99" t="s">
        <v>16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3">
        <f t="shared" si="3"/>
        <v>0</v>
      </c>
    </row>
    <row r="24" spans="1:15" s="102" customFormat="1" ht="12" x14ac:dyDescent="0.25">
      <c r="A24" s="235"/>
      <c r="B24" s="99" t="s">
        <v>29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>
        <v>0</v>
      </c>
      <c r="N24" s="100">
        <v>0</v>
      </c>
      <c r="O24" s="103">
        <f>SUM(C24:N24)</f>
        <v>0</v>
      </c>
    </row>
    <row r="25" spans="1:15" s="67" customFormat="1" ht="12.6" customHeight="1" x14ac:dyDescent="0.3">
      <c r="A25" s="155"/>
      <c r="B25" s="65" t="s">
        <v>31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66">
        <f t="shared" si="3"/>
        <v>0</v>
      </c>
    </row>
    <row r="26" spans="1:15" s="67" customFormat="1" ht="12.6" customHeight="1" x14ac:dyDescent="0.3">
      <c r="A26" s="156"/>
      <c r="B26" s="116" t="s">
        <v>32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8">
        <f t="shared" si="3"/>
        <v>0</v>
      </c>
    </row>
    <row r="27" spans="1:15" s="102" customFormat="1" ht="12" x14ac:dyDescent="0.25">
      <c r="A27" s="236" t="s">
        <v>385</v>
      </c>
      <c r="B27" s="99" t="s">
        <v>16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3">
        <f t="shared" si="3"/>
        <v>0</v>
      </c>
    </row>
    <row r="28" spans="1:15" s="102" customFormat="1" ht="12" x14ac:dyDescent="0.25">
      <c r="A28" s="235"/>
      <c r="B28" s="99" t="s">
        <v>29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119.14</v>
      </c>
      <c r="L28" s="100">
        <v>0</v>
      </c>
      <c r="M28" s="100">
        <v>0</v>
      </c>
      <c r="N28" s="100">
        <v>0</v>
      </c>
      <c r="O28" s="103">
        <f>SUM(C28:N28)</f>
        <v>119.14</v>
      </c>
    </row>
    <row r="29" spans="1:15" s="67" customFormat="1" ht="12.6" customHeight="1" x14ac:dyDescent="0.3">
      <c r="A29" s="155"/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66">
        <f t="shared" si="3"/>
        <v>0</v>
      </c>
    </row>
    <row r="30" spans="1:15" s="67" customFormat="1" ht="12.6" customHeight="1" x14ac:dyDescent="0.3">
      <c r="A30" s="156"/>
      <c r="B30" s="116" t="s">
        <v>32</v>
      </c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8">
        <f t="shared" si="3"/>
        <v>0</v>
      </c>
    </row>
    <row r="31" spans="1:15" s="102" customFormat="1" ht="12" x14ac:dyDescent="0.25">
      <c r="A31" s="236" t="s">
        <v>386</v>
      </c>
      <c r="B31" s="99" t="s">
        <v>16</v>
      </c>
      <c r="C31" s="100"/>
      <c r="D31" s="100">
        <v>3100</v>
      </c>
      <c r="E31" s="100">
        <v>3100</v>
      </c>
      <c r="F31" s="100">
        <v>3100</v>
      </c>
      <c r="G31" s="100">
        <v>3100</v>
      </c>
      <c r="H31" s="100">
        <v>3100</v>
      </c>
      <c r="I31" s="100">
        <v>3100</v>
      </c>
      <c r="J31" s="100">
        <v>3100</v>
      </c>
      <c r="K31" s="100">
        <v>3100</v>
      </c>
      <c r="L31" s="100">
        <v>3100</v>
      </c>
      <c r="M31" s="100">
        <v>3100</v>
      </c>
      <c r="N31" s="100">
        <v>3100</v>
      </c>
      <c r="O31" s="103">
        <f t="shared" si="3"/>
        <v>34100</v>
      </c>
    </row>
    <row r="32" spans="1:15" s="102" customFormat="1" ht="12" x14ac:dyDescent="0.25">
      <c r="A32" s="235"/>
      <c r="B32" s="99" t="s">
        <v>29</v>
      </c>
      <c r="C32" s="100">
        <v>0</v>
      </c>
      <c r="D32" s="100">
        <v>37200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3">
        <f>SUM(C32:N32)</f>
        <v>37200</v>
      </c>
    </row>
    <row r="33" spans="1:15" s="67" customFormat="1" ht="12.6" customHeight="1" x14ac:dyDescent="0.3">
      <c r="A33" s="155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 t="shared" si="3"/>
        <v>0</v>
      </c>
    </row>
    <row r="34" spans="1:15" s="67" customFormat="1" ht="12.6" customHeight="1" x14ac:dyDescent="0.3">
      <c r="A34" s="156"/>
      <c r="B34" s="116" t="s">
        <v>32</v>
      </c>
      <c r="C34" s="117"/>
      <c r="D34" s="117">
        <v>37200</v>
      </c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8">
        <f t="shared" si="3"/>
        <v>37200</v>
      </c>
    </row>
    <row r="35" spans="1:15" s="102" customFormat="1" ht="12" x14ac:dyDescent="0.25">
      <c r="A35" s="236" t="s">
        <v>387</v>
      </c>
      <c r="B35" s="99" t="s">
        <v>16</v>
      </c>
      <c r="C35" s="100">
        <v>176.68</v>
      </c>
      <c r="D35" s="100">
        <v>266.89</v>
      </c>
      <c r="E35" s="100">
        <v>266.89</v>
      </c>
      <c r="F35" s="100">
        <v>266.89</v>
      </c>
      <c r="G35" s="100">
        <v>266.89</v>
      </c>
      <c r="H35" s="100">
        <v>266.89</v>
      </c>
      <c r="I35" s="100">
        <v>282.58999999999997</v>
      </c>
      <c r="J35" s="100">
        <v>282.58999999999997</v>
      </c>
      <c r="K35" s="100">
        <v>282.58999999999997</v>
      </c>
      <c r="L35" s="100">
        <v>282.58999999999997</v>
      </c>
      <c r="M35" s="100">
        <v>298.29000000000002</v>
      </c>
      <c r="N35" s="100">
        <v>298.29000000000002</v>
      </c>
      <c r="O35" s="103">
        <f t="shared" si="3"/>
        <v>3238.07</v>
      </c>
    </row>
    <row r="36" spans="1:15" s="102" customFormat="1" ht="12" x14ac:dyDescent="0.25">
      <c r="A36" s="235"/>
      <c r="B36" s="99" t="s">
        <v>29</v>
      </c>
      <c r="C36" s="100">
        <v>380</v>
      </c>
      <c r="D36" s="100">
        <v>380</v>
      </c>
      <c r="E36" s="100">
        <v>380</v>
      </c>
      <c r="F36" s="100">
        <v>380</v>
      </c>
      <c r="G36" s="100">
        <v>380</v>
      </c>
      <c r="H36" s="100">
        <v>380</v>
      </c>
      <c r="I36" s="100">
        <v>380</v>
      </c>
      <c r="J36" s="100">
        <v>380</v>
      </c>
      <c r="K36" s="100">
        <v>380</v>
      </c>
      <c r="L36" s="100">
        <v>380</v>
      </c>
      <c r="M36" s="100">
        <v>380</v>
      </c>
      <c r="N36" s="100">
        <v>380</v>
      </c>
      <c r="O36" s="103">
        <f>SUM(C36:N36)</f>
        <v>4560</v>
      </c>
    </row>
    <row r="37" spans="1:15" s="67" customFormat="1" ht="12.6" customHeight="1" x14ac:dyDescent="0.3">
      <c r="A37" s="155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 t="shared" si="3"/>
        <v>0</v>
      </c>
    </row>
    <row r="38" spans="1:15" s="67" customFormat="1" ht="12.6" customHeight="1" x14ac:dyDescent="0.3">
      <c r="A38" s="156"/>
      <c r="B38" s="116" t="s">
        <v>32</v>
      </c>
      <c r="C38" s="117">
        <v>298.29000000000002</v>
      </c>
      <c r="D38" s="117">
        <v>298.29000000000002</v>
      </c>
      <c r="E38" s="117">
        <v>298.29000000000002</v>
      </c>
      <c r="F38" s="117">
        <v>298.29000000000002</v>
      </c>
      <c r="G38" s="117">
        <v>324.25</v>
      </c>
      <c r="H38" s="117">
        <v>324.45</v>
      </c>
      <c r="I38" s="194"/>
      <c r="J38" s="117"/>
      <c r="K38" s="117"/>
      <c r="L38" s="117"/>
      <c r="M38" s="117"/>
      <c r="N38" s="117"/>
      <c r="O38" s="118">
        <f t="shared" si="3"/>
        <v>1841.8600000000001</v>
      </c>
    </row>
    <row r="39" spans="1:15" s="102" customFormat="1" ht="12" x14ac:dyDescent="0.25">
      <c r="A39" s="236" t="s">
        <v>388</v>
      </c>
      <c r="B39" s="99" t="s">
        <v>16</v>
      </c>
      <c r="C39" s="100"/>
      <c r="D39" s="100"/>
      <c r="E39" s="100"/>
      <c r="F39" s="100"/>
      <c r="G39" s="100">
        <v>-21.55</v>
      </c>
      <c r="H39" s="100">
        <v>94.2</v>
      </c>
      <c r="I39" s="100">
        <v>94.2</v>
      </c>
      <c r="J39" s="100">
        <v>94.2</v>
      </c>
      <c r="K39" s="100">
        <v>94.2</v>
      </c>
      <c r="L39" s="100">
        <v>94.2</v>
      </c>
      <c r="M39" s="100">
        <v>94.2</v>
      </c>
      <c r="N39" s="100">
        <v>94.2</v>
      </c>
      <c r="O39" s="103">
        <f t="shared" si="3"/>
        <v>637.85</v>
      </c>
    </row>
    <row r="40" spans="1:15" s="102" customFormat="1" ht="12" x14ac:dyDescent="0.25">
      <c r="A40" s="235"/>
      <c r="B40" s="99" t="s">
        <v>29</v>
      </c>
      <c r="C40" s="100">
        <v>0</v>
      </c>
      <c r="D40" s="100">
        <v>0</v>
      </c>
      <c r="E40" s="100">
        <v>94.2</v>
      </c>
      <c r="F40" s="100">
        <v>94.2</v>
      </c>
      <c r="G40" s="100">
        <v>94.2</v>
      </c>
      <c r="H40" s="100">
        <v>94.2</v>
      </c>
      <c r="I40" s="100">
        <v>94.2</v>
      </c>
      <c r="J40" s="100">
        <v>94.2</v>
      </c>
      <c r="K40" s="100">
        <v>94.2</v>
      </c>
      <c r="L40" s="100">
        <v>94.2</v>
      </c>
      <c r="M40" s="100">
        <v>94.2</v>
      </c>
      <c r="N40" s="100">
        <v>94.2</v>
      </c>
      <c r="O40" s="103">
        <f>SUM(C40:N40)</f>
        <v>942.00000000000023</v>
      </c>
    </row>
    <row r="41" spans="1:15" s="64" customFormat="1" ht="12.6" customHeight="1" x14ac:dyDescent="0.3">
      <c r="A41" s="155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 t="shared" si="3"/>
        <v>0</v>
      </c>
    </row>
    <row r="42" spans="1:15" s="64" customFormat="1" ht="12.6" customHeight="1" x14ac:dyDescent="0.3">
      <c r="A42" s="156"/>
      <c r="B42" s="7" t="s">
        <v>32</v>
      </c>
      <c r="C42" s="114">
        <v>94.2</v>
      </c>
      <c r="D42" s="114">
        <v>94.2</v>
      </c>
      <c r="E42" s="114">
        <v>94.2</v>
      </c>
      <c r="F42" s="114">
        <v>94.2</v>
      </c>
      <c r="G42" s="114">
        <v>94.2</v>
      </c>
      <c r="H42" s="114"/>
      <c r="I42" s="114">
        <v>188.46</v>
      </c>
      <c r="J42" s="52">
        <f>62.82+62.82+62.82</f>
        <v>188.46</v>
      </c>
      <c r="K42" s="114"/>
      <c r="L42" s="114"/>
      <c r="M42" s="114"/>
      <c r="N42" s="114"/>
      <c r="O42" s="24">
        <f t="shared" si="3"/>
        <v>847.92000000000007</v>
      </c>
    </row>
    <row r="43" spans="1:15" s="102" customFormat="1" ht="12" x14ac:dyDescent="0.25">
      <c r="A43" s="236" t="s">
        <v>389</v>
      </c>
      <c r="B43" s="99" t="s">
        <v>16</v>
      </c>
      <c r="C43" s="100"/>
      <c r="D43" s="100"/>
      <c r="E43" s="100"/>
      <c r="F43" s="100"/>
      <c r="G43" s="100">
        <v>-21.55</v>
      </c>
      <c r="H43" s="100">
        <v>94.2</v>
      </c>
      <c r="I43" s="100">
        <v>94.2</v>
      </c>
      <c r="J43" s="100">
        <v>94.2</v>
      </c>
      <c r="K43" s="100">
        <v>94.2</v>
      </c>
      <c r="L43" s="100">
        <v>94.2</v>
      </c>
      <c r="M43" s="100">
        <v>94.2</v>
      </c>
      <c r="N43" s="100">
        <v>94.2</v>
      </c>
      <c r="O43" s="103">
        <f t="shared" ref="O43:O46" si="5">SUM(C43:N43)</f>
        <v>637.85</v>
      </c>
    </row>
    <row r="44" spans="1:15" s="102" customFormat="1" ht="12" x14ac:dyDescent="0.25">
      <c r="A44" s="235"/>
      <c r="B44" s="99" t="s">
        <v>29</v>
      </c>
      <c r="C44" s="100">
        <v>0</v>
      </c>
      <c r="D44" s="100">
        <v>0</v>
      </c>
      <c r="E44" s="100">
        <v>31.41</v>
      </c>
      <c r="F44" s="100">
        <v>31.41</v>
      </c>
      <c r="G44" s="100">
        <v>31.41</v>
      </c>
      <c r="H44" s="100">
        <v>31.41</v>
      </c>
      <c r="I44" s="100">
        <v>31.41</v>
      </c>
      <c r="J44" s="100">
        <v>31.41</v>
      </c>
      <c r="K44" s="100">
        <v>31.41</v>
      </c>
      <c r="L44" s="100">
        <v>31.41</v>
      </c>
      <c r="M44" s="100">
        <v>31.41</v>
      </c>
      <c r="N44" s="100">
        <v>31.41</v>
      </c>
      <c r="O44" s="103">
        <f>SUM(C44:N44)</f>
        <v>314.10000000000002</v>
      </c>
    </row>
    <row r="45" spans="1:15" s="64" customFormat="1" ht="12.6" customHeight="1" x14ac:dyDescent="0.3">
      <c r="A45" s="155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 t="shared" si="5"/>
        <v>0</v>
      </c>
    </row>
    <row r="46" spans="1:15" s="64" customFormat="1" ht="12.6" customHeight="1" x14ac:dyDescent="0.3">
      <c r="A46" s="156"/>
      <c r="B46" s="7" t="s">
        <v>32</v>
      </c>
      <c r="C46" s="114">
        <v>31.41</v>
      </c>
      <c r="D46" s="114">
        <v>31.41</v>
      </c>
      <c r="E46" s="114">
        <v>31.41</v>
      </c>
      <c r="F46" s="114">
        <v>31.41</v>
      </c>
      <c r="G46" s="114">
        <v>31.41</v>
      </c>
      <c r="H46" s="114">
        <v>31.41</v>
      </c>
      <c r="I46" s="114">
        <v>31.41</v>
      </c>
      <c r="J46" s="114"/>
      <c r="K46" s="114"/>
      <c r="L46" s="114"/>
      <c r="M46" s="114"/>
      <c r="N46" s="114"/>
      <c r="O46" s="24">
        <f t="shared" si="5"/>
        <v>219.87</v>
      </c>
    </row>
    <row r="47" spans="1:15" s="102" customFormat="1" ht="12" x14ac:dyDescent="0.25">
      <c r="A47" s="236" t="s">
        <v>390</v>
      </c>
      <c r="B47" s="99" t="s">
        <v>16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1">
        <f t="shared" ref="O47:O74" si="6">SUM(C47:N47)</f>
        <v>0</v>
      </c>
    </row>
    <row r="48" spans="1:15" s="102" customFormat="1" ht="12" x14ac:dyDescent="0.25">
      <c r="A48" s="235"/>
      <c r="B48" s="99" t="s">
        <v>29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2600</v>
      </c>
      <c r="K48" s="100">
        <v>0</v>
      </c>
      <c r="L48" s="100">
        <v>0</v>
      </c>
      <c r="M48" s="100">
        <v>0</v>
      </c>
      <c r="N48" s="100">
        <v>0</v>
      </c>
      <c r="O48" s="103">
        <f>SUM(C48:N48)</f>
        <v>2600</v>
      </c>
    </row>
    <row r="49" spans="1:15" s="64" customFormat="1" ht="12.6" customHeight="1" x14ac:dyDescent="0.3">
      <c r="A49" s="155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 t="shared" si="6"/>
        <v>0</v>
      </c>
    </row>
    <row r="50" spans="1:15" s="64" customFormat="1" ht="12.6" customHeight="1" x14ac:dyDescent="0.3">
      <c r="A50" s="156"/>
      <c r="B50" s="7" t="s">
        <v>32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24">
        <f t="shared" si="6"/>
        <v>0</v>
      </c>
    </row>
    <row r="51" spans="1:15" s="102" customFormat="1" ht="12" x14ac:dyDescent="0.25">
      <c r="A51" s="236" t="s">
        <v>391</v>
      </c>
      <c r="B51" s="99" t="s">
        <v>16</v>
      </c>
      <c r="C51" s="100">
        <v>950.62</v>
      </c>
      <c r="D51" s="100">
        <v>955.44</v>
      </c>
      <c r="E51" s="100">
        <v>992.1</v>
      </c>
      <c r="F51" s="100">
        <v>1232.56</v>
      </c>
      <c r="G51" s="100">
        <v>1087.8599999999999</v>
      </c>
      <c r="H51" s="100">
        <v>1137.02</v>
      </c>
      <c r="I51" s="100">
        <v>1083.01</v>
      </c>
      <c r="J51" s="100">
        <v>1144.7</v>
      </c>
      <c r="K51" s="100">
        <v>1160.6600000000001</v>
      </c>
      <c r="L51" s="100">
        <v>1111.02</v>
      </c>
      <c r="M51" s="100">
        <v>1158.55</v>
      </c>
      <c r="N51" s="100">
        <v>1135.03</v>
      </c>
      <c r="O51" s="103">
        <f t="shared" si="6"/>
        <v>13148.57</v>
      </c>
    </row>
    <row r="52" spans="1:15" s="102" customFormat="1" ht="12" x14ac:dyDescent="0.25">
      <c r="A52" s="235"/>
      <c r="B52" s="99" t="s">
        <v>29</v>
      </c>
      <c r="C52" s="100">
        <v>1100</v>
      </c>
      <c r="D52" s="100">
        <v>1100</v>
      </c>
      <c r="E52" s="100">
        <v>1100</v>
      </c>
      <c r="F52" s="100">
        <v>1100</v>
      </c>
      <c r="G52" s="100">
        <v>1100</v>
      </c>
      <c r="H52" s="100">
        <v>1100</v>
      </c>
      <c r="I52" s="100">
        <v>1100</v>
      </c>
      <c r="J52" s="100">
        <v>1100</v>
      </c>
      <c r="K52" s="100">
        <v>1100</v>
      </c>
      <c r="L52" s="100">
        <v>1100</v>
      </c>
      <c r="M52" s="100">
        <v>1100</v>
      </c>
      <c r="N52" s="100">
        <v>1100</v>
      </c>
      <c r="O52" s="103">
        <f>SUM(C52:N52)</f>
        <v>13200</v>
      </c>
    </row>
    <row r="53" spans="1:15" s="64" customFormat="1" ht="12.6" customHeight="1" x14ac:dyDescent="0.3">
      <c r="A53" s="154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 t="shared" si="6"/>
        <v>0</v>
      </c>
    </row>
    <row r="54" spans="1:15" s="64" customFormat="1" ht="12.6" customHeight="1" x14ac:dyDescent="0.3">
      <c r="A54" s="157"/>
      <c r="B54" s="7" t="s">
        <v>32</v>
      </c>
      <c r="C54" s="114">
        <v>1243.71</v>
      </c>
      <c r="D54" s="114">
        <v>1181.97</v>
      </c>
      <c r="E54" s="114">
        <v>1099.17</v>
      </c>
      <c r="F54" s="114">
        <v>1214.05</v>
      </c>
      <c r="G54" s="114">
        <v>1159.51</v>
      </c>
      <c r="H54" s="193">
        <v>1180.5</v>
      </c>
      <c r="I54" s="193">
        <v>1161.97</v>
      </c>
      <c r="J54" s="137">
        <v>1193.23</v>
      </c>
      <c r="K54" s="114"/>
      <c r="L54" s="114"/>
      <c r="M54" s="114"/>
      <c r="N54" s="114"/>
      <c r="O54" s="24">
        <f t="shared" si="6"/>
        <v>9434.11</v>
      </c>
    </row>
    <row r="55" spans="1:15" s="102" customFormat="1" ht="12" x14ac:dyDescent="0.25">
      <c r="A55" s="236"/>
      <c r="B55" s="99" t="s">
        <v>16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3">
        <f t="shared" si="6"/>
        <v>0</v>
      </c>
    </row>
    <row r="56" spans="1:15" s="102" customFormat="1" ht="12" x14ac:dyDescent="0.25">
      <c r="A56" s="235"/>
      <c r="B56" s="99" t="s">
        <v>29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3">
        <f>SUM(C56:N56)</f>
        <v>0</v>
      </c>
    </row>
    <row r="57" spans="1:15" s="64" customFormat="1" ht="12.6" customHeight="1" x14ac:dyDescent="0.3">
      <c r="A57" s="154"/>
      <c r="B57" s="5" t="s">
        <v>31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7">
        <f t="shared" si="6"/>
        <v>0</v>
      </c>
    </row>
    <row r="58" spans="1:15" s="64" customFormat="1" ht="12.6" customHeight="1" x14ac:dyDescent="0.3">
      <c r="A58" s="157"/>
      <c r="B58" s="7" t="s">
        <v>32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24">
        <f t="shared" si="6"/>
        <v>0</v>
      </c>
    </row>
    <row r="59" spans="1:15" s="102" customFormat="1" ht="12" x14ac:dyDescent="0.25">
      <c r="A59" s="236"/>
      <c r="B59" s="99" t="s">
        <v>16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3">
        <f t="shared" si="6"/>
        <v>0</v>
      </c>
    </row>
    <row r="60" spans="1:15" s="102" customFormat="1" ht="12" x14ac:dyDescent="0.25">
      <c r="A60" s="235"/>
      <c r="B60" s="99" t="s">
        <v>29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3">
        <f>SUM(C60:N60)</f>
        <v>0</v>
      </c>
    </row>
    <row r="61" spans="1:15" s="64" customFormat="1" ht="12.6" customHeight="1" x14ac:dyDescent="0.3">
      <c r="A61" s="154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 t="shared" si="6"/>
        <v>0</v>
      </c>
    </row>
    <row r="62" spans="1:15" s="64" customFormat="1" ht="12.6" customHeight="1" x14ac:dyDescent="0.3">
      <c r="A62" s="157"/>
      <c r="B62" s="7" t="s">
        <v>32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24">
        <f t="shared" si="6"/>
        <v>0</v>
      </c>
    </row>
    <row r="63" spans="1:15" s="102" customFormat="1" ht="12" x14ac:dyDescent="0.25">
      <c r="A63" s="236"/>
      <c r="B63" s="99" t="s">
        <v>16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3">
        <f t="shared" si="6"/>
        <v>0</v>
      </c>
    </row>
    <row r="64" spans="1:15" s="102" customFormat="1" ht="12" x14ac:dyDescent="0.25">
      <c r="A64" s="235"/>
      <c r="B64" s="99" t="s">
        <v>29</v>
      </c>
      <c r="C64" s="100">
        <v>0</v>
      </c>
      <c r="D64" s="100">
        <v>0</v>
      </c>
      <c r="E64" s="100">
        <v>0</v>
      </c>
      <c r="F64" s="100">
        <v>0</v>
      </c>
      <c r="G64" s="100">
        <v>0</v>
      </c>
      <c r="H64" s="100">
        <v>0</v>
      </c>
      <c r="I64" s="100">
        <v>0</v>
      </c>
      <c r="J64" s="100">
        <v>0</v>
      </c>
      <c r="K64" s="100">
        <v>0</v>
      </c>
      <c r="L64" s="100">
        <v>0</v>
      </c>
      <c r="M64" s="100">
        <v>0</v>
      </c>
      <c r="N64" s="100">
        <v>0</v>
      </c>
      <c r="O64" s="103">
        <f>SUM(C64:N64)</f>
        <v>0</v>
      </c>
    </row>
    <row r="65" spans="1:15" s="64" customFormat="1" ht="12.6" customHeight="1" x14ac:dyDescent="0.3">
      <c r="A65" s="155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 t="shared" si="6"/>
        <v>0</v>
      </c>
    </row>
    <row r="66" spans="1:15" s="64" customFormat="1" ht="12.6" customHeight="1" x14ac:dyDescent="0.3">
      <c r="A66" s="156"/>
      <c r="B66" s="7" t="s">
        <v>32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24">
        <f t="shared" si="6"/>
        <v>0</v>
      </c>
    </row>
    <row r="67" spans="1:15" s="102" customFormat="1" ht="12.6" customHeight="1" x14ac:dyDescent="0.25">
      <c r="A67" s="236"/>
      <c r="B67" s="99" t="s">
        <v>16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3">
        <f t="shared" si="6"/>
        <v>0</v>
      </c>
    </row>
    <row r="68" spans="1:15" s="102" customFormat="1" ht="12" x14ac:dyDescent="0.25">
      <c r="A68" s="235"/>
      <c r="B68" s="99" t="s">
        <v>29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3">
        <f>SUM(C68:N68)</f>
        <v>0</v>
      </c>
    </row>
    <row r="69" spans="1:15" s="64" customFormat="1" x14ac:dyDescent="0.3">
      <c r="A69" s="155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 t="shared" si="6"/>
        <v>0</v>
      </c>
    </row>
    <row r="70" spans="1:15" s="64" customFormat="1" x14ac:dyDescent="0.3">
      <c r="A70" s="156"/>
      <c r="B70" s="7" t="s">
        <v>32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24">
        <f t="shared" si="6"/>
        <v>0</v>
      </c>
    </row>
    <row r="71" spans="1:15" s="102" customFormat="1" ht="12" x14ac:dyDescent="0.25">
      <c r="A71" s="236"/>
      <c r="B71" s="99" t="s">
        <v>16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3">
        <f t="shared" si="6"/>
        <v>0</v>
      </c>
    </row>
    <row r="72" spans="1:15" s="102" customFormat="1" ht="12" x14ac:dyDescent="0.25">
      <c r="A72" s="235"/>
      <c r="B72" s="99" t="s">
        <v>29</v>
      </c>
      <c r="C72" s="100">
        <v>0</v>
      </c>
      <c r="D72" s="100">
        <v>0</v>
      </c>
      <c r="E72" s="100">
        <v>0</v>
      </c>
      <c r="F72" s="100">
        <v>0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3">
        <f>SUM(C72:N72)</f>
        <v>0</v>
      </c>
    </row>
    <row r="73" spans="1:15" s="64" customFormat="1" x14ac:dyDescent="0.3">
      <c r="A73" s="155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 t="shared" si="6"/>
        <v>0</v>
      </c>
    </row>
    <row r="74" spans="1:15" s="64" customFormat="1" x14ac:dyDescent="0.3">
      <c r="A74" s="156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24">
        <f t="shared" si="6"/>
        <v>0</v>
      </c>
    </row>
    <row r="75" spans="1:15" s="102" customFormat="1" ht="12" x14ac:dyDescent="0.25">
      <c r="A75" s="243"/>
    </row>
    <row r="76" spans="1:15" s="102" customFormat="1" ht="12" x14ac:dyDescent="0.25">
      <c r="A76" s="237"/>
    </row>
    <row r="77" spans="1:15" s="64" customFormat="1" x14ac:dyDescent="0.3">
      <c r="A77" s="158"/>
    </row>
    <row r="78" spans="1:15" s="64" customFormat="1" x14ac:dyDescent="0.3">
      <c r="A78" s="158"/>
    </row>
    <row r="79" spans="1:15" s="102" customFormat="1" ht="12" x14ac:dyDescent="0.25">
      <c r="A79" s="237"/>
    </row>
    <row r="80" spans="1:15" s="102" customFormat="1" ht="12" x14ac:dyDescent="0.25">
      <c r="A80" s="237"/>
    </row>
    <row r="81" spans="1:1" s="64" customFormat="1" x14ac:dyDescent="0.3">
      <c r="A81" s="158"/>
    </row>
    <row r="82" spans="1:1" s="64" customFormat="1" x14ac:dyDescent="0.3">
      <c r="A82" s="158"/>
    </row>
    <row r="83" spans="1:1" s="102" customFormat="1" ht="12" x14ac:dyDescent="0.25">
      <c r="A83" s="237"/>
    </row>
    <row r="84" spans="1:1" s="102" customFormat="1" ht="12" x14ac:dyDescent="0.25">
      <c r="A84" s="237"/>
    </row>
    <row r="85" spans="1:1" s="64" customFormat="1" x14ac:dyDescent="0.3">
      <c r="A85" s="158"/>
    </row>
    <row r="86" spans="1:1" s="64" customFormat="1" x14ac:dyDescent="0.3">
      <c r="A86" s="158"/>
    </row>
    <row r="87" spans="1:1" s="102" customFormat="1" ht="12" x14ac:dyDescent="0.25">
      <c r="A87" s="237"/>
    </row>
    <row r="88" spans="1:1" s="102" customFormat="1" ht="12" x14ac:dyDescent="0.25">
      <c r="A88" s="237"/>
    </row>
    <row r="89" spans="1:1" s="64" customFormat="1" x14ac:dyDescent="0.3">
      <c r="A89" s="158"/>
    </row>
    <row r="90" spans="1:1" s="64" customFormat="1" x14ac:dyDescent="0.3">
      <c r="A90" s="158"/>
    </row>
    <row r="91" spans="1:1" s="102" customFormat="1" ht="12" x14ac:dyDescent="0.25">
      <c r="A91" s="237"/>
    </row>
    <row r="92" spans="1:1" s="102" customFormat="1" ht="12" x14ac:dyDescent="0.25">
      <c r="A92" s="237"/>
    </row>
    <row r="93" spans="1:1" s="64" customFormat="1" x14ac:dyDescent="0.3">
      <c r="A93" s="158"/>
    </row>
    <row r="94" spans="1:1" s="64" customFormat="1" x14ac:dyDescent="0.3">
      <c r="A94" s="158"/>
    </row>
    <row r="95" spans="1:1" s="102" customFormat="1" ht="12" x14ac:dyDescent="0.25">
      <c r="A95" s="237"/>
    </row>
    <row r="96" spans="1:1" s="102" customFormat="1" ht="12" x14ac:dyDescent="0.25">
      <c r="A96" s="237"/>
    </row>
    <row r="97" spans="1:1" s="64" customFormat="1" x14ac:dyDescent="0.3">
      <c r="A97" s="158"/>
    </row>
    <row r="98" spans="1:1" s="64" customFormat="1" x14ac:dyDescent="0.3">
      <c r="A98" s="158"/>
    </row>
    <row r="99" spans="1:1" s="102" customFormat="1" ht="12" x14ac:dyDescent="0.25">
      <c r="A99" s="237"/>
    </row>
    <row r="100" spans="1:1" s="102" customFormat="1" ht="12" x14ac:dyDescent="0.25">
      <c r="A100" s="237"/>
    </row>
    <row r="101" spans="1:1" s="64" customFormat="1" x14ac:dyDescent="0.3">
      <c r="A101" s="158"/>
    </row>
    <row r="102" spans="1:1" s="64" customFormat="1" x14ac:dyDescent="0.3">
      <c r="A102" s="158"/>
    </row>
    <row r="103" spans="1:1" s="102" customFormat="1" ht="12" x14ac:dyDescent="0.25">
      <c r="A103" s="237"/>
    </row>
    <row r="104" spans="1:1" s="102" customFormat="1" ht="12" x14ac:dyDescent="0.25">
      <c r="A104" s="237"/>
    </row>
    <row r="105" spans="1:1" s="64" customFormat="1" x14ac:dyDescent="0.3">
      <c r="A105" s="158"/>
    </row>
    <row r="106" spans="1:1" s="64" customFormat="1" x14ac:dyDescent="0.3">
      <c r="A106" s="158"/>
    </row>
    <row r="107" spans="1:1" s="102" customFormat="1" ht="12" x14ac:dyDescent="0.25">
      <c r="A107" s="237"/>
    </row>
    <row r="108" spans="1:1" s="102" customFormat="1" ht="12" x14ac:dyDescent="0.25">
      <c r="A108" s="237"/>
    </row>
    <row r="109" spans="1:1" s="64" customFormat="1" x14ac:dyDescent="0.3">
      <c r="A109" s="158"/>
    </row>
    <row r="110" spans="1:1" s="64" customFormat="1" x14ac:dyDescent="0.3">
      <c r="A110" s="158"/>
    </row>
    <row r="111" spans="1:1" s="102" customFormat="1" ht="12" x14ac:dyDescent="0.25">
      <c r="A111" s="237"/>
    </row>
    <row r="112" spans="1:1" s="102" customFormat="1" ht="12" x14ac:dyDescent="0.25">
      <c r="A112" s="237"/>
    </row>
    <row r="113" spans="1:1" s="64" customFormat="1" x14ac:dyDescent="0.3">
      <c r="A113" s="158"/>
    </row>
    <row r="114" spans="1:1" s="64" customFormat="1" x14ac:dyDescent="0.3">
      <c r="A114" s="158"/>
    </row>
    <row r="115" spans="1:1" s="102" customFormat="1" ht="12" x14ac:dyDescent="0.25">
      <c r="A115" s="237"/>
    </row>
    <row r="116" spans="1:1" s="102" customFormat="1" ht="12" x14ac:dyDescent="0.25">
      <c r="A116" s="237"/>
    </row>
    <row r="117" spans="1:1" s="64" customFormat="1" x14ac:dyDescent="0.3">
      <c r="A117" s="158"/>
    </row>
    <row r="118" spans="1:1" s="64" customFormat="1" x14ac:dyDescent="0.3">
      <c r="A118" s="158"/>
    </row>
    <row r="119" spans="1:1" s="102" customFormat="1" ht="12" x14ac:dyDescent="0.25">
      <c r="A119" s="237"/>
    </row>
    <row r="120" spans="1:1" s="102" customFormat="1" ht="12" x14ac:dyDescent="0.25">
      <c r="A120" s="237"/>
    </row>
    <row r="121" spans="1:1" s="64" customFormat="1" x14ac:dyDescent="0.3">
      <c r="A121" s="158"/>
    </row>
    <row r="122" spans="1:1" s="64" customFormat="1" x14ac:dyDescent="0.3">
      <c r="A122" s="158"/>
    </row>
    <row r="123" spans="1:1" s="102" customFormat="1" ht="12" x14ac:dyDescent="0.25">
      <c r="A123" s="237"/>
    </row>
    <row r="124" spans="1:1" s="102" customFormat="1" ht="12" x14ac:dyDescent="0.25">
      <c r="A124" s="237"/>
    </row>
    <row r="125" spans="1:1" s="64" customFormat="1" ht="11.4" customHeight="1" x14ac:dyDescent="0.3">
      <c r="A125" s="158"/>
    </row>
    <row r="126" spans="1:1" s="64" customFormat="1" x14ac:dyDescent="0.3">
      <c r="A126" s="158"/>
    </row>
    <row r="127" spans="1:1" s="102" customFormat="1" ht="12" x14ac:dyDescent="0.25">
      <c r="A127" s="237"/>
    </row>
    <row r="128" spans="1:1" s="102" customFormat="1" ht="12" x14ac:dyDescent="0.25">
      <c r="A128" s="237"/>
    </row>
    <row r="129" spans="1:1" s="64" customFormat="1" x14ac:dyDescent="0.3">
      <c r="A129" s="158"/>
    </row>
    <row r="130" spans="1:1" s="64" customFormat="1" x14ac:dyDescent="0.3">
      <c r="A130" s="158"/>
    </row>
    <row r="131" spans="1:1" s="102" customFormat="1" ht="12" x14ac:dyDescent="0.25">
      <c r="A131" s="237"/>
    </row>
    <row r="132" spans="1:1" s="102" customFormat="1" ht="12" x14ac:dyDescent="0.25">
      <c r="A132" s="237"/>
    </row>
    <row r="133" spans="1:1" s="64" customFormat="1" x14ac:dyDescent="0.3">
      <c r="A133" s="158"/>
    </row>
    <row r="134" spans="1:1" s="64" customFormat="1" x14ac:dyDescent="0.3">
      <c r="A134" s="158"/>
    </row>
    <row r="135" spans="1:1" s="102" customFormat="1" ht="12" x14ac:dyDescent="0.25">
      <c r="A135" s="237"/>
    </row>
    <row r="136" spans="1:1" s="102" customFormat="1" ht="12" x14ac:dyDescent="0.25">
      <c r="A136" s="237"/>
    </row>
    <row r="137" spans="1:1" s="64" customFormat="1" x14ac:dyDescent="0.3">
      <c r="A137" s="158"/>
    </row>
    <row r="138" spans="1:1" s="64" customFormat="1" x14ac:dyDescent="0.3">
      <c r="A138" s="158"/>
    </row>
    <row r="139" spans="1:1" s="102" customFormat="1" ht="12" x14ac:dyDescent="0.25">
      <c r="A139" s="237"/>
    </row>
    <row r="140" spans="1:1" s="102" customFormat="1" ht="12" x14ac:dyDescent="0.25">
      <c r="A140" s="237"/>
    </row>
    <row r="141" spans="1:1" s="64" customFormat="1" x14ac:dyDescent="0.3">
      <c r="A141" s="158"/>
    </row>
    <row r="142" spans="1:1" s="64" customFormat="1" x14ac:dyDescent="0.3">
      <c r="A142" s="158"/>
    </row>
    <row r="143" spans="1:1" s="102" customFormat="1" ht="12" x14ac:dyDescent="0.25">
      <c r="A143" s="237"/>
    </row>
    <row r="144" spans="1:1" s="102" customFormat="1" ht="12" x14ac:dyDescent="0.25">
      <c r="A144" s="237"/>
    </row>
    <row r="145" spans="1:1" s="64" customFormat="1" x14ac:dyDescent="0.3">
      <c r="A145" s="158"/>
    </row>
    <row r="146" spans="1:1" s="64" customFormat="1" x14ac:dyDescent="0.3">
      <c r="A146" s="158"/>
    </row>
    <row r="147" spans="1:1" s="102" customFormat="1" ht="12" x14ac:dyDescent="0.25">
      <c r="A147" s="237"/>
    </row>
    <row r="148" spans="1:1" s="102" customFormat="1" ht="12" x14ac:dyDescent="0.25">
      <c r="A148" s="237"/>
    </row>
    <row r="149" spans="1:1" s="64" customFormat="1" x14ac:dyDescent="0.3">
      <c r="A149" s="158"/>
    </row>
    <row r="150" spans="1:1" s="64" customFormat="1" x14ac:dyDescent="0.3">
      <c r="A150" s="158"/>
    </row>
    <row r="151" spans="1:1" s="102" customFormat="1" ht="12" x14ac:dyDescent="0.25">
      <c r="A151" s="237"/>
    </row>
    <row r="152" spans="1:1" s="102" customFormat="1" ht="12" x14ac:dyDescent="0.25">
      <c r="A152" s="237"/>
    </row>
    <row r="153" spans="1:1" s="64" customFormat="1" x14ac:dyDescent="0.3">
      <c r="A153" s="158"/>
    </row>
    <row r="154" spans="1:1" s="64" customFormat="1" x14ac:dyDescent="0.3">
      <c r="A154" s="158"/>
    </row>
    <row r="155" spans="1:1" s="102" customFormat="1" ht="12" x14ac:dyDescent="0.25">
      <c r="A155" s="237"/>
    </row>
    <row r="156" spans="1:1" s="102" customFormat="1" ht="12" x14ac:dyDescent="0.25">
      <c r="A156" s="237"/>
    </row>
    <row r="157" spans="1:1" s="64" customFormat="1" x14ac:dyDescent="0.3">
      <c r="A157" s="158"/>
    </row>
    <row r="158" spans="1:1" s="64" customFormat="1" x14ac:dyDescent="0.3">
      <c r="A158" s="158"/>
    </row>
    <row r="159" spans="1:1" s="102" customFormat="1" ht="12" x14ac:dyDescent="0.25">
      <c r="A159" s="237"/>
    </row>
    <row r="160" spans="1:1" s="102" customFormat="1" ht="12" x14ac:dyDescent="0.25">
      <c r="A160" s="237"/>
    </row>
    <row r="161" spans="1:1" s="64" customFormat="1" x14ac:dyDescent="0.3">
      <c r="A161" s="158"/>
    </row>
    <row r="162" spans="1:1" s="64" customFormat="1" x14ac:dyDescent="0.3">
      <c r="A162" s="158"/>
    </row>
    <row r="163" spans="1:1" s="102" customFormat="1" ht="12" x14ac:dyDescent="0.25">
      <c r="A163" s="237"/>
    </row>
    <row r="164" spans="1:1" s="102" customFormat="1" ht="12" x14ac:dyDescent="0.25">
      <c r="A164" s="237"/>
    </row>
    <row r="165" spans="1:1" s="64" customFormat="1" x14ac:dyDescent="0.3">
      <c r="A165" s="158"/>
    </row>
    <row r="166" spans="1:1" s="64" customFormat="1" x14ac:dyDescent="0.3">
      <c r="A166" s="158"/>
    </row>
    <row r="167" spans="1:1" s="102" customFormat="1" ht="12" x14ac:dyDescent="0.25">
      <c r="A167" s="237"/>
    </row>
    <row r="168" spans="1:1" s="102" customFormat="1" ht="12" x14ac:dyDescent="0.25">
      <c r="A168" s="237"/>
    </row>
    <row r="169" spans="1:1" s="64" customFormat="1" x14ac:dyDescent="0.3">
      <c r="A169" s="158"/>
    </row>
    <row r="170" spans="1:1" s="64" customFormat="1" x14ac:dyDescent="0.3">
      <c r="A170" s="158"/>
    </row>
    <row r="171" spans="1:1" s="102" customFormat="1" ht="12" x14ac:dyDescent="0.25">
      <c r="A171" s="237"/>
    </row>
    <row r="172" spans="1:1" s="102" customFormat="1" ht="12" x14ac:dyDescent="0.25">
      <c r="A172" s="237"/>
    </row>
    <row r="173" spans="1:1" s="64" customFormat="1" x14ac:dyDescent="0.3">
      <c r="A173" s="158"/>
    </row>
    <row r="174" spans="1:1" s="64" customFormat="1" x14ac:dyDescent="0.3">
      <c r="A174" s="158"/>
    </row>
    <row r="175" spans="1:1" s="102" customFormat="1" ht="12" x14ac:dyDescent="0.25">
      <c r="A175" s="237"/>
    </row>
    <row r="176" spans="1:1" s="102" customFormat="1" ht="12" x14ac:dyDescent="0.25">
      <c r="A176" s="237"/>
    </row>
    <row r="177" spans="1:1" s="64" customFormat="1" x14ac:dyDescent="0.3">
      <c r="A177" s="158"/>
    </row>
    <row r="178" spans="1:1" s="64" customFormat="1" x14ac:dyDescent="0.3">
      <c r="A178" s="158"/>
    </row>
    <row r="179" spans="1:1" s="102" customFormat="1" ht="12" x14ac:dyDescent="0.25">
      <c r="A179" s="237"/>
    </row>
    <row r="180" spans="1:1" s="102" customFormat="1" ht="12" x14ac:dyDescent="0.25">
      <c r="A180" s="237"/>
    </row>
    <row r="181" spans="1:1" s="64" customFormat="1" x14ac:dyDescent="0.3">
      <c r="A181" s="158"/>
    </row>
    <row r="182" spans="1:1" s="64" customFormat="1" x14ac:dyDescent="0.3">
      <c r="A182" s="158"/>
    </row>
    <row r="183" spans="1:1" s="102" customFormat="1" ht="12" x14ac:dyDescent="0.25">
      <c r="A183" s="237"/>
    </row>
    <row r="184" spans="1:1" s="102" customFormat="1" ht="12" x14ac:dyDescent="0.25">
      <c r="A184" s="237"/>
    </row>
    <row r="185" spans="1:1" s="64" customFormat="1" x14ac:dyDescent="0.3">
      <c r="A185" s="158"/>
    </row>
    <row r="186" spans="1:1" s="64" customFormat="1" x14ac:dyDescent="0.3">
      <c r="A186" s="158"/>
    </row>
    <row r="187" spans="1:1" s="102" customFormat="1" ht="12" x14ac:dyDescent="0.25">
      <c r="A187" s="237"/>
    </row>
    <row r="188" spans="1:1" s="102" customFormat="1" ht="12" x14ac:dyDescent="0.25">
      <c r="A188" s="237"/>
    </row>
    <row r="189" spans="1:1" s="64" customFormat="1" x14ac:dyDescent="0.3">
      <c r="A189" s="158"/>
    </row>
    <row r="190" spans="1:1" s="64" customFormat="1" x14ac:dyDescent="0.3">
      <c r="A190" s="158"/>
    </row>
    <row r="191" spans="1:1" s="102" customFormat="1" ht="12" x14ac:dyDescent="0.25">
      <c r="A191" s="237"/>
    </row>
    <row r="192" spans="1:1" s="102" customFormat="1" ht="12" x14ac:dyDescent="0.25">
      <c r="A192" s="237"/>
    </row>
    <row r="193" spans="1:1" s="64" customFormat="1" x14ac:dyDescent="0.3">
      <c r="A193" s="158"/>
    </row>
    <row r="194" spans="1:1" s="64" customFormat="1" x14ac:dyDescent="0.3">
      <c r="A194" s="158"/>
    </row>
    <row r="195" spans="1:1" s="102" customFormat="1" ht="12" x14ac:dyDescent="0.25">
      <c r="A195" s="237"/>
    </row>
    <row r="196" spans="1:1" s="102" customFormat="1" ht="12" x14ac:dyDescent="0.25">
      <c r="A196" s="237"/>
    </row>
    <row r="197" spans="1:1" s="64" customFormat="1" x14ac:dyDescent="0.3">
      <c r="A197" s="158"/>
    </row>
    <row r="198" spans="1:1" s="64" customFormat="1" x14ac:dyDescent="0.3">
      <c r="A198" s="158"/>
    </row>
    <row r="199" spans="1:1" s="102" customFormat="1" ht="12" x14ac:dyDescent="0.25">
      <c r="A199" s="237"/>
    </row>
    <row r="200" spans="1:1" s="102" customFormat="1" ht="12" x14ac:dyDescent="0.25">
      <c r="A200" s="237"/>
    </row>
    <row r="201" spans="1:1" s="64" customFormat="1" x14ac:dyDescent="0.3">
      <c r="A201" s="158"/>
    </row>
    <row r="202" spans="1:1" s="64" customFormat="1" x14ac:dyDescent="0.3">
      <c r="A202" s="158"/>
    </row>
    <row r="203" spans="1:1" s="102" customFormat="1" ht="12" x14ac:dyDescent="0.25">
      <c r="A203" s="237"/>
    </row>
    <row r="204" spans="1:1" s="102" customFormat="1" ht="12" x14ac:dyDescent="0.25">
      <c r="A204" s="237"/>
    </row>
    <row r="205" spans="1:1" s="64" customFormat="1" x14ac:dyDescent="0.3">
      <c r="A205" s="158"/>
    </row>
    <row r="206" spans="1:1" s="64" customFormat="1" x14ac:dyDescent="0.3">
      <c r="A206" s="158"/>
    </row>
    <row r="207" spans="1:1" s="102" customFormat="1" ht="12" x14ac:dyDescent="0.25">
      <c r="A207" s="237"/>
    </row>
    <row r="208" spans="1:1" s="102" customFormat="1" ht="12" x14ac:dyDescent="0.25">
      <c r="A208" s="237"/>
    </row>
    <row r="209" spans="1:1" s="64" customFormat="1" x14ac:dyDescent="0.3">
      <c r="A209" s="158"/>
    </row>
    <row r="210" spans="1:1" s="64" customFormat="1" x14ac:dyDescent="0.3">
      <c r="A210" s="158"/>
    </row>
    <row r="211" spans="1:1" s="102" customFormat="1" ht="12" x14ac:dyDescent="0.25">
      <c r="A211" s="237"/>
    </row>
    <row r="212" spans="1:1" s="102" customFormat="1" ht="12" x14ac:dyDescent="0.25">
      <c r="A212" s="237"/>
    </row>
    <row r="213" spans="1:1" s="64" customFormat="1" x14ac:dyDescent="0.3">
      <c r="A213" s="158"/>
    </row>
    <row r="214" spans="1:1" s="64" customFormat="1" x14ac:dyDescent="0.3">
      <c r="A214" s="158"/>
    </row>
    <row r="215" spans="1:1" s="102" customFormat="1" ht="12" x14ac:dyDescent="0.25">
      <c r="A215" s="237"/>
    </row>
    <row r="216" spans="1:1" s="102" customFormat="1" ht="12" x14ac:dyDescent="0.25">
      <c r="A216" s="237"/>
    </row>
    <row r="217" spans="1:1" s="64" customFormat="1" x14ac:dyDescent="0.3">
      <c r="A217" s="108"/>
    </row>
    <row r="218" spans="1:1" s="64" customFormat="1" x14ac:dyDescent="0.3">
      <c r="A218" s="108"/>
    </row>
  </sheetData>
  <mergeCells count="54">
    <mergeCell ref="A211:A212"/>
    <mergeCell ref="A215:A216"/>
    <mergeCell ref="A3:A6"/>
    <mergeCell ref="A191:A192"/>
    <mergeCell ref="A195:A196"/>
    <mergeCell ref="A199:A200"/>
    <mergeCell ref="A203:A204"/>
    <mergeCell ref="A207:A208"/>
    <mergeCell ref="A171:A172"/>
    <mergeCell ref="A175:A176"/>
    <mergeCell ref="A179:A180"/>
    <mergeCell ref="A183:A184"/>
    <mergeCell ref="A187:A188"/>
    <mergeCell ref="A151:A152"/>
    <mergeCell ref="A155:A156"/>
    <mergeCell ref="A159:A160"/>
    <mergeCell ref="A163:A164"/>
    <mergeCell ref="A167:A168"/>
    <mergeCell ref="A131:A132"/>
    <mergeCell ref="A135:A136"/>
    <mergeCell ref="A139:A140"/>
    <mergeCell ref="A143:A144"/>
    <mergeCell ref="A147:A148"/>
    <mergeCell ref="A111:A112"/>
    <mergeCell ref="A115:A116"/>
    <mergeCell ref="A119:A120"/>
    <mergeCell ref="A123:A124"/>
    <mergeCell ref="A127:A128"/>
    <mergeCell ref="A91:A92"/>
    <mergeCell ref="A95:A96"/>
    <mergeCell ref="A99:A100"/>
    <mergeCell ref="A103:A104"/>
    <mergeCell ref="A107:A108"/>
    <mergeCell ref="A47:A48"/>
    <mergeCell ref="A51:A52"/>
    <mergeCell ref="A55:A56"/>
    <mergeCell ref="A59:A60"/>
    <mergeCell ref="A63:A64"/>
    <mergeCell ref="A27:A28"/>
    <mergeCell ref="A31:A32"/>
    <mergeCell ref="A35:A36"/>
    <mergeCell ref="A39:A40"/>
    <mergeCell ref="A43:A44"/>
    <mergeCell ref="A1:O1"/>
    <mergeCell ref="A11:A12"/>
    <mergeCell ref="A15:A16"/>
    <mergeCell ref="A19:A20"/>
    <mergeCell ref="A23:A24"/>
    <mergeCell ref="A87:A88"/>
    <mergeCell ref="A67:A68"/>
    <mergeCell ref="A71:A72"/>
    <mergeCell ref="A75:A76"/>
    <mergeCell ref="A79:A80"/>
    <mergeCell ref="A83:A84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CA2A-264D-4864-B713-DA7D63A75746}">
  <sheetPr codeName="Sheet17"/>
  <dimension ref="A1:P218"/>
  <sheetViews>
    <sheetView zoomScale="70" zoomScaleNormal="70" workbookViewId="0">
      <pane xSplit="1" ySplit="2" topLeftCell="J64" activePane="bottomRight" state="frozen"/>
      <selection pane="topRight" activeCell="M13" sqref="M13"/>
      <selection pane="bottomLeft" activeCell="M13" sqref="M13"/>
      <selection pane="bottomRight" activeCell="M13" sqref="M13"/>
    </sheetView>
  </sheetViews>
  <sheetFormatPr defaultColWidth="9.109375" defaultRowHeight="14.4" x14ac:dyDescent="0.3"/>
  <cols>
    <col min="1" max="1" width="27.5546875" style="54" customWidth="1"/>
    <col min="2" max="2" width="22.88671875" style="52" bestFit="1" customWidth="1"/>
    <col min="3" max="15" width="14" style="52" customWidth="1"/>
    <col min="16" max="16384" width="9.109375" style="52"/>
  </cols>
  <sheetData>
    <row r="1" spans="1:16" ht="34.5" customHeight="1" x14ac:dyDescent="0.6">
      <c r="A1" s="232" t="s">
        <v>392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16" x14ac:dyDescent="0.3">
      <c r="A2" s="68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69" t="s">
        <v>7</v>
      </c>
      <c r="J2" s="69" t="s">
        <v>8</v>
      </c>
      <c r="K2" s="69" t="s">
        <v>9</v>
      </c>
      <c r="L2" s="69" t="s">
        <v>10</v>
      </c>
      <c r="M2" s="69" t="s">
        <v>11</v>
      </c>
      <c r="N2" s="69" t="s">
        <v>12</v>
      </c>
      <c r="O2" s="69" t="s">
        <v>13</v>
      </c>
    </row>
    <row r="3" spans="1:16" s="102" customFormat="1" ht="14.4" customHeight="1" x14ac:dyDescent="0.25">
      <c r="A3" s="239" t="s">
        <v>15</v>
      </c>
      <c r="B3" s="181" t="s">
        <v>16</v>
      </c>
      <c r="C3" s="182">
        <f>SUMIFS(C$11:C992,$B$11:$B992,"Actual 2024")</f>
        <v>0</v>
      </c>
      <c r="D3" s="182">
        <f>SUMIFS(D$11:D992,$B$11:$B992,"Actual 2024")</f>
        <v>0</v>
      </c>
      <c r="E3" s="182">
        <f>SUMIFS(E$11:E992,$B$11:$B992,"Actual 2024")</f>
        <v>0</v>
      </c>
      <c r="F3" s="182">
        <f>SUMIFS(F$11:F992,$B$11:$B992,"Actual 2024")</f>
        <v>0</v>
      </c>
      <c r="G3" s="182">
        <f>SUMIFS(G$11:G992,$B$11:$B992,"Actual 2024")</f>
        <v>0</v>
      </c>
      <c r="H3" s="182">
        <f>SUMIFS(H$11:H992,$B$11:$B992,"Actual 2024")</f>
        <v>0</v>
      </c>
      <c r="I3" s="185">
        <f>SUMIFS(I$11:I992,$B$11:$B992,"Actual 2024")</f>
        <v>0</v>
      </c>
      <c r="J3" s="185">
        <f>SUMIFS(J$11:J992,$B$11:$B992,"Actual 2024")</f>
        <v>0</v>
      </c>
      <c r="K3" s="185">
        <f>SUMIFS(K$11:K992,$B$11:$B992,"Actual 2024")</f>
        <v>0</v>
      </c>
      <c r="L3" s="185">
        <f>SUMIFS(L$11:L992,$B$11:$B992,"Actual 2024")</f>
        <v>0</v>
      </c>
      <c r="M3" s="185">
        <f>SUMIFS(M$11:M992,$B$11:$B992,"Actual 2024")</f>
        <v>0</v>
      </c>
      <c r="N3" s="185">
        <f>SUMIFS(N$11:N992,$B$11:$B992,"Actual 2024")</f>
        <v>0</v>
      </c>
      <c r="O3" s="183">
        <f>SUMIFS(O$11:O992,$B$11:$B992,"Actual 2024")</f>
        <v>0</v>
      </c>
      <c r="P3" s="102">
        <v>82.6</v>
      </c>
    </row>
    <row r="4" spans="1:16" s="102" customFormat="1" ht="14.4" customHeight="1" x14ac:dyDescent="0.25">
      <c r="A4" s="240"/>
      <c r="B4" s="184" t="s">
        <v>27</v>
      </c>
      <c r="C4" s="189">
        <f>SUMIFS(C$11:C992,$B$11:$B992,"Estimated")</f>
        <v>0</v>
      </c>
      <c r="D4" s="189">
        <f>SUMIFS(D$11:D992,$B$11:$B992,"Estimated")</f>
        <v>0</v>
      </c>
      <c r="E4" s="189">
        <f>SUMIFS(E$11:E992,$B$11:$B992,"Estimated")</f>
        <v>0</v>
      </c>
      <c r="F4" s="189">
        <f>SUMIFS(F$11:F992,$B$11:$B992,"Estimated")</f>
        <v>0</v>
      </c>
      <c r="G4" s="189">
        <f>SUMIFS(G$11:G992,$B$11:$B992,"Estimated")</f>
        <v>0</v>
      </c>
      <c r="H4" s="189">
        <f>SUMIFS(H$11:H992,$B$11:$B992,"Estimated")</f>
        <v>0</v>
      </c>
      <c r="I4" s="192">
        <f>SUMIFS(I$11:I992,$B$11:$B992,"Estimated")</f>
        <v>0</v>
      </c>
      <c r="J4" s="192">
        <f>SUMIFS(J$11:J992,$B$11:$B992,"Estimated")</f>
        <v>0</v>
      </c>
      <c r="K4" s="192">
        <f>SUMIFS(K$11:K992,$B$11:$B992,"Estimated")</f>
        <v>0</v>
      </c>
      <c r="L4" s="192">
        <f>SUMIFS(L$11:L992,$B$11:$B992,"Estimated")</f>
        <v>0</v>
      </c>
      <c r="M4" s="192">
        <f>SUMIFS(M$11:M992,$B$11:$B992,"Estimated")</f>
        <v>0</v>
      </c>
      <c r="N4" s="192">
        <f>SUMIFS(N$11:N992,$B$11:$B992,"Estimated")</f>
        <v>0</v>
      </c>
      <c r="O4" s="191">
        <f>SUMIFS(O$11:O992,$B$11:$B992,"Estimated")</f>
        <v>0</v>
      </c>
    </row>
    <row r="5" spans="1:16" s="166" customFormat="1" ht="14.4" customHeight="1" x14ac:dyDescent="0.3">
      <c r="A5" s="240"/>
      <c r="B5" s="162" t="s">
        <v>18</v>
      </c>
      <c r="C5" s="163">
        <v>0</v>
      </c>
      <c r="D5" s="163">
        <v>0</v>
      </c>
      <c r="E5" s="163">
        <v>0</v>
      </c>
      <c r="F5" s="163">
        <v>0</v>
      </c>
      <c r="G5" s="163">
        <v>0</v>
      </c>
      <c r="H5" s="163">
        <v>0</v>
      </c>
      <c r="I5" s="163">
        <v>0</v>
      </c>
      <c r="J5" s="163">
        <v>0</v>
      </c>
      <c r="K5" s="163">
        <v>0</v>
      </c>
      <c r="L5" s="163">
        <v>0</v>
      </c>
      <c r="M5" s="163">
        <v>0</v>
      </c>
      <c r="N5" s="163">
        <v>0</v>
      </c>
      <c r="O5" s="168">
        <f t="shared" ref="O5" si="0">SUM(C5:N5)</f>
        <v>0</v>
      </c>
      <c r="P5" s="166">
        <v>0</v>
      </c>
    </row>
    <row r="6" spans="1:16" s="166" customFormat="1" ht="15" thickBot="1" x14ac:dyDescent="0.35">
      <c r="A6" s="241"/>
      <c r="B6" s="174" t="s">
        <v>19</v>
      </c>
      <c r="C6" s="175">
        <f>SUMIFS(C$11:C997,$B$11:$B997,"Actual")</f>
        <v>0</v>
      </c>
      <c r="D6" s="175">
        <f>SUMIFS(D$11:D997,$B$11:$B997,"Actual")</f>
        <v>0</v>
      </c>
      <c r="E6" s="175">
        <f>SUMIFS(E$11:E997,$B$11:$B997,"Actual")</f>
        <v>340.31</v>
      </c>
      <c r="F6" s="175">
        <f>SUMIFS(F$11:F997,$B$11:$B997,"Actual")</f>
        <v>865.97</v>
      </c>
      <c r="G6" s="175">
        <f>SUMIFS(G$11:G997,$B$11:$B997,"Actual")</f>
        <v>161.86000000000001</v>
      </c>
      <c r="H6" s="175">
        <f>SUMIFS(H$11:H997,$B$11:$B997,"Actual")</f>
        <v>0</v>
      </c>
      <c r="I6" s="177">
        <f>SUMIFS(I$11:I997,$B$11:$B997,"Actual")</f>
        <v>51.29</v>
      </c>
      <c r="J6" s="177">
        <f>SUMIFS(J$11:J997,$B$11:$B997,"Actual")</f>
        <v>0</v>
      </c>
      <c r="K6" s="177">
        <f>SUMIFS(K$11:K997,$B$11:$B997,"Actual")</f>
        <v>0</v>
      </c>
      <c r="L6" s="177">
        <f>SUMIFS(L$11:L997,$B$11:$B997,"Actual")</f>
        <v>0</v>
      </c>
      <c r="M6" s="177">
        <f>SUMIFS(M$11:M997,$B$11:$B997,"Actual")</f>
        <v>0</v>
      </c>
      <c r="N6" s="177">
        <f>SUMIFS(N$11:N997,$B$11:$B997,"Actual")</f>
        <v>0</v>
      </c>
      <c r="O6" s="176">
        <f>SUMIFS(O$11:O997,$B$11:$B997,"Actual")</f>
        <v>1419.4299999999998</v>
      </c>
    </row>
    <row r="7" spans="1:16" s="64" customFormat="1" ht="15" thickTop="1" x14ac:dyDescent="0.3">
      <c r="A7" s="134"/>
      <c r="B7" s="70" t="s">
        <v>21</v>
      </c>
      <c r="C7" s="60">
        <f t="shared" ref="C7:I7" si="1">C5-C6</f>
        <v>0</v>
      </c>
      <c r="D7" s="60">
        <f t="shared" si="1"/>
        <v>0</v>
      </c>
      <c r="E7" s="60">
        <f t="shared" si="1"/>
        <v>-340.31</v>
      </c>
      <c r="F7" s="60">
        <f t="shared" si="1"/>
        <v>-865.97</v>
      </c>
      <c r="G7" s="60">
        <f t="shared" si="1"/>
        <v>-161.86000000000001</v>
      </c>
      <c r="H7" s="60">
        <f t="shared" si="1"/>
        <v>0</v>
      </c>
      <c r="I7" s="60">
        <f t="shared" si="1"/>
        <v>-51.29</v>
      </c>
      <c r="J7" s="60">
        <f t="shared" ref="J7:N7" si="2">J5-J6</f>
        <v>0</v>
      </c>
      <c r="K7" s="60">
        <f t="shared" si="2"/>
        <v>0</v>
      </c>
      <c r="L7" s="60">
        <f t="shared" si="2"/>
        <v>0</v>
      </c>
      <c r="M7" s="60">
        <f t="shared" si="2"/>
        <v>0</v>
      </c>
      <c r="N7" s="60">
        <f t="shared" si="2"/>
        <v>0</v>
      </c>
      <c r="O7" s="75">
        <f>O5-O6</f>
        <v>-1419.4299999999998</v>
      </c>
    </row>
    <row r="8" spans="1:16" s="142" customFormat="1" x14ac:dyDescent="0.3">
      <c r="A8" s="138"/>
      <c r="B8" s="139" t="s">
        <v>23</v>
      </c>
      <c r="C8" s="140">
        <f>SUM($C6:C6)</f>
        <v>0</v>
      </c>
      <c r="D8" s="140">
        <f>SUM($C6:D6)</f>
        <v>0</v>
      </c>
      <c r="E8" s="140">
        <f>SUM($C6:E6)</f>
        <v>340.31</v>
      </c>
      <c r="F8" s="140">
        <f>SUM($C6:F6)</f>
        <v>1206.28</v>
      </c>
      <c r="G8" s="140">
        <f>SUM($C6:G6)</f>
        <v>1368.1399999999999</v>
      </c>
      <c r="H8" s="140">
        <f>SUM($C6:H6)</f>
        <v>1368.1399999999999</v>
      </c>
      <c r="I8" s="140">
        <f>SUM($C6:I6)</f>
        <v>1419.4299999999998</v>
      </c>
      <c r="J8" s="140">
        <f>SUM($C6:J6)</f>
        <v>1419.4299999999998</v>
      </c>
      <c r="K8" s="140">
        <f>SUM($C6:K6)</f>
        <v>1419.4299999999998</v>
      </c>
      <c r="L8" s="140">
        <f>SUM($C6:L6)</f>
        <v>1419.4299999999998</v>
      </c>
      <c r="M8" s="140">
        <f>SUM($C6:M6)</f>
        <v>1419.4299999999998</v>
      </c>
      <c r="N8" s="140">
        <f>SUM($C6:N6)</f>
        <v>1419.4299999999998</v>
      </c>
      <c r="O8" s="141">
        <f>O6</f>
        <v>1419.4299999999998</v>
      </c>
    </row>
    <row r="9" spans="1:16" s="142" customFormat="1" x14ac:dyDescent="0.3">
      <c r="A9" s="143"/>
      <c r="B9" s="144" t="s">
        <v>25</v>
      </c>
      <c r="C9" s="145">
        <f>SUM($C5:C5)-C8</f>
        <v>0</v>
      </c>
      <c r="D9" s="145">
        <f>SUM($C5:D5)-D8</f>
        <v>0</v>
      </c>
      <c r="E9" s="145">
        <f>SUM($C5:E5)-E8</f>
        <v>-340.31</v>
      </c>
      <c r="F9" s="145">
        <f>SUM($C5:F5)-F8</f>
        <v>-1206.28</v>
      </c>
      <c r="G9" s="145">
        <f>SUM($C5:G5)-G8</f>
        <v>-1368.1399999999999</v>
      </c>
      <c r="H9" s="145">
        <f>SUM($C5:H5)-H8</f>
        <v>-1368.1399999999999</v>
      </c>
      <c r="I9" s="145">
        <f>SUM($C5:I5)-I8</f>
        <v>-1419.4299999999998</v>
      </c>
      <c r="J9" s="145">
        <f>SUM($C5:J5)-J8</f>
        <v>-1419.4299999999998</v>
      </c>
      <c r="K9" s="145">
        <f>SUM($C5:K5)-K8</f>
        <v>-1419.4299999999998</v>
      </c>
      <c r="L9" s="145">
        <f>SUM($C5:L5)-L8</f>
        <v>-1419.4299999999998</v>
      </c>
      <c r="M9" s="145">
        <f>SUM($C5:M5)-M8</f>
        <v>-1419.4299999999998</v>
      </c>
      <c r="N9" s="145">
        <f>SUM($C5:N5)-N8</f>
        <v>-1419.4299999999998</v>
      </c>
      <c r="O9" s="146"/>
    </row>
    <row r="10" spans="1:16" x14ac:dyDescent="0.3"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6" s="102" customFormat="1" ht="12" x14ac:dyDescent="0.25">
      <c r="A11" s="235" t="s">
        <v>393</v>
      </c>
      <c r="B11" s="99" t="s">
        <v>16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3">
        <f t="shared" ref="O11:O42" si="3">SUM(C11:N11)</f>
        <v>0</v>
      </c>
    </row>
    <row r="12" spans="1:16" s="102" customFormat="1" ht="12" x14ac:dyDescent="0.25">
      <c r="A12" s="235"/>
      <c r="B12" s="99" t="s">
        <v>29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3">
        <f>SUM(C12:N12)</f>
        <v>0</v>
      </c>
    </row>
    <row r="13" spans="1:16" s="67" customFormat="1" ht="12.6" customHeight="1" x14ac:dyDescent="0.3">
      <c r="A13" s="155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66">
        <f t="shared" si="3"/>
        <v>0</v>
      </c>
    </row>
    <row r="14" spans="1:16" s="67" customFormat="1" ht="12.6" customHeight="1" x14ac:dyDescent="0.3">
      <c r="A14" s="156"/>
      <c r="B14" s="116" t="s">
        <v>32</v>
      </c>
      <c r="C14" s="117"/>
      <c r="D14" s="117"/>
      <c r="E14" s="117">
        <v>340.31</v>
      </c>
      <c r="F14" s="117">
        <f>351.83+514.14</f>
        <v>865.97</v>
      </c>
      <c r="G14" s="117">
        <f>161.86</f>
        <v>161.86000000000001</v>
      </c>
      <c r="H14" s="117"/>
      <c r="I14" s="117">
        <v>51.29</v>
      </c>
      <c r="J14" s="117"/>
      <c r="K14" s="117"/>
      <c r="L14" s="117"/>
      <c r="M14" s="117"/>
      <c r="N14" s="117"/>
      <c r="O14" s="118">
        <f t="shared" si="3"/>
        <v>1419.4299999999998</v>
      </c>
    </row>
    <row r="15" spans="1:16" s="102" customFormat="1" ht="12" x14ac:dyDescent="0.25">
      <c r="A15" s="236"/>
      <c r="B15" s="99" t="s">
        <v>16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3">
        <f t="shared" si="3"/>
        <v>0</v>
      </c>
    </row>
    <row r="16" spans="1:16" s="102" customFormat="1" ht="12" x14ac:dyDescent="0.25">
      <c r="A16" s="235"/>
      <c r="B16" s="99" t="s">
        <v>29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3">
        <f t="shared" si="3"/>
        <v>0</v>
      </c>
    </row>
    <row r="17" spans="1:16" s="67" customFormat="1" ht="12.6" customHeight="1" x14ac:dyDescent="0.3">
      <c r="A17" s="155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>
        <f>SUM(C17:N17)</f>
        <v>0</v>
      </c>
    </row>
    <row r="18" spans="1:16" s="67" customFormat="1" ht="12.6" customHeight="1" x14ac:dyDescent="0.3">
      <c r="A18" s="156"/>
      <c r="B18" s="116" t="s">
        <v>32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8">
        <f t="shared" si="3"/>
        <v>0</v>
      </c>
    </row>
    <row r="19" spans="1:16" s="102" customFormat="1" ht="12" x14ac:dyDescent="0.25">
      <c r="A19" s="236"/>
      <c r="B19" s="99" t="s">
        <v>16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3">
        <f t="shared" si="3"/>
        <v>0</v>
      </c>
    </row>
    <row r="20" spans="1:16" s="102" customFormat="1" ht="12" x14ac:dyDescent="0.25">
      <c r="A20" s="235"/>
      <c r="B20" s="99" t="s">
        <v>29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3">
        <f>SUM(C20:N20)</f>
        <v>0</v>
      </c>
    </row>
    <row r="21" spans="1:16" s="67" customFormat="1" ht="12.6" customHeight="1" x14ac:dyDescent="0.3">
      <c r="A21" s="155"/>
      <c r="B21" s="65" t="s">
        <v>31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66">
        <f t="shared" si="3"/>
        <v>0</v>
      </c>
    </row>
    <row r="22" spans="1:16" s="67" customFormat="1" ht="12.6" customHeight="1" x14ac:dyDescent="0.3">
      <c r="A22" s="156"/>
      <c r="B22" s="116" t="s">
        <v>32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8">
        <f t="shared" si="3"/>
        <v>0</v>
      </c>
    </row>
    <row r="23" spans="1:16" s="102" customFormat="1" ht="12" x14ac:dyDescent="0.25">
      <c r="A23" s="236"/>
      <c r="B23" s="99" t="s">
        <v>16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3">
        <f t="shared" si="3"/>
        <v>0</v>
      </c>
    </row>
    <row r="24" spans="1:16" s="102" customFormat="1" ht="12" x14ac:dyDescent="0.25">
      <c r="A24" s="235"/>
      <c r="B24" s="99" t="s">
        <v>29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>
        <v>0</v>
      </c>
      <c r="N24" s="100">
        <v>0</v>
      </c>
      <c r="O24" s="103">
        <f>SUM(C24:N24)</f>
        <v>0</v>
      </c>
    </row>
    <row r="25" spans="1:16" s="67" customFormat="1" ht="12.6" customHeight="1" x14ac:dyDescent="0.3">
      <c r="A25" s="155"/>
      <c r="B25" s="65" t="s">
        <v>31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66">
        <f t="shared" si="3"/>
        <v>0</v>
      </c>
    </row>
    <row r="26" spans="1:16" s="67" customFormat="1" ht="12.6" customHeight="1" x14ac:dyDescent="0.3">
      <c r="A26" s="156"/>
      <c r="B26" s="116" t="s">
        <v>32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8">
        <f t="shared" si="3"/>
        <v>0</v>
      </c>
      <c r="P26" s="120"/>
    </row>
    <row r="27" spans="1:16" s="102" customFormat="1" ht="12" x14ac:dyDescent="0.25">
      <c r="A27" s="236"/>
      <c r="B27" s="99" t="s">
        <v>16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3">
        <f>SUM(C27:N27)</f>
        <v>0</v>
      </c>
    </row>
    <row r="28" spans="1:16" s="102" customFormat="1" ht="12" x14ac:dyDescent="0.25">
      <c r="A28" s="235"/>
      <c r="B28" s="99" t="s">
        <v>29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100">
        <v>0</v>
      </c>
      <c r="N28" s="100">
        <v>0</v>
      </c>
      <c r="O28" s="103">
        <f>SUM(C28:N28)</f>
        <v>0</v>
      </c>
    </row>
    <row r="29" spans="1:16" s="67" customFormat="1" ht="12.6" customHeight="1" x14ac:dyDescent="0.3">
      <c r="A29" s="155"/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66">
        <f t="shared" si="3"/>
        <v>0</v>
      </c>
    </row>
    <row r="30" spans="1:16" s="67" customFormat="1" ht="12.6" customHeight="1" x14ac:dyDescent="0.3">
      <c r="A30" s="156"/>
      <c r="B30" s="116" t="s">
        <v>32</v>
      </c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8">
        <f t="shared" si="3"/>
        <v>0</v>
      </c>
    </row>
    <row r="31" spans="1:16" s="102" customFormat="1" ht="12" x14ac:dyDescent="0.25">
      <c r="A31" s="236"/>
      <c r="B31" s="99" t="s">
        <v>16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3">
        <f t="shared" si="3"/>
        <v>0</v>
      </c>
    </row>
    <row r="32" spans="1:16" s="102" customFormat="1" ht="12" x14ac:dyDescent="0.25">
      <c r="A32" s="235"/>
      <c r="B32" s="99" t="s">
        <v>29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3">
        <f>SUM(C32:N32)</f>
        <v>0</v>
      </c>
    </row>
    <row r="33" spans="1:15" s="67" customFormat="1" ht="12.6" customHeight="1" x14ac:dyDescent="0.3">
      <c r="A33" s="155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 t="shared" si="3"/>
        <v>0</v>
      </c>
    </row>
    <row r="34" spans="1:15" s="67" customFormat="1" ht="12.6" customHeight="1" x14ac:dyDescent="0.3">
      <c r="A34" s="156"/>
      <c r="B34" s="116" t="s">
        <v>32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8">
        <f t="shared" si="3"/>
        <v>0</v>
      </c>
    </row>
    <row r="35" spans="1:15" s="102" customFormat="1" ht="12" x14ac:dyDescent="0.25">
      <c r="A35" s="236"/>
      <c r="B35" s="99" t="s">
        <v>16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3">
        <f t="shared" si="3"/>
        <v>0</v>
      </c>
    </row>
    <row r="36" spans="1:15" s="102" customFormat="1" ht="12" x14ac:dyDescent="0.25">
      <c r="A36" s="235"/>
      <c r="B36" s="99" t="s">
        <v>29</v>
      </c>
      <c r="C36" s="100">
        <v>0</v>
      </c>
      <c r="D36" s="100">
        <v>0</v>
      </c>
      <c r="E36" s="100">
        <v>0</v>
      </c>
      <c r="F36" s="100">
        <v>0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100">
        <v>0</v>
      </c>
      <c r="N36" s="100">
        <v>0</v>
      </c>
      <c r="O36" s="103">
        <f>SUM(C36:N36)</f>
        <v>0</v>
      </c>
    </row>
    <row r="37" spans="1:15" s="67" customFormat="1" ht="12.6" customHeight="1" x14ac:dyDescent="0.3">
      <c r="A37" s="155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 t="shared" si="3"/>
        <v>0</v>
      </c>
    </row>
    <row r="38" spans="1:15" s="67" customFormat="1" ht="12.6" customHeight="1" x14ac:dyDescent="0.3">
      <c r="A38" s="156"/>
      <c r="B38" s="116" t="s">
        <v>32</v>
      </c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>
        <f t="shared" si="3"/>
        <v>0</v>
      </c>
    </row>
    <row r="39" spans="1:15" s="102" customFormat="1" ht="12" x14ac:dyDescent="0.25">
      <c r="A39" s="236"/>
      <c r="B39" s="99" t="s">
        <v>16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3">
        <f t="shared" si="3"/>
        <v>0</v>
      </c>
    </row>
    <row r="40" spans="1:15" s="102" customFormat="1" ht="12" x14ac:dyDescent="0.25">
      <c r="A40" s="235"/>
      <c r="B40" s="99" t="s">
        <v>29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100">
        <v>0</v>
      </c>
      <c r="N40" s="100">
        <v>0</v>
      </c>
      <c r="O40" s="103">
        <f>SUM(C40:N40)</f>
        <v>0</v>
      </c>
    </row>
    <row r="41" spans="1:15" s="64" customFormat="1" ht="12.6" customHeight="1" x14ac:dyDescent="0.3">
      <c r="A41" s="155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 t="shared" si="3"/>
        <v>0</v>
      </c>
    </row>
    <row r="42" spans="1:15" s="64" customFormat="1" ht="12.6" customHeight="1" x14ac:dyDescent="0.3">
      <c r="A42" s="156"/>
      <c r="B42" s="7" t="s">
        <v>32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24">
        <f t="shared" si="3"/>
        <v>0</v>
      </c>
    </row>
    <row r="43" spans="1:15" s="102" customFormat="1" ht="12" x14ac:dyDescent="0.25">
      <c r="A43" s="236"/>
      <c r="B43" s="99" t="s">
        <v>16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3">
        <f t="shared" ref="O43:O74" si="4">SUM(C43:N43)</f>
        <v>0</v>
      </c>
    </row>
    <row r="44" spans="1:15" s="102" customFormat="1" ht="12" x14ac:dyDescent="0.25">
      <c r="A44" s="235"/>
      <c r="B44" s="99" t="s">
        <v>29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100">
        <v>0</v>
      </c>
      <c r="N44" s="100">
        <v>0</v>
      </c>
      <c r="O44" s="103">
        <f>SUM(C44:N44)</f>
        <v>0</v>
      </c>
    </row>
    <row r="45" spans="1:15" s="64" customFormat="1" ht="12.6" customHeight="1" x14ac:dyDescent="0.3">
      <c r="A45" s="155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 t="shared" si="4"/>
        <v>0</v>
      </c>
    </row>
    <row r="46" spans="1:15" s="64" customFormat="1" ht="12.6" customHeight="1" x14ac:dyDescent="0.3">
      <c r="A46" s="156"/>
      <c r="B46" s="7" t="s">
        <v>32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24">
        <f t="shared" si="4"/>
        <v>0</v>
      </c>
    </row>
    <row r="47" spans="1:15" s="102" customFormat="1" ht="12" x14ac:dyDescent="0.25">
      <c r="A47" s="236"/>
      <c r="B47" s="99" t="s">
        <v>16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3">
        <f t="shared" si="4"/>
        <v>0</v>
      </c>
    </row>
    <row r="48" spans="1:15" s="102" customFormat="1" ht="12" x14ac:dyDescent="0.25">
      <c r="A48" s="235"/>
      <c r="B48" s="99" t="s">
        <v>29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3">
        <f>SUM(C48:N48)</f>
        <v>0</v>
      </c>
    </row>
    <row r="49" spans="1:15" s="64" customFormat="1" ht="12.6" customHeight="1" x14ac:dyDescent="0.3">
      <c r="A49" s="155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 t="shared" si="4"/>
        <v>0</v>
      </c>
    </row>
    <row r="50" spans="1:15" s="64" customFormat="1" ht="12.6" customHeight="1" x14ac:dyDescent="0.3">
      <c r="A50" s="156"/>
      <c r="B50" s="7" t="s">
        <v>32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24">
        <f t="shared" si="4"/>
        <v>0</v>
      </c>
    </row>
    <row r="51" spans="1:15" s="102" customFormat="1" ht="12" x14ac:dyDescent="0.25">
      <c r="A51" s="236"/>
      <c r="B51" s="99" t="s">
        <v>16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3">
        <f t="shared" si="4"/>
        <v>0</v>
      </c>
    </row>
    <row r="52" spans="1:15" s="102" customFormat="1" ht="12" x14ac:dyDescent="0.25">
      <c r="A52" s="235"/>
      <c r="B52" s="99" t="s">
        <v>29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0</v>
      </c>
      <c r="N52" s="100">
        <v>0</v>
      </c>
      <c r="O52" s="103">
        <f>SUM(C52:N52)</f>
        <v>0</v>
      </c>
    </row>
    <row r="53" spans="1:15" s="64" customFormat="1" ht="12.6" customHeight="1" x14ac:dyDescent="0.3">
      <c r="A53" s="155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 t="shared" si="4"/>
        <v>0</v>
      </c>
    </row>
    <row r="54" spans="1:15" s="64" customFormat="1" ht="12.6" customHeight="1" x14ac:dyDescent="0.3">
      <c r="A54" s="156"/>
      <c r="B54" s="7" t="s">
        <v>32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24">
        <f t="shared" si="4"/>
        <v>0</v>
      </c>
    </row>
    <row r="55" spans="1:15" s="102" customFormat="1" ht="12" x14ac:dyDescent="0.25">
      <c r="A55" s="236"/>
      <c r="B55" s="99" t="s">
        <v>16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3">
        <f t="shared" si="4"/>
        <v>0</v>
      </c>
    </row>
    <row r="56" spans="1:15" s="102" customFormat="1" ht="12" x14ac:dyDescent="0.25">
      <c r="A56" s="235"/>
      <c r="B56" s="99" t="s">
        <v>29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3">
        <f>SUM(C56:N56)</f>
        <v>0</v>
      </c>
    </row>
    <row r="57" spans="1:15" s="64" customFormat="1" ht="12.6" customHeight="1" x14ac:dyDescent="0.3">
      <c r="A57" s="155"/>
      <c r="B57" s="5" t="s">
        <v>31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7">
        <f t="shared" si="4"/>
        <v>0</v>
      </c>
    </row>
    <row r="58" spans="1:15" s="64" customFormat="1" ht="12.6" customHeight="1" x14ac:dyDescent="0.3">
      <c r="A58" s="156"/>
      <c r="B58" s="7" t="s">
        <v>32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24">
        <f t="shared" si="4"/>
        <v>0</v>
      </c>
    </row>
    <row r="59" spans="1:15" s="102" customFormat="1" ht="12" x14ac:dyDescent="0.25">
      <c r="A59" s="236"/>
      <c r="B59" s="99" t="s">
        <v>16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3">
        <f t="shared" si="4"/>
        <v>0</v>
      </c>
    </row>
    <row r="60" spans="1:15" s="102" customFormat="1" ht="12" x14ac:dyDescent="0.25">
      <c r="A60" s="235"/>
      <c r="B60" s="99" t="s">
        <v>29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3">
        <f>SUM(C60:N60)</f>
        <v>0</v>
      </c>
    </row>
    <row r="61" spans="1:15" s="64" customFormat="1" ht="12.6" customHeight="1" x14ac:dyDescent="0.3">
      <c r="A61" s="155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 t="shared" si="4"/>
        <v>0</v>
      </c>
    </row>
    <row r="62" spans="1:15" s="64" customFormat="1" ht="12.6" customHeight="1" x14ac:dyDescent="0.3">
      <c r="A62" s="156"/>
      <c r="B62" s="7" t="s">
        <v>32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24">
        <f t="shared" si="4"/>
        <v>0</v>
      </c>
    </row>
    <row r="63" spans="1:15" s="102" customFormat="1" ht="12" x14ac:dyDescent="0.25">
      <c r="A63" s="236"/>
      <c r="B63" s="99" t="s">
        <v>16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3">
        <f t="shared" si="4"/>
        <v>0</v>
      </c>
    </row>
    <row r="64" spans="1:15" s="102" customFormat="1" ht="12" x14ac:dyDescent="0.25">
      <c r="A64" s="235"/>
      <c r="B64" s="99" t="s">
        <v>29</v>
      </c>
      <c r="C64" s="100">
        <v>0</v>
      </c>
      <c r="D64" s="100">
        <v>0</v>
      </c>
      <c r="E64" s="100">
        <v>0</v>
      </c>
      <c r="F64" s="100">
        <v>0</v>
      </c>
      <c r="G64" s="100">
        <v>0</v>
      </c>
      <c r="H64" s="100">
        <v>0</v>
      </c>
      <c r="I64" s="100">
        <v>0</v>
      </c>
      <c r="J64" s="100">
        <v>0</v>
      </c>
      <c r="K64" s="100">
        <v>0</v>
      </c>
      <c r="L64" s="100">
        <v>0</v>
      </c>
      <c r="M64" s="100">
        <v>0</v>
      </c>
      <c r="N64" s="100">
        <v>0</v>
      </c>
      <c r="O64" s="103">
        <f>SUM(C64:N64)</f>
        <v>0</v>
      </c>
    </row>
    <row r="65" spans="1:15" s="64" customFormat="1" ht="12.6" customHeight="1" x14ac:dyDescent="0.3">
      <c r="A65" s="155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 t="shared" si="4"/>
        <v>0</v>
      </c>
    </row>
    <row r="66" spans="1:15" s="64" customFormat="1" ht="12.6" customHeight="1" x14ac:dyDescent="0.3">
      <c r="A66" s="156"/>
      <c r="B66" s="7" t="s">
        <v>32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24">
        <f t="shared" si="4"/>
        <v>0</v>
      </c>
    </row>
    <row r="67" spans="1:15" s="102" customFormat="1" ht="12.6" customHeight="1" x14ac:dyDescent="0.25">
      <c r="A67" s="236"/>
      <c r="B67" s="99" t="s">
        <v>16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3">
        <f t="shared" si="4"/>
        <v>0</v>
      </c>
    </row>
    <row r="68" spans="1:15" s="102" customFormat="1" ht="12" x14ac:dyDescent="0.25">
      <c r="A68" s="235"/>
      <c r="B68" s="99" t="s">
        <v>29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3">
        <f>SUM(C68:N68)</f>
        <v>0</v>
      </c>
    </row>
    <row r="69" spans="1:15" s="64" customFormat="1" x14ac:dyDescent="0.3">
      <c r="A69" s="155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 t="shared" si="4"/>
        <v>0</v>
      </c>
    </row>
    <row r="70" spans="1:15" s="64" customFormat="1" x14ac:dyDescent="0.3">
      <c r="A70" s="156"/>
      <c r="B70" s="7" t="s">
        <v>32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24">
        <f t="shared" si="4"/>
        <v>0</v>
      </c>
    </row>
    <row r="71" spans="1:15" s="102" customFormat="1" ht="12" x14ac:dyDescent="0.25">
      <c r="A71" s="236"/>
      <c r="B71" s="99" t="s">
        <v>16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3">
        <f t="shared" si="4"/>
        <v>0</v>
      </c>
    </row>
    <row r="72" spans="1:15" s="102" customFormat="1" ht="12" x14ac:dyDescent="0.25">
      <c r="A72" s="235"/>
      <c r="B72" s="99" t="s">
        <v>29</v>
      </c>
      <c r="C72" s="100">
        <v>0</v>
      </c>
      <c r="D72" s="100">
        <v>0</v>
      </c>
      <c r="E72" s="100">
        <v>0</v>
      </c>
      <c r="F72" s="100">
        <v>0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3">
        <f>SUM(C72:N72)</f>
        <v>0</v>
      </c>
    </row>
    <row r="73" spans="1:15" s="64" customFormat="1" x14ac:dyDescent="0.3">
      <c r="A73" s="155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 t="shared" si="4"/>
        <v>0</v>
      </c>
    </row>
    <row r="74" spans="1:15" s="64" customFormat="1" x14ac:dyDescent="0.3">
      <c r="A74" s="156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24">
        <f t="shared" si="4"/>
        <v>0</v>
      </c>
    </row>
    <row r="75" spans="1:15" s="102" customFormat="1" ht="12" x14ac:dyDescent="0.25">
      <c r="A75" s="236"/>
      <c r="B75" s="99" t="s">
        <v>16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3">
        <f t="shared" ref="O75:O98" si="5">SUM(C75:N75)</f>
        <v>0</v>
      </c>
    </row>
    <row r="76" spans="1:15" s="102" customFormat="1" ht="12" x14ac:dyDescent="0.25">
      <c r="A76" s="235"/>
      <c r="B76" s="99" t="s">
        <v>29</v>
      </c>
      <c r="C76" s="100">
        <v>0</v>
      </c>
      <c r="D76" s="100">
        <v>0</v>
      </c>
      <c r="E76" s="100">
        <v>0</v>
      </c>
      <c r="F76" s="100">
        <v>0</v>
      </c>
      <c r="G76" s="100">
        <v>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3">
        <f>SUM(C76:N76)</f>
        <v>0</v>
      </c>
    </row>
    <row r="77" spans="1:15" s="64" customFormat="1" x14ac:dyDescent="0.3">
      <c r="A77" s="155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7">
        <f t="shared" si="5"/>
        <v>0</v>
      </c>
    </row>
    <row r="78" spans="1:15" s="64" customFormat="1" x14ac:dyDescent="0.3">
      <c r="A78" s="156"/>
      <c r="B78" s="7" t="s">
        <v>32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24">
        <f t="shared" si="5"/>
        <v>0</v>
      </c>
    </row>
    <row r="79" spans="1:15" s="102" customFormat="1" ht="12" x14ac:dyDescent="0.25">
      <c r="A79" s="236"/>
      <c r="B79" s="99" t="s">
        <v>16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3">
        <f t="shared" si="5"/>
        <v>0</v>
      </c>
    </row>
    <row r="80" spans="1:15" s="102" customFormat="1" ht="12" x14ac:dyDescent="0.25">
      <c r="A80" s="235"/>
      <c r="B80" s="99" t="s">
        <v>29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3">
        <f>SUM(C80:N80)</f>
        <v>0</v>
      </c>
    </row>
    <row r="81" spans="1:15" s="64" customFormat="1" x14ac:dyDescent="0.3">
      <c r="A81" s="155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7">
        <f t="shared" si="5"/>
        <v>0</v>
      </c>
    </row>
    <row r="82" spans="1:15" s="64" customFormat="1" x14ac:dyDescent="0.3">
      <c r="A82" s="156"/>
      <c r="B82" s="7" t="s">
        <v>32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24">
        <f t="shared" si="5"/>
        <v>0</v>
      </c>
    </row>
    <row r="83" spans="1:15" s="102" customFormat="1" ht="12" x14ac:dyDescent="0.25">
      <c r="A83" s="236"/>
      <c r="B83" s="99" t="s">
        <v>16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3">
        <f t="shared" si="5"/>
        <v>0</v>
      </c>
    </row>
    <row r="84" spans="1:15" s="102" customFormat="1" ht="12" x14ac:dyDescent="0.25">
      <c r="A84" s="235"/>
      <c r="B84" s="99" t="s">
        <v>29</v>
      </c>
      <c r="C84" s="100">
        <v>0</v>
      </c>
      <c r="D84" s="100">
        <v>0</v>
      </c>
      <c r="E84" s="100">
        <v>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3">
        <f>SUM(C84:N84)</f>
        <v>0</v>
      </c>
    </row>
    <row r="85" spans="1:15" s="64" customFormat="1" x14ac:dyDescent="0.3">
      <c r="A85" s="155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7">
        <f t="shared" si="5"/>
        <v>0</v>
      </c>
    </row>
    <row r="86" spans="1:15" s="64" customFormat="1" x14ac:dyDescent="0.3">
      <c r="A86" s="156"/>
      <c r="B86" s="7" t="s">
        <v>32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24">
        <f t="shared" si="5"/>
        <v>0</v>
      </c>
    </row>
    <row r="87" spans="1:15" s="102" customFormat="1" ht="12" x14ac:dyDescent="0.25">
      <c r="A87" s="236"/>
      <c r="B87" s="99" t="s">
        <v>16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3">
        <f t="shared" si="5"/>
        <v>0</v>
      </c>
    </row>
    <row r="88" spans="1:15" s="102" customFormat="1" ht="12" x14ac:dyDescent="0.25">
      <c r="A88" s="235"/>
      <c r="B88" s="99" t="s">
        <v>29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3">
        <f>SUM(C88:N88)</f>
        <v>0</v>
      </c>
    </row>
    <row r="89" spans="1:15" s="64" customFormat="1" x14ac:dyDescent="0.3">
      <c r="A89" s="155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7">
        <f t="shared" si="5"/>
        <v>0</v>
      </c>
    </row>
    <row r="90" spans="1:15" s="64" customFormat="1" x14ac:dyDescent="0.3">
      <c r="A90" s="156"/>
      <c r="B90" s="7" t="s">
        <v>32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24">
        <f t="shared" si="5"/>
        <v>0</v>
      </c>
    </row>
    <row r="91" spans="1:15" s="102" customFormat="1" ht="12" x14ac:dyDescent="0.25">
      <c r="A91" s="236"/>
      <c r="B91" s="99" t="s">
        <v>16</v>
      </c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3">
        <f t="shared" si="5"/>
        <v>0</v>
      </c>
    </row>
    <row r="92" spans="1:15" s="102" customFormat="1" ht="12" x14ac:dyDescent="0.25">
      <c r="A92" s="235"/>
      <c r="B92" s="99" t="s">
        <v>29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100">
        <v>0</v>
      </c>
      <c r="N92" s="100">
        <v>0</v>
      </c>
      <c r="O92" s="103">
        <f>SUM(C92:N92)</f>
        <v>0</v>
      </c>
    </row>
    <row r="93" spans="1:15" s="64" customFormat="1" x14ac:dyDescent="0.3">
      <c r="A93" s="155"/>
      <c r="B93" s="5" t="s">
        <v>31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7">
        <f t="shared" si="5"/>
        <v>0</v>
      </c>
    </row>
    <row r="94" spans="1:15" s="64" customFormat="1" x14ac:dyDescent="0.3">
      <c r="A94" s="156"/>
      <c r="B94" s="7" t="s">
        <v>32</v>
      </c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24">
        <f t="shared" si="5"/>
        <v>0</v>
      </c>
    </row>
    <row r="95" spans="1:15" s="102" customFormat="1" ht="12" x14ac:dyDescent="0.25">
      <c r="A95" s="236"/>
      <c r="B95" s="99" t="s">
        <v>16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3">
        <f t="shared" si="5"/>
        <v>0</v>
      </c>
    </row>
    <row r="96" spans="1:15" s="102" customFormat="1" ht="12" x14ac:dyDescent="0.25">
      <c r="A96" s="235"/>
      <c r="B96" s="99" t="s">
        <v>29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100">
        <v>0</v>
      </c>
      <c r="N96" s="100">
        <v>0</v>
      </c>
      <c r="O96" s="103">
        <f>SUM(C96:N96)</f>
        <v>0</v>
      </c>
    </row>
    <row r="97" spans="1:15" s="64" customFormat="1" x14ac:dyDescent="0.3">
      <c r="A97" s="155"/>
      <c r="B97" s="5" t="s">
        <v>31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7">
        <f t="shared" si="5"/>
        <v>0</v>
      </c>
    </row>
    <row r="98" spans="1:15" s="64" customFormat="1" x14ac:dyDescent="0.3">
      <c r="A98" s="156"/>
      <c r="B98" s="7" t="s">
        <v>32</v>
      </c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24">
        <f t="shared" si="5"/>
        <v>0</v>
      </c>
    </row>
    <row r="99" spans="1:15" s="102" customFormat="1" ht="12" x14ac:dyDescent="0.25">
      <c r="A99" s="243"/>
    </row>
    <row r="100" spans="1:15" s="102" customFormat="1" ht="12" x14ac:dyDescent="0.25">
      <c r="A100" s="237"/>
    </row>
    <row r="101" spans="1:15" s="64" customFormat="1" x14ac:dyDescent="0.3">
      <c r="A101" s="158"/>
    </row>
    <row r="102" spans="1:15" s="64" customFormat="1" x14ac:dyDescent="0.3">
      <c r="A102" s="158"/>
    </row>
    <row r="103" spans="1:15" s="102" customFormat="1" ht="12" x14ac:dyDescent="0.25">
      <c r="A103" s="237"/>
    </row>
    <row r="104" spans="1:15" s="102" customFormat="1" ht="12" x14ac:dyDescent="0.25">
      <c r="A104" s="237"/>
    </row>
    <row r="105" spans="1:15" s="64" customFormat="1" x14ac:dyDescent="0.3">
      <c r="A105" s="158"/>
    </row>
    <row r="106" spans="1:15" s="64" customFormat="1" x14ac:dyDescent="0.3">
      <c r="A106" s="158"/>
    </row>
    <row r="107" spans="1:15" s="102" customFormat="1" ht="12" x14ac:dyDescent="0.25">
      <c r="A107" s="237"/>
    </row>
    <row r="108" spans="1:15" s="102" customFormat="1" ht="12" x14ac:dyDescent="0.25">
      <c r="A108" s="237"/>
    </row>
    <row r="109" spans="1:15" s="64" customFormat="1" x14ac:dyDescent="0.3">
      <c r="A109" s="158"/>
    </row>
    <row r="110" spans="1:15" s="64" customFormat="1" x14ac:dyDescent="0.3">
      <c r="A110" s="158"/>
    </row>
    <row r="111" spans="1:15" s="102" customFormat="1" ht="12" x14ac:dyDescent="0.25">
      <c r="A111" s="237"/>
    </row>
    <row r="112" spans="1:15" s="102" customFormat="1" ht="12" x14ac:dyDescent="0.25">
      <c r="A112" s="237"/>
    </row>
    <row r="113" spans="1:1" s="64" customFormat="1" x14ac:dyDescent="0.3">
      <c r="A113" s="158"/>
    </row>
    <row r="114" spans="1:1" s="64" customFormat="1" x14ac:dyDescent="0.3">
      <c r="A114" s="158"/>
    </row>
    <row r="115" spans="1:1" s="102" customFormat="1" ht="12" x14ac:dyDescent="0.25">
      <c r="A115" s="237"/>
    </row>
    <row r="116" spans="1:1" s="102" customFormat="1" ht="12" x14ac:dyDescent="0.25">
      <c r="A116" s="237"/>
    </row>
    <row r="117" spans="1:1" s="64" customFormat="1" x14ac:dyDescent="0.3">
      <c r="A117" s="158"/>
    </row>
    <row r="118" spans="1:1" s="64" customFormat="1" x14ac:dyDescent="0.3">
      <c r="A118" s="158"/>
    </row>
    <row r="119" spans="1:1" s="102" customFormat="1" ht="12" x14ac:dyDescent="0.25">
      <c r="A119" s="237"/>
    </row>
    <row r="120" spans="1:1" s="102" customFormat="1" ht="12" x14ac:dyDescent="0.25">
      <c r="A120" s="237"/>
    </row>
    <row r="121" spans="1:1" s="64" customFormat="1" x14ac:dyDescent="0.3">
      <c r="A121" s="158"/>
    </row>
    <row r="122" spans="1:1" s="64" customFormat="1" x14ac:dyDescent="0.3">
      <c r="A122" s="158"/>
    </row>
    <row r="123" spans="1:1" s="102" customFormat="1" ht="12" x14ac:dyDescent="0.25">
      <c r="A123" s="237"/>
    </row>
    <row r="124" spans="1:1" s="102" customFormat="1" ht="12" x14ac:dyDescent="0.25">
      <c r="A124" s="237"/>
    </row>
    <row r="125" spans="1:1" s="64" customFormat="1" ht="11.4" customHeight="1" x14ac:dyDescent="0.3">
      <c r="A125" s="158"/>
    </row>
    <row r="126" spans="1:1" s="64" customFormat="1" x14ac:dyDescent="0.3">
      <c r="A126" s="158"/>
    </row>
    <row r="127" spans="1:1" s="102" customFormat="1" ht="12" x14ac:dyDescent="0.25">
      <c r="A127" s="237"/>
    </row>
    <row r="128" spans="1:1" s="102" customFormat="1" ht="12" x14ac:dyDescent="0.25">
      <c r="A128" s="237"/>
    </row>
    <row r="129" spans="1:1" s="64" customFormat="1" x14ac:dyDescent="0.3">
      <c r="A129" s="158"/>
    </row>
    <row r="130" spans="1:1" s="64" customFormat="1" x14ac:dyDescent="0.3">
      <c r="A130" s="158"/>
    </row>
    <row r="131" spans="1:1" s="102" customFormat="1" ht="12" x14ac:dyDescent="0.25">
      <c r="A131" s="237"/>
    </row>
    <row r="132" spans="1:1" s="102" customFormat="1" ht="12" x14ac:dyDescent="0.25">
      <c r="A132" s="237"/>
    </row>
    <row r="133" spans="1:1" s="64" customFormat="1" x14ac:dyDescent="0.3">
      <c r="A133" s="158"/>
    </row>
    <row r="134" spans="1:1" s="64" customFormat="1" x14ac:dyDescent="0.3">
      <c r="A134" s="158"/>
    </row>
    <row r="135" spans="1:1" s="102" customFormat="1" ht="12" x14ac:dyDescent="0.25">
      <c r="A135" s="237"/>
    </row>
    <row r="136" spans="1:1" s="102" customFormat="1" ht="12" x14ac:dyDescent="0.25">
      <c r="A136" s="237"/>
    </row>
    <row r="137" spans="1:1" s="64" customFormat="1" x14ac:dyDescent="0.3">
      <c r="A137" s="158"/>
    </row>
    <row r="138" spans="1:1" s="64" customFormat="1" x14ac:dyDescent="0.3">
      <c r="A138" s="158"/>
    </row>
    <row r="139" spans="1:1" s="102" customFormat="1" ht="12" x14ac:dyDescent="0.25">
      <c r="A139" s="237"/>
    </row>
    <row r="140" spans="1:1" s="102" customFormat="1" ht="12" x14ac:dyDescent="0.25">
      <c r="A140" s="237"/>
    </row>
    <row r="141" spans="1:1" s="64" customFormat="1" x14ac:dyDescent="0.3">
      <c r="A141" s="158"/>
    </row>
    <row r="142" spans="1:1" s="64" customFormat="1" x14ac:dyDescent="0.3">
      <c r="A142" s="158"/>
    </row>
    <row r="143" spans="1:1" s="102" customFormat="1" ht="12" x14ac:dyDescent="0.25">
      <c r="A143" s="237"/>
    </row>
    <row r="144" spans="1:1" s="102" customFormat="1" ht="12" x14ac:dyDescent="0.25">
      <c r="A144" s="237"/>
    </row>
    <row r="145" spans="1:1" s="64" customFormat="1" x14ac:dyDescent="0.3">
      <c r="A145" s="158"/>
    </row>
    <row r="146" spans="1:1" s="64" customFormat="1" x14ac:dyDescent="0.3">
      <c r="A146" s="158"/>
    </row>
    <row r="147" spans="1:1" s="102" customFormat="1" ht="12" x14ac:dyDescent="0.25">
      <c r="A147" s="237"/>
    </row>
    <row r="148" spans="1:1" s="102" customFormat="1" ht="12" x14ac:dyDescent="0.25">
      <c r="A148" s="237"/>
    </row>
    <row r="149" spans="1:1" s="64" customFormat="1" x14ac:dyDescent="0.3">
      <c r="A149" s="158"/>
    </row>
    <row r="150" spans="1:1" s="64" customFormat="1" x14ac:dyDescent="0.3">
      <c r="A150" s="158"/>
    </row>
    <row r="151" spans="1:1" s="102" customFormat="1" ht="12" x14ac:dyDescent="0.25">
      <c r="A151" s="237"/>
    </row>
    <row r="152" spans="1:1" s="102" customFormat="1" ht="12" x14ac:dyDescent="0.25">
      <c r="A152" s="237"/>
    </row>
    <row r="153" spans="1:1" s="64" customFormat="1" x14ac:dyDescent="0.3">
      <c r="A153" s="158"/>
    </row>
    <row r="154" spans="1:1" s="64" customFormat="1" x14ac:dyDescent="0.3">
      <c r="A154" s="158"/>
    </row>
    <row r="155" spans="1:1" s="102" customFormat="1" ht="12" x14ac:dyDescent="0.25">
      <c r="A155" s="237"/>
    </row>
    <row r="156" spans="1:1" s="102" customFormat="1" ht="12" x14ac:dyDescent="0.25">
      <c r="A156" s="237"/>
    </row>
    <row r="157" spans="1:1" s="64" customFormat="1" x14ac:dyDescent="0.3">
      <c r="A157" s="158"/>
    </row>
    <row r="158" spans="1:1" s="64" customFormat="1" x14ac:dyDescent="0.3">
      <c r="A158" s="158"/>
    </row>
    <row r="159" spans="1:1" s="102" customFormat="1" ht="12" x14ac:dyDescent="0.25">
      <c r="A159" s="237"/>
    </row>
    <row r="160" spans="1:1" s="102" customFormat="1" ht="12" x14ac:dyDescent="0.25">
      <c r="A160" s="237"/>
    </row>
    <row r="161" spans="1:1" s="64" customFormat="1" x14ac:dyDescent="0.3">
      <c r="A161" s="158"/>
    </row>
    <row r="162" spans="1:1" s="64" customFormat="1" x14ac:dyDescent="0.3">
      <c r="A162" s="158"/>
    </row>
    <row r="163" spans="1:1" s="102" customFormat="1" ht="12" x14ac:dyDescent="0.25">
      <c r="A163" s="237"/>
    </row>
    <row r="164" spans="1:1" s="102" customFormat="1" ht="12" x14ac:dyDescent="0.25">
      <c r="A164" s="237"/>
    </row>
    <row r="165" spans="1:1" s="64" customFormat="1" x14ac:dyDescent="0.3">
      <c r="A165" s="158"/>
    </row>
    <row r="166" spans="1:1" s="64" customFormat="1" x14ac:dyDescent="0.3">
      <c r="A166" s="158"/>
    </row>
    <row r="167" spans="1:1" s="102" customFormat="1" ht="12" x14ac:dyDescent="0.25">
      <c r="A167" s="237"/>
    </row>
    <row r="168" spans="1:1" s="102" customFormat="1" ht="12" x14ac:dyDescent="0.25">
      <c r="A168" s="237"/>
    </row>
    <row r="169" spans="1:1" s="64" customFormat="1" x14ac:dyDescent="0.3">
      <c r="A169" s="158"/>
    </row>
    <row r="170" spans="1:1" s="64" customFormat="1" x14ac:dyDescent="0.3">
      <c r="A170" s="158"/>
    </row>
    <row r="171" spans="1:1" s="102" customFormat="1" ht="12" x14ac:dyDescent="0.25">
      <c r="A171" s="237"/>
    </row>
    <row r="172" spans="1:1" s="102" customFormat="1" ht="12" x14ac:dyDescent="0.25">
      <c r="A172" s="237"/>
    </row>
    <row r="173" spans="1:1" s="64" customFormat="1" x14ac:dyDescent="0.3">
      <c r="A173" s="158"/>
    </row>
    <row r="174" spans="1:1" s="64" customFormat="1" x14ac:dyDescent="0.3">
      <c r="A174" s="158"/>
    </row>
    <row r="175" spans="1:1" s="102" customFormat="1" ht="12" x14ac:dyDescent="0.25">
      <c r="A175" s="237"/>
    </row>
    <row r="176" spans="1:1" s="102" customFormat="1" ht="12" x14ac:dyDescent="0.25">
      <c r="A176" s="237"/>
    </row>
    <row r="177" spans="1:1" s="64" customFormat="1" x14ac:dyDescent="0.3">
      <c r="A177" s="158"/>
    </row>
    <row r="178" spans="1:1" s="64" customFormat="1" x14ac:dyDescent="0.3">
      <c r="A178" s="158"/>
    </row>
    <row r="179" spans="1:1" s="102" customFormat="1" ht="12" x14ac:dyDescent="0.25">
      <c r="A179" s="237"/>
    </row>
    <row r="180" spans="1:1" s="102" customFormat="1" ht="12" x14ac:dyDescent="0.25">
      <c r="A180" s="237"/>
    </row>
    <row r="181" spans="1:1" s="64" customFormat="1" x14ac:dyDescent="0.3">
      <c r="A181" s="158"/>
    </row>
    <row r="182" spans="1:1" s="64" customFormat="1" x14ac:dyDescent="0.3">
      <c r="A182" s="158"/>
    </row>
    <row r="183" spans="1:1" s="102" customFormat="1" ht="12" x14ac:dyDescent="0.25">
      <c r="A183" s="237"/>
    </row>
    <row r="184" spans="1:1" s="102" customFormat="1" ht="12" x14ac:dyDescent="0.25">
      <c r="A184" s="237"/>
    </row>
    <row r="185" spans="1:1" s="64" customFormat="1" x14ac:dyDescent="0.3">
      <c r="A185" s="158"/>
    </row>
    <row r="186" spans="1:1" s="64" customFormat="1" x14ac:dyDescent="0.3">
      <c r="A186" s="158"/>
    </row>
    <row r="187" spans="1:1" s="102" customFormat="1" ht="12" x14ac:dyDescent="0.25">
      <c r="A187" s="237"/>
    </row>
    <row r="188" spans="1:1" s="102" customFormat="1" ht="12" x14ac:dyDescent="0.25">
      <c r="A188" s="237"/>
    </row>
    <row r="189" spans="1:1" s="64" customFormat="1" x14ac:dyDescent="0.3">
      <c r="A189" s="158"/>
    </row>
    <row r="190" spans="1:1" s="64" customFormat="1" x14ac:dyDescent="0.3">
      <c r="A190" s="158"/>
    </row>
    <row r="191" spans="1:1" s="102" customFormat="1" ht="12" x14ac:dyDescent="0.25">
      <c r="A191" s="237"/>
    </row>
    <row r="192" spans="1:1" s="102" customFormat="1" ht="12" x14ac:dyDescent="0.25">
      <c r="A192" s="237"/>
    </row>
    <row r="193" spans="1:1" s="64" customFormat="1" x14ac:dyDescent="0.3">
      <c r="A193" s="158"/>
    </row>
    <row r="194" spans="1:1" s="64" customFormat="1" x14ac:dyDescent="0.3">
      <c r="A194" s="158"/>
    </row>
    <row r="195" spans="1:1" s="102" customFormat="1" ht="12" x14ac:dyDescent="0.25">
      <c r="A195" s="237"/>
    </row>
    <row r="196" spans="1:1" s="102" customFormat="1" ht="12" x14ac:dyDescent="0.25">
      <c r="A196" s="237"/>
    </row>
    <row r="197" spans="1:1" s="64" customFormat="1" x14ac:dyDescent="0.3">
      <c r="A197" s="158"/>
    </row>
    <row r="198" spans="1:1" s="64" customFormat="1" x14ac:dyDescent="0.3">
      <c r="A198" s="158"/>
    </row>
    <row r="199" spans="1:1" s="102" customFormat="1" ht="12" x14ac:dyDescent="0.25">
      <c r="A199" s="237"/>
    </row>
    <row r="200" spans="1:1" s="102" customFormat="1" ht="12" x14ac:dyDescent="0.25">
      <c r="A200" s="237"/>
    </row>
    <row r="201" spans="1:1" s="64" customFormat="1" x14ac:dyDescent="0.3">
      <c r="A201" s="158"/>
    </row>
    <row r="202" spans="1:1" s="64" customFormat="1" x14ac:dyDescent="0.3">
      <c r="A202" s="158"/>
    </row>
    <row r="203" spans="1:1" s="102" customFormat="1" ht="12" x14ac:dyDescent="0.25">
      <c r="A203" s="237"/>
    </row>
    <row r="204" spans="1:1" s="102" customFormat="1" ht="12" x14ac:dyDescent="0.25">
      <c r="A204" s="237"/>
    </row>
    <row r="205" spans="1:1" s="64" customFormat="1" x14ac:dyDescent="0.3">
      <c r="A205" s="158"/>
    </row>
    <row r="206" spans="1:1" s="64" customFormat="1" x14ac:dyDescent="0.3">
      <c r="A206" s="158"/>
    </row>
    <row r="207" spans="1:1" s="102" customFormat="1" ht="12" x14ac:dyDescent="0.25">
      <c r="A207" s="237"/>
    </row>
    <row r="208" spans="1:1" s="102" customFormat="1" ht="12" x14ac:dyDescent="0.25">
      <c r="A208" s="237"/>
    </row>
    <row r="209" spans="1:1" s="64" customFormat="1" x14ac:dyDescent="0.3">
      <c r="A209" s="158"/>
    </row>
    <row r="210" spans="1:1" s="64" customFormat="1" x14ac:dyDescent="0.3">
      <c r="A210" s="158"/>
    </row>
    <row r="211" spans="1:1" s="102" customFormat="1" ht="12" x14ac:dyDescent="0.25">
      <c r="A211" s="237"/>
    </row>
    <row r="212" spans="1:1" s="102" customFormat="1" ht="12" x14ac:dyDescent="0.25">
      <c r="A212" s="237"/>
    </row>
    <row r="213" spans="1:1" s="64" customFormat="1" x14ac:dyDescent="0.3">
      <c r="A213" s="158"/>
    </row>
    <row r="214" spans="1:1" s="64" customFormat="1" x14ac:dyDescent="0.3">
      <c r="A214" s="158"/>
    </row>
    <row r="215" spans="1:1" s="102" customFormat="1" ht="12" x14ac:dyDescent="0.25">
      <c r="A215" s="237"/>
    </row>
    <row r="216" spans="1:1" s="102" customFormat="1" ht="12" x14ac:dyDescent="0.25">
      <c r="A216" s="237"/>
    </row>
    <row r="217" spans="1:1" s="64" customFormat="1" x14ac:dyDescent="0.3">
      <c r="A217" s="108"/>
    </row>
    <row r="218" spans="1:1" s="64" customFormat="1" x14ac:dyDescent="0.3">
      <c r="A218" s="108"/>
    </row>
  </sheetData>
  <mergeCells count="54">
    <mergeCell ref="A207:A208"/>
    <mergeCell ref="A211:A212"/>
    <mergeCell ref="A215:A216"/>
    <mergeCell ref="A3:A6"/>
    <mergeCell ref="A187:A188"/>
    <mergeCell ref="A191:A192"/>
    <mergeCell ref="A195:A196"/>
    <mergeCell ref="A199:A200"/>
    <mergeCell ref="A203:A204"/>
    <mergeCell ref="A167:A168"/>
    <mergeCell ref="A171:A172"/>
    <mergeCell ref="A175:A176"/>
    <mergeCell ref="A179:A180"/>
    <mergeCell ref="A183:A184"/>
    <mergeCell ref="A147:A148"/>
    <mergeCell ref="A151:A152"/>
    <mergeCell ref="A159:A160"/>
    <mergeCell ref="A163:A164"/>
    <mergeCell ref="A127:A128"/>
    <mergeCell ref="A131:A132"/>
    <mergeCell ref="A135:A136"/>
    <mergeCell ref="A139:A140"/>
    <mergeCell ref="A143:A144"/>
    <mergeCell ref="A111:A112"/>
    <mergeCell ref="A115:A116"/>
    <mergeCell ref="A119:A120"/>
    <mergeCell ref="A123:A124"/>
    <mergeCell ref="A155:A156"/>
    <mergeCell ref="A75:A76"/>
    <mergeCell ref="A79:A80"/>
    <mergeCell ref="A83:A84"/>
    <mergeCell ref="A87:A88"/>
    <mergeCell ref="A107:A108"/>
    <mergeCell ref="A1:O1"/>
    <mergeCell ref="A11:A12"/>
    <mergeCell ref="A15:A16"/>
    <mergeCell ref="A19:A20"/>
    <mergeCell ref="A23:A24"/>
    <mergeCell ref="A27:A28"/>
    <mergeCell ref="A91:A92"/>
    <mergeCell ref="A95:A96"/>
    <mergeCell ref="A99:A100"/>
    <mergeCell ref="A103:A104"/>
    <mergeCell ref="A31:A32"/>
    <mergeCell ref="A35:A36"/>
    <mergeCell ref="A39:A40"/>
    <mergeCell ref="A43:A44"/>
    <mergeCell ref="A47:A48"/>
    <mergeCell ref="A51:A52"/>
    <mergeCell ref="A55:A56"/>
    <mergeCell ref="A59:A60"/>
    <mergeCell ref="A63:A64"/>
    <mergeCell ref="A67:A68"/>
    <mergeCell ref="A71:A72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895F-8AD8-415C-A553-977C85ED38D4}">
  <sheetPr codeName="Sheet18"/>
  <dimension ref="A1:P218"/>
  <sheetViews>
    <sheetView zoomScale="70" zoomScaleNormal="10" workbookViewId="0">
      <pane xSplit="1" ySplit="2" topLeftCell="H3" activePane="bottomRight" state="frozen"/>
      <selection pane="topRight" activeCell="M13" sqref="M13"/>
      <selection pane="bottomLeft" activeCell="M13" sqref="M13"/>
      <selection pane="bottomRight" activeCell="I20" sqref="I20"/>
    </sheetView>
  </sheetViews>
  <sheetFormatPr defaultColWidth="9.109375" defaultRowHeight="14.4" x14ac:dyDescent="0.3"/>
  <cols>
    <col min="1" max="1" width="27.5546875" style="54" customWidth="1"/>
    <col min="2" max="2" width="22.88671875" style="52" bestFit="1" customWidth="1"/>
    <col min="3" max="15" width="14" style="52" customWidth="1"/>
    <col min="16" max="16384" width="9.109375" style="52"/>
  </cols>
  <sheetData>
    <row r="1" spans="1:16" ht="34.5" customHeight="1" x14ac:dyDescent="0.6">
      <c r="A1" s="232" t="s">
        <v>394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16" x14ac:dyDescent="0.3">
      <c r="A2" s="68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69" t="s">
        <v>7</v>
      </c>
      <c r="J2" s="69" t="s">
        <v>8</v>
      </c>
      <c r="K2" s="69" t="s">
        <v>9</v>
      </c>
      <c r="L2" s="69" t="s">
        <v>10</v>
      </c>
      <c r="M2" s="69" t="s">
        <v>11</v>
      </c>
      <c r="N2" s="69" t="s">
        <v>12</v>
      </c>
      <c r="O2" s="69" t="s">
        <v>13</v>
      </c>
    </row>
    <row r="3" spans="1:16" s="102" customFormat="1" ht="14.4" customHeight="1" x14ac:dyDescent="0.25">
      <c r="A3" s="239" t="s">
        <v>15</v>
      </c>
      <c r="B3" s="181" t="s">
        <v>16</v>
      </c>
      <c r="C3" s="182">
        <f>SUMIFS(C$11:C992,$B$11:$B992,"Actual 2024")</f>
        <v>1207.48</v>
      </c>
      <c r="D3" s="182">
        <f>SUMIFS(D$11:D992,$B$11:$B992,"Actual 2024")</f>
        <v>264.64</v>
      </c>
      <c r="E3" s="182">
        <f>SUMIFS(E$11:E992,$B$11:$B992,"Actual 2024")</f>
        <v>187.5</v>
      </c>
      <c r="F3" s="182">
        <f>SUMIFS(F$11:F992,$B$11:$B992,"Actual 2024")</f>
        <v>621.59</v>
      </c>
      <c r="G3" s="182">
        <f>SUMIFS(G$11:G992,$B$11:$B992,"Actual 2024")</f>
        <v>81.39</v>
      </c>
      <c r="H3" s="182">
        <f>SUMIFS(H$11:H992,$B$11:$B992,"Actual 2024")</f>
        <v>138.1</v>
      </c>
      <c r="I3" s="185">
        <f>SUMIFS(I$11:I992,$B$11:$B992,"Actual 2024")</f>
        <v>147.74</v>
      </c>
      <c r="J3" s="185">
        <f>SUMIFS(J$11:J992,$B$11:$B992,"Actual 2024")</f>
        <v>277.14</v>
      </c>
      <c r="K3" s="185">
        <f>SUMIFS(K$11:K992,$B$11:$B992,"Actual 2024")</f>
        <v>568.61</v>
      </c>
      <c r="L3" s="185">
        <f>SUMIFS(L$11:L992,$B$11:$B992,"Actual 2024")</f>
        <v>438.14000000000004</v>
      </c>
      <c r="M3" s="185">
        <f>SUMIFS(M$11:M992,$B$11:$B992,"Actual 2024")</f>
        <v>142.62</v>
      </c>
      <c r="N3" s="185">
        <f>SUMIFS(N$11:N992,$B$11:$B992,"Actual 2024")</f>
        <v>0</v>
      </c>
      <c r="O3" s="183">
        <f>SUMIFS(O$11:O992,$B$11:$B992,"Actual 2024")</f>
        <v>4074.9500000000003</v>
      </c>
      <c r="P3" s="126">
        <v>13943.07</v>
      </c>
    </row>
    <row r="4" spans="1:16" s="102" customFormat="1" ht="14.4" customHeight="1" x14ac:dyDescent="0.25">
      <c r="A4" s="240"/>
      <c r="B4" s="184" t="s">
        <v>27</v>
      </c>
      <c r="C4" s="189">
        <f>SUMIFS(C$11:C992,$B$11:$B992,"Estimated")</f>
        <v>170</v>
      </c>
      <c r="D4" s="189">
        <f>SUMIFS(D$11:D992,$B$11:$B992,"Estimated")</f>
        <v>170</v>
      </c>
      <c r="E4" s="189">
        <f>SUMIFS(E$11:E992,$B$11:$B992,"Estimated")</f>
        <v>870</v>
      </c>
      <c r="F4" s="189">
        <f>SUMIFS(F$11:F992,$B$11:$B992,"Estimated")</f>
        <v>170</v>
      </c>
      <c r="G4" s="189">
        <f>SUMIFS(G$11:G992,$B$11:$B992,"Estimated")</f>
        <v>170</v>
      </c>
      <c r="H4" s="189">
        <f>SUMIFS(H$11:H992,$B$11:$B992,"Estimated")</f>
        <v>420</v>
      </c>
      <c r="I4" s="192">
        <f>SUMIFS(I$11:I992,$B$11:$B992,"Estimated")</f>
        <v>170</v>
      </c>
      <c r="J4" s="192">
        <f>SUMIFS(J$11:J992,$B$11:$B992,"Estimated")</f>
        <v>570</v>
      </c>
      <c r="K4" s="192">
        <f>SUMIFS(K$11:K992,$B$11:$B992,"Estimated")</f>
        <v>170</v>
      </c>
      <c r="L4" s="192">
        <f>SUMIFS(L$11:L992,$B$11:$B992,"Estimated")</f>
        <v>170</v>
      </c>
      <c r="M4" s="192">
        <f>SUMIFS(M$11:M992,$B$11:$B992,"Estimated")</f>
        <v>170</v>
      </c>
      <c r="N4" s="192">
        <f>SUMIFS(N$11:N992,$B$11:$B992,"Estimated")</f>
        <v>740</v>
      </c>
      <c r="O4" s="191">
        <f>SUMIFS(O$11:O992,$B$11:$B992,"Estimated")</f>
        <v>3960</v>
      </c>
    </row>
    <row r="5" spans="1:16" s="166" customFormat="1" ht="14.4" customHeight="1" x14ac:dyDescent="0.3">
      <c r="A5" s="240"/>
      <c r="B5" s="162" t="s">
        <v>18</v>
      </c>
      <c r="C5" s="163">
        <v>260</v>
      </c>
      <c r="D5" s="163">
        <v>260</v>
      </c>
      <c r="E5" s="163">
        <v>260</v>
      </c>
      <c r="F5" s="163">
        <v>260</v>
      </c>
      <c r="G5" s="163">
        <v>260</v>
      </c>
      <c r="H5" s="163">
        <v>260</v>
      </c>
      <c r="I5" s="167">
        <v>260</v>
      </c>
      <c r="J5" s="167">
        <v>260</v>
      </c>
      <c r="K5" s="167">
        <v>260</v>
      </c>
      <c r="L5" s="167">
        <v>260</v>
      </c>
      <c r="M5" s="167">
        <v>260</v>
      </c>
      <c r="N5" s="167">
        <v>260</v>
      </c>
      <c r="O5" s="164">
        <f t="shared" ref="O5" si="0">SUM(C5:N5)</f>
        <v>3120</v>
      </c>
      <c r="P5" s="165">
        <v>3120</v>
      </c>
    </row>
    <row r="6" spans="1:16" s="166" customFormat="1" ht="15" thickBot="1" x14ac:dyDescent="0.35">
      <c r="A6" s="241"/>
      <c r="B6" s="174" t="s">
        <v>19</v>
      </c>
      <c r="C6" s="175">
        <f>SUMIFS(C$11:C997,$B$11:$B997,"Actual")</f>
        <v>113.19</v>
      </c>
      <c r="D6" s="175">
        <f>SUMIFS(D$11:D997,$B$11:$B997,"Actual")</f>
        <v>104.2</v>
      </c>
      <c r="E6" s="175">
        <f>SUMIFS(E$11:E997,$B$11:$B997,"Actual")</f>
        <v>631.22</v>
      </c>
      <c r="F6" s="175">
        <f>SUMIFS(F$11:F997,$B$11:$B997,"Actual")</f>
        <v>397.59999999999997</v>
      </c>
      <c r="G6" s="175">
        <f>SUMIFS(G$11:G997,$B$11:$B997,"Actual")</f>
        <v>44.32</v>
      </c>
      <c r="H6" s="175">
        <f>SUMIFS(H$11:H997,$B$11:$B997,"Actual")</f>
        <v>351.67</v>
      </c>
      <c r="I6" s="177">
        <f>SUMIFS(I$11:I997,$B$11:$B997,"Actual")</f>
        <v>248.54999999999998</v>
      </c>
      <c r="J6" s="177">
        <f>SUMIFS(J$11:J997,$B$11:$B997,"Actual")</f>
        <v>103.86</v>
      </c>
      <c r="K6" s="177">
        <f>SUMIFS(K$11:K997,$B$11:$B997,"Actual")</f>
        <v>361.36</v>
      </c>
      <c r="L6" s="177">
        <f>SUMIFS(L$11:L997,$B$11:$B997,"Actual")</f>
        <v>307.81</v>
      </c>
      <c r="M6" s="177">
        <f>SUMIFS(M$11:M997,$B$11:$B997,"Actual")</f>
        <v>122.41</v>
      </c>
      <c r="N6" s="177">
        <f>SUMIFS(N$11:N997,$B$11:$B997,"Actual")</f>
        <v>0</v>
      </c>
      <c r="O6" s="176">
        <f>SUMIFS(O$11:O997,$B$11:$B997,"Actual")</f>
        <v>2786.19</v>
      </c>
      <c r="P6" s="166">
        <v>2861.74</v>
      </c>
    </row>
    <row r="7" spans="1:16" s="64" customFormat="1" ht="15" thickTop="1" x14ac:dyDescent="0.3">
      <c r="A7" s="134"/>
      <c r="B7" s="70" t="s">
        <v>21</v>
      </c>
      <c r="C7" s="60">
        <f t="shared" ref="C7:I7" si="1">C5-C6</f>
        <v>146.81</v>
      </c>
      <c r="D7" s="60">
        <f t="shared" si="1"/>
        <v>155.80000000000001</v>
      </c>
      <c r="E7" s="60">
        <f t="shared" si="1"/>
        <v>-371.22</v>
      </c>
      <c r="F7" s="60">
        <f t="shared" si="1"/>
        <v>-137.59999999999997</v>
      </c>
      <c r="G7" s="60">
        <f t="shared" si="1"/>
        <v>215.68</v>
      </c>
      <c r="H7" s="60">
        <f t="shared" si="1"/>
        <v>-91.670000000000016</v>
      </c>
      <c r="I7" s="60">
        <f t="shared" si="1"/>
        <v>11.450000000000017</v>
      </c>
      <c r="J7" s="60">
        <f t="shared" ref="J7:N7" si="2">J5-J6</f>
        <v>156.13999999999999</v>
      </c>
      <c r="K7" s="60">
        <f t="shared" si="2"/>
        <v>-101.36000000000001</v>
      </c>
      <c r="L7" s="60">
        <f t="shared" si="2"/>
        <v>-47.81</v>
      </c>
      <c r="M7" s="60">
        <f t="shared" si="2"/>
        <v>137.59</v>
      </c>
      <c r="N7" s="60">
        <f t="shared" si="2"/>
        <v>260</v>
      </c>
      <c r="O7" s="75">
        <f>O5-O6</f>
        <v>333.80999999999995</v>
      </c>
    </row>
    <row r="8" spans="1:16" s="142" customFormat="1" x14ac:dyDescent="0.3">
      <c r="A8" s="138"/>
      <c r="B8" s="139" t="s">
        <v>23</v>
      </c>
      <c r="C8" s="140">
        <f>SUM($C6:C6)</f>
        <v>113.19</v>
      </c>
      <c r="D8" s="140">
        <f>SUM($C6:D6)</f>
        <v>217.39</v>
      </c>
      <c r="E8" s="140">
        <f>SUM($C6:E6)</f>
        <v>848.61</v>
      </c>
      <c r="F8" s="140">
        <f>SUM($C6:F6)</f>
        <v>1246.21</v>
      </c>
      <c r="G8" s="140">
        <f>SUM($C6:G6)</f>
        <v>1290.53</v>
      </c>
      <c r="H8" s="140">
        <f>SUM($C6:H6)</f>
        <v>1642.2</v>
      </c>
      <c r="I8" s="140">
        <f>SUM($C6:I6)</f>
        <v>1890.75</v>
      </c>
      <c r="J8" s="140">
        <f>SUM($C6:J6)</f>
        <v>1994.61</v>
      </c>
      <c r="K8" s="140">
        <f>SUM($C6:K6)</f>
        <v>2355.9699999999998</v>
      </c>
      <c r="L8" s="140">
        <f>SUM($C6:L6)</f>
        <v>2663.7799999999997</v>
      </c>
      <c r="M8" s="140">
        <f>SUM($C6:M6)</f>
        <v>2786.1899999999996</v>
      </c>
      <c r="N8" s="140">
        <f>SUM($C6:N6)</f>
        <v>2786.1899999999996</v>
      </c>
      <c r="O8" s="141">
        <f>O6</f>
        <v>2786.19</v>
      </c>
    </row>
    <row r="9" spans="1:16" s="142" customFormat="1" x14ac:dyDescent="0.3">
      <c r="A9" s="143"/>
      <c r="B9" s="144" t="s">
        <v>25</v>
      </c>
      <c r="C9" s="145">
        <f>SUM($C5:C5)-C8</f>
        <v>146.81</v>
      </c>
      <c r="D9" s="145">
        <f>SUM($C5:D5)-D8</f>
        <v>302.61</v>
      </c>
      <c r="E9" s="145">
        <f>SUM($C5:E5)-E8</f>
        <v>-68.610000000000014</v>
      </c>
      <c r="F9" s="145">
        <f>SUM($C5:F5)-F8</f>
        <v>-206.21000000000004</v>
      </c>
      <c r="G9" s="145">
        <f>SUM($C5:G5)-G8</f>
        <v>9.4700000000000273</v>
      </c>
      <c r="H9" s="145">
        <f>SUM($C5:H5)-H8</f>
        <v>-82.200000000000045</v>
      </c>
      <c r="I9" s="145">
        <f>SUM($C5:I5)-I8</f>
        <v>-70.75</v>
      </c>
      <c r="J9" s="145">
        <f>SUM($C5:J5)-J8</f>
        <v>85.3900000000001</v>
      </c>
      <c r="K9" s="145">
        <f>SUM($C5:K5)-K8</f>
        <v>-15.9699999999998</v>
      </c>
      <c r="L9" s="145">
        <f>SUM($C5:L5)-L8</f>
        <v>-63.779999999999745</v>
      </c>
      <c r="M9" s="145">
        <f>SUM($C5:M5)-M8</f>
        <v>73.8100000000004</v>
      </c>
      <c r="N9" s="145">
        <f>SUM($C5:N5)-N8</f>
        <v>333.8100000000004</v>
      </c>
      <c r="O9" s="146"/>
    </row>
    <row r="10" spans="1:16" x14ac:dyDescent="0.3"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6" s="102" customFormat="1" ht="12" x14ac:dyDescent="0.25">
      <c r="A11" s="235" t="s">
        <v>395</v>
      </c>
      <c r="B11" s="99" t="s">
        <v>16</v>
      </c>
      <c r="C11" s="100">
        <v>275.29000000000002</v>
      </c>
      <c r="D11" s="100">
        <v>189.28</v>
      </c>
      <c r="E11" s="100">
        <v>165.84</v>
      </c>
      <c r="F11" s="100">
        <v>183.73</v>
      </c>
      <c r="G11" s="100">
        <v>81.39</v>
      </c>
      <c r="H11" s="100"/>
      <c r="I11" s="100">
        <v>147.74</v>
      </c>
      <c r="J11" s="100">
        <v>168.26</v>
      </c>
      <c r="K11" s="100">
        <v>132.36000000000001</v>
      </c>
      <c r="L11" s="100">
        <v>130.24</v>
      </c>
      <c r="M11" s="100">
        <v>142.62</v>
      </c>
      <c r="N11" s="100"/>
      <c r="O11" s="103">
        <f>SUM(C11:N11)</f>
        <v>1616.75</v>
      </c>
    </row>
    <row r="12" spans="1:16" s="102" customFormat="1" ht="12" x14ac:dyDescent="0.25">
      <c r="A12" s="235"/>
      <c r="B12" s="99" t="s">
        <v>29</v>
      </c>
      <c r="C12" s="100">
        <v>130</v>
      </c>
      <c r="D12" s="100">
        <v>130</v>
      </c>
      <c r="E12" s="100">
        <v>130</v>
      </c>
      <c r="F12" s="100">
        <v>130</v>
      </c>
      <c r="G12" s="100">
        <v>130</v>
      </c>
      <c r="H12" s="100">
        <v>130</v>
      </c>
      <c r="I12" s="100">
        <v>130</v>
      </c>
      <c r="J12" s="100">
        <v>130</v>
      </c>
      <c r="K12" s="100">
        <v>130</v>
      </c>
      <c r="L12" s="100">
        <v>130</v>
      </c>
      <c r="M12" s="100">
        <v>130</v>
      </c>
      <c r="N12" s="100">
        <v>130</v>
      </c>
      <c r="O12" s="103">
        <f>SUM(C12:N12)</f>
        <v>1560</v>
      </c>
    </row>
    <row r="13" spans="1:16" s="67" customFormat="1" ht="12.6" customHeight="1" x14ac:dyDescent="0.3">
      <c r="A13" s="155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66">
        <f>SUM(C13:N13)</f>
        <v>0</v>
      </c>
    </row>
    <row r="14" spans="1:16" s="67" customFormat="1" ht="12.6" customHeight="1" x14ac:dyDescent="0.3">
      <c r="A14" s="156"/>
      <c r="B14" s="116" t="s">
        <v>32</v>
      </c>
      <c r="C14" s="117"/>
      <c r="D14" s="117">
        <v>104.2</v>
      </c>
      <c r="E14" s="117">
        <v>157.06</v>
      </c>
      <c r="F14" s="117">
        <v>87.9</v>
      </c>
      <c r="G14" s="117"/>
      <c r="H14" s="117">
        <v>135.08000000000001</v>
      </c>
      <c r="I14" s="117"/>
      <c r="J14" s="117">
        <v>103.86</v>
      </c>
      <c r="K14" s="117">
        <v>113.62</v>
      </c>
      <c r="L14" s="117"/>
      <c r="M14" s="117">
        <v>122.41</v>
      </c>
      <c r="N14" s="117"/>
      <c r="O14" s="118">
        <f>SUM(C14:N14)</f>
        <v>824.13</v>
      </c>
    </row>
    <row r="15" spans="1:16" s="102" customFormat="1" ht="12" x14ac:dyDescent="0.25">
      <c r="A15" s="236" t="s">
        <v>396</v>
      </c>
      <c r="B15" s="99" t="s">
        <v>16</v>
      </c>
      <c r="C15" s="100"/>
      <c r="D15" s="100">
        <v>75.36</v>
      </c>
      <c r="E15" s="100">
        <v>21.66</v>
      </c>
      <c r="F15" s="100"/>
      <c r="G15" s="100"/>
      <c r="H15" s="100"/>
      <c r="I15" s="100"/>
      <c r="J15" s="100">
        <v>65.959999999999994</v>
      </c>
      <c r="K15" s="100"/>
      <c r="L15" s="100"/>
      <c r="M15" s="100"/>
      <c r="N15" s="100"/>
      <c r="O15" s="103">
        <f t="shared" ref="O15:O54" si="3">SUM(C15:N15)</f>
        <v>162.97999999999999</v>
      </c>
    </row>
    <row r="16" spans="1:16" s="102" customFormat="1" ht="12" x14ac:dyDescent="0.25">
      <c r="A16" s="235"/>
      <c r="B16" s="99" t="s">
        <v>29</v>
      </c>
      <c r="C16" s="100">
        <v>20</v>
      </c>
      <c r="D16" s="100">
        <v>20</v>
      </c>
      <c r="E16" s="100">
        <v>20</v>
      </c>
      <c r="F16" s="100">
        <v>20</v>
      </c>
      <c r="G16" s="100">
        <v>20</v>
      </c>
      <c r="H16" s="100">
        <v>20</v>
      </c>
      <c r="I16" s="100">
        <v>20</v>
      </c>
      <c r="J16" s="100">
        <v>20</v>
      </c>
      <c r="K16" s="100">
        <v>20</v>
      </c>
      <c r="L16" s="100">
        <v>20</v>
      </c>
      <c r="M16" s="100">
        <v>20</v>
      </c>
      <c r="N16" s="100">
        <v>20</v>
      </c>
      <c r="O16" s="103">
        <f t="shared" si="3"/>
        <v>240</v>
      </c>
    </row>
    <row r="17" spans="1:16" s="67" customFormat="1" ht="12.6" customHeight="1" x14ac:dyDescent="0.3">
      <c r="A17" s="155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>
        <f>SUM(C17:N17)</f>
        <v>0</v>
      </c>
    </row>
    <row r="18" spans="1:16" s="67" customFormat="1" ht="12.6" customHeight="1" x14ac:dyDescent="0.3">
      <c r="A18" s="156"/>
      <c r="B18" s="116" t="s">
        <v>32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8">
        <f t="shared" si="3"/>
        <v>0</v>
      </c>
    </row>
    <row r="19" spans="1:16" s="102" customFormat="1" ht="12" x14ac:dyDescent="0.25">
      <c r="A19" s="236" t="s">
        <v>397</v>
      </c>
      <c r="B19" s="99" t="s">
        <v>16</v>
      </c>
      <c r="C19" s="100">
        <v>932.19</v>
      </c>
      <c r="D19" s="100"/>
      <c r="E19" s="100"/>
      <c r="F19" s="100">
        <v>437.86</v>
      </c>
      <c r="G19" s="100"/>
      <c r="H19" s="100">
        <v>138.1</v>
      </c>
      <c r="I19" s="100"/>
      <c r="J19" s="100"/>
      <c r="K19" s="100">
        <v>436.25</v>
      </c>
      <c r="L19" s="100">
        <v>219.98</v>
      </c>
      <c r="M19" s="100"/>
      <c r="N19" s="100"/>
      <c r="O19" s="103">
        <f t="shared" si="3"/>
        <v>2164.38</v>
      </c>
    </row>
    <row r="20" spans="1:16" s="102" customFormat="1" ht="12" x14ac:dyDescent="0.25">
      <c r="A20" s="235"/>
      <c r="B20" s="99" t="s">
        <v>29</v>
      </c>
      <c r="C20" s="100">
        <v>0</v>
      </c>
      <c r="D20" s="100">
        <v>0</v>
      </c>
      <c r="E20" s="100">
        <v>700</v>
      </c>
      <c r="F20" s="100">
        <v>0</v>
      </c>
      <c r="G20" s="100">
        <v>0</v>
      </c>
      <c r="H20" s="100">
        <v>250</v>
      </c>
      <c r="I20" s="100">
        <v>0</v>
      </c>
      <c r="J20" s="100">
        <v>400</v>
      </c>
      <c r="K20" s="100">
        <v>0</v>
      </c>
      <c r="L20" s="100">
        <v>0</v>
      </c>
      <c r="M20" s="100">
        <v>0</v>
      </c>
      <c r="N20" s="100">
        <v>0</v>
      </c>
      <c r="O20" s="103">
        <f>SUM(C20:N20)</f>
        <v>1350</v>
      </c>
    </row>
    <row r="21" spans="1:16" s="67" customFormat="1" ht="12.6" customHeight="1" x14ac:dyDescent="0.3">
      <c r="A21" s="155"/>
      <c r="B21" s="65" t="s">
        <v>31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66">
        <f t="shared" si="3"/>
        <v>0</v>
      </c>
    </row>
    <row r="22" spans="1:16" s="67" customFormat="1" ht="12.6" customHeight="1" x14ac:dyDescent="0.3">
      <c r="A22" s="156"/>
      <c r="B22" s="116" t="s">
        <v>32</v>
      </c>
      <c r="C22" s="117"/>
      <c r="D22" s="117"/>
      <c r="E22" s="117">
        <v>441.79</v>
      </c>
      <c r="F22" s="119">
        <v>130.28</v>
      </c>
      <c r="G22" s="117"/>
      <c r="H22" s="117"/>
      <c r="I22" s="197">
        <f>14.17+234.38</f>
        <v>248.54999999999998</v>
      </c>
      <c r="J22" s="117"/>
      <c r="K22" s="117">
        <f>49.07+145.7+16.75</f>
        <v>211.51999999999998</v>
      </c>
      <c r="L22" s="117">
        <f>261.76</f>
        <v>261.76</v>
      </c>
      <c r="M22" s="117"/>
      <c r="N22" s="117"/>
      <c r="O22" s="118">
        <f t="shared" si="3"/>
        <v>1293.8999999999999</v>
      </c>
    </row>
    <row r="23" spans="1:16" s="102" customFormat="1" ht="12" x14ac:dyDescent="0.25">
      <c r="A23" s="236" t="s">
        <v>398</v>
      </c>
      <c r="B23" s="99" t="s">
        <v>16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3">
        <f t="shared" ref="O23:O26" si="4">SUM(C23:N23)</f>
        <v>0</v>
      </c>
    </row>
    <row r="24" spans="1:16" s="102" customFormat="1" ht="12" x14ac:dyDescent="0.25">
      <c r="A24" s="235"/>
      <c r="B24" s="99" t="s">
        <v>29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>
        <v>0</v>
      </c>
      <c r="N24" s="100">
        <v>570</v>
      </c>
      <c r="O24" s="103">
        <f>SUM(C24:N24)</f>
        <v>570</v>
      </c>
    </row>
    <row r="25" spans="1:16" s="67" customFormat="1" ht="12.6" customHeight="1" x14ac:dyDescent="0.3">
      <c r="A25" s="154"/>
      <c r="B25" s="65" t="s">
        <v>31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66">
        <f t="shared" si="4"/>
        <v>0</v>
      </c>
    </row>
    <row r="26" spans="1:16" s="67" customFormat="1" ht="12.6" customHeight="1" x14ac:dyDescent="0.3">
      <c r="A26" s="157"/>
      <c r="B26" s="116" t="s">
        <v>32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8">
        <f t="shared" si="4"/>
        <v>0</v>
      </c>
      <c r="P26" s="120"/>
    </row>
    <row r="27" spans="1:16" s="102" customFormat="1" ht="12" x14ac:dyDescent="0.25">
      <c r="A27" s="236" t="s">
        <v>399</v>
      </c>
      <c r="B27" s="99" t="s">
        <v>16</v>
      </c>
      <c r="C27" s="100"/>
      <c r="D27" s="100"/>
      <c r="E27" s="100"/>
      <c r="F27" s="100"/>
      <c r="G27" s="100"/>
      <c r="H27" s="100"/>
      <c r="I27" s="100"/>
      <c r="J27" s="100">
        <v>42.92</v>
      </c>
      <c r="K27" s="100"/>
      <c r="L27" s="100">
        <v>87.92</v>
      </c>
      <c r="M27" s="100"/>
      <c r="N27" s="100"/>
      <c r="O27" s="103">
        <f t="shared" ref="O27:O38" si="5">SUM(C27:N27)</f>
        <v>130.84</v>
      </c>
    </row>
    <row r="28" spans="1:16" s="102" customFormat="1" ht="12" x14ac:dyDescent="0.25">
      <c r="A28" s="235"/>
      <c r="B28" s="99" t="s">
        <v>29</v>
      </c>
      <c r="C28" s="100">
        <v>20</v>
      </c>
      <c r="D28" s="100">
        <v>20</v>
      </c>
      <c r="E28" s="100">
        <v>20</v>
      </c>
      <c r="F28" s="100">
        <v>20</v>
      </c>
      <c r="G28" s="100">
        <v>20</v>
      </c>
      <c r="H28" s="100">
        <v>20</v>
      </c>
      <c r="I28" s="100">
        <v>20</v>
      </c>
      <c r="J28" s="100">
        <v>20</v>
      </c>
      <c r="K28" s="100">
        <v>20</v>
      </c>
      <c r="L28" s="100">
        <v>20</v>
      </c>
      <c r="M28" s="100">
        <v>20</v>
      </c>
      <c r="N28" s="100">
        <v>20</v>
      </c>
      <c r="O28" s="103">
        <f>SUM(C28:N28)</f>
        <v>240</v>
      </c>
    </row>
    <row r="29" spans="1:16" s="67" customFormat="1" ht="12.6" customHeight="1" x14ac:dyDescent="0.3">
      <c r="A29" s="154" t="s">
        <v>400</v>
      </c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66">
        <f t="shared" si="5"/>
        <v>0</v>
      </c>
    </row>
    <row r="30" spans="1:16" s="67" customFormat="1" ht="12.6" customHeight="1" x14ac:dyDescent="0.3">
      <c r="A30" s="157"/>
      <c r="B30" s="116" t="s">
        <v>32</v>
      </c>
      <c r="C30" s="117"/>
      <c r="D30" s="117"/>
      <c r="E30" s="117"/>
      <c r="F30" s="119">
        <f>31.19+32.47+23.67+27.24+4.42+4.58+5.64+3.75</f>
        <v>132.95999999999998</v>
      </c>
      <c r="G30" s="117"/>
      <c r="H30" s="117"/>
      <c r="I30" s="117"/>
      <c r="J30" s="117"/>
      <c r="K30" s="117">
        <v>20.48</v>
      </c>
      <c r="L30" s="117"/>
      <c r="M30" s="117"/>
      <c r="N30" s="117"/>
      <c r="O30" s="118">
        <f t="shared" si="5"/>
        <v>153.43999999999997</v>
      </c>
    </row>
    <row r="31" spans="1:16" s="102" customFormat="1" ht="12" x14ac:dyDescent="0.25">
      <c r="A31" s="236" t="s">
        <v>401</v>
      </c>
      <c r="B31" s="99" t="s">
        <v>16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3">
        <f t="shared" si="5"/>
        <v>0</v>
      </c>
    </row>
    <row r="32" spans="1:16" s="102" customFormat="1" ht="12" x14ac:dyDescent="0.25">
      <c r="A32" s="235"/>
      <c r="B32" s="99" t="s">
        <v>29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3">
        <f>SUM(C32:N32)</f>
        <v>0</v>
      </c>
    </row>
    <row r="33" spans="1:15" s="67" customFormat="1" ht="12.6" customHeight="1" x14ac:dyDescent="0.3">
      <c r="A33" s="154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 t="shared" si="5"/>
        <v>0</v>
      </c>
    </row>
    <row r="34" spans="1:15" s="67" customFormat="1" ht="12.6" customHeight="1" x14ac:dyDescent="0.3">
      <c r="A34" s="157"/>
      <c r="B34" s="116" t="s">
        <v>32</v>
      </c>
      <c r="C34" s="117">
        <v>113.19</v>
      </c>
      <c r="D34" s="117"/>
      <c r="E34" s="117"/>
      <c r="F34" s="117">
        <v>46.46</v>
      </c>
      <c r="G34" s="117">
        <v>44.32</v>
      </c>
      <c r="H34" s="67">
        <f>133.93+82.66</f>
        <v>216.59</v>
      </c>
      <c r="I34" s="117"/>
      <c r="J34" s="117"/>
      <c r="K34" s="117">
        <v>15.74</v>
      </c>
      <c r="L34" s="117"/>
      <c r="M34" s="117"/>
      <c r="N34" s="117"/>
      <c r="O34" s="118">
        <f t="shared" si="5"/>
        <v>436.3</v>
      </c>
    </row>
    <row r="35" spans="1:15" s="102" customFormat="1" ht="12" x14ac:dyDescent="0.25">
      <c r="A35" s="236" t="s">
        <v>402</v>
      </c>
      <c r="B35" s="99" t="s">
        <v>16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3">
        <f t="shared" si="5"/>
        <v>0</v>
      </c>
    </row>
    <row r="36" spans="1:15" s="102" customFormat="1" ht="12" x14ac:dyDescent="0.25">
      <c r="A36" s="235"/>
      <c r="B36" s="99" t="s">
        <v>29</v>
      </c>
      <c r="C36" s="100">
        <v>0</v>
      </c>
      <c r="D36" s="100">
        <v>0</v>
      </c>
      <c r="E36" s="100">
        <v>0</v>
      </c>
      <c r="F36" s="100">
        <v>0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100">
        <v>0</v>
      </c>
      <c r="N36" s="100">
        <v>0</v>
      </c>
      <c r="O36" s="103">
        <f>SUM(C36:N36)</f>
        <v>0</v>
      </c>
    </row>
    <row r="37" spans="1:15" s="67" customFormat="1" ht="12.6" customHeight="1" x14ac:dyDescent="0.3">
      <c r="A37" s="154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 t="shared" si="5"/>
        <v>0</v>
      </c>
    </row>
    <row r="38" spans="1:15" s="67" customFormat="1" ht="12.6" customHeight="1" x14ac:dyDescent="0.3">
      <c r="A38" s="157"/>
      <c r="B38" s="116" t="s">
        <v>32</v>
      </c>
      <c r="C38" s="117"/>
      <c r="D38" s="117"/>
      <c r="E38" s="117">
        <v>32.369999999999997</v>
      </c>
      <c r="F38" s="117"/>
      <c r="G38" s="117"/>
      <c r="H38" s="117"/>
      <c r="I38" s="117"/>
      <c r="J38" s="117"/>
      <c r="K38" s="117"/>
      <c r="L38" s="117">
        <v>46.05</v>
      </c>
      <c r="M38" s="117"/>
      <c r="N38" s="117"/>
      <c r="O38" s="118">
        <f t="shared" si="5"/>
        <v>78.419999999999987</v>
      </c>
    </row>
    <row r="39" spans="1:15" s="102" customFormat="1" ht="12" x14ac:dyDescent="0.25">
      <c r="A39" s="236"/>
      <c r="B39" s="99" t="s">
        <v>16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3">
        <f t="shared" si="3"/>
        <v>0</v>
      </c>
    </row>
    <row r="40" spans="1:15" s="102" customFormat="1" ht="12" x14ac:dyDescent="0.25">
      <c r="A40" s="235"/>
      <c r="B40" s="99" t="s">
        <v>29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100">
        <v>0</v>
      </c>
      <c r="N40" s="100">
        <v>0</v>
      </c>
      <c r="O40" s="103">
        <f>SUM(C40:N40)</f>
        <v>0</v>
      </c>
    </row>
    <row r="41" spans="1:15" s="64" customFormat="1" ht="12.6" customHeight="1" x14ac:dyDescent="0.3">
      <c r="A41" s="155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 t="shared" si="3"/>
        <v>0</v>
      </c>
    </row>
    <row r="42" spans="1:15" s="64" customFormat="1" ht="12.6" customHeight="1" x14ac:dyDescent="0.3">
      <c r="A42" s="156"/>
      <c r="B42" s="7" t="s">
        <v>32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24">
        <f t="shared" si="3"/>
        <v>0</v>
      </c>
    </row>
    <row r="43" spans="1:15" s="102" customFormat="1" ht="12" x14ac:dyDescent="0.25">
      <c r="A43" s="236"/>
      <c r="B43" s="99" t="s">
        <v>16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3">
        <f t="shared" si="3"/>
        <v>0</v>
      </c>
    </row>
    <row r="44" spans="1:15" s="102" customFormat="1" ht="12" x14ac:dyDescent="0.25">
      <c r="A44" s="235"/>
      <c r="B44" s="99" t="s">
        <v>29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100">
        <v>0</v>
      </c>
      <c r="N44" s="100">
        <v>0</v>
      </c>
      <c r="O44" s="103">
        <f>SUM(C44:N44)</f>
        <v>0</v>
      </c>
    </row>
    <row r="45" spans="1:15" s="64" customFormat="1" ht="12.6" customHeight="1" x14ac:dyDescent="0.3">
      <c r="A45" s="155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 t="shared" si="3"/>
        <v>0</v>
      </c>
    </row>
    <row r="46" spans="1:15" s="64" customFormat="1" ht="12.6" customHeight="1" x14ac:dyDescent="0.3">
      <c r="A46" s="156"/>
      <c r="B46" s="7" t="s">
        <v>32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24">
        <f t="shared" si="3"/>
        <v>0</v>
      </c>
    </row>
    <row r="47" spans="1:15" s="102" customFormat="1" ht="12" x14ac:dyDescent="0.25">
      <c r="A47" s="236"/>
      <c r="B47" s="99" t="s">
        <v>16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3">
        <f t="shared" si="3"/>
        <v>0</v>
      </c>
    </row>
    <row r="48" spans="1:15" s="102" customFormat="1" ht="12" x14ac:dyDescent="0.25">
      <c r="A48" s="235"/>
      <c r="B48" s="99" t="s">
        <v>29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3">
        <f>SUM(C48:N48)</f>
        <v>0</v>
      </c>
    </row>
    <row r="49" spans="1:15" s="64" customFormat="1" ht="12.6" customHeight="1" x14ac:dyDescent="0.3">
      <c r="A49" s="155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 t="shared" si="3"/>
        <v>0</v>
      </c>
    </row>
    <row r="50" spans="1:15" s="64" customFormat="1" ht="12.6" customHeight="1" x14ac:dyDescent="0.3">
      <c r="A50" s="156"/>
      <c r="B50" s="7" t="s">
        <v>32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24">
        <f t="shared" si="3"/>
        <v>0</v>
      </c>
    </row>
    <row r="51" spans="1:15" s="102" customFormat="1" ht="12" x14ac:dyDescent="0.25">
      <c r="A51" s="236"/>
      <c r="B51" s="99" t="s">
        <v>16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3">
        <f t="shared" si="3"/>
        <v>0</v>
      </c>
    </row>
    <row r="52" spans="1:15" s="102" customFormat="1" ht="12" x14ac:dyDescent="0.25">
      <c r="A52" s="235"/>
      <c r="B52" s="99" t="s">
        <v>29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0</v>
      </c>
      <c r="N52" s="100">
        <v>0</v>
      </c>
      <c r="O52" s="103">
        <f>SUM(C52:N52)</f>
        <v>0</v>
      </c>
    </row>
    <row r="53" spans="1:15" s="64" customFormat="1" ht="12.6" customHeight="1" x14ac:dyDescent="0.3">
      <c r="A53" s="155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 t="shared" si="3"/>
        <v>0</v>
      </c>
    </row>
    <row r="54" spans="1:15" s="64" customFormat="1" ht="12.6" customHeight="1" x14ac:dyDescent="0.3">
      <c r="A54" s="156"/>
      <c r="B54" s="7" t="s">
        <v>32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24">
        <f t="shared" si="3"/>
        <v>0</v>
      </c>
    </row>
    <row r="55" spans="1:15" s="102" customFormat="1" ht="12" x14ac:dyDescent="0.25">
      <c r="A55" s="236"/>
      <c r="B55" s="99" t="s">
        <v>16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3">
        <f t="shared" ref="O55:O98" si="6">SUM(C55:N55)</f>
        <v>0</v>
      </c>
    </row>
    <row r="56" spans="1:15" s="102" customFormat="1" ht="12" x14ac:dyDescent="0.25">
      <c r="A56" s="235"/>
      <c r="B56" s="99" t="s">
        <v>29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3">
        <f>SUM(C56:N56)</f>
        <v>0</v>
      </c>
    </row>
    <row r="57" spans="1:15" s="64" customFormat="1" ht="12.6" customHeight="1" x14ac:dyDescent="0.3">
      <c r="A57" s="154"/>
      <c r="B57" s="5" t="s">
        <v>31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7">
        <f t="shared" si="6"/>
        <v>0</v>
      </c>
    </row>
    <row r="58" spans="1:15" s="64" customFormat="1" ht="12.6" customHeight="1" x14ac:dyDescent="0.3">
      <c r="A58" s="157"/>
      <c r="B58" s="7" t="s">
        <v>32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24">
        <f t="shared" si="6"/>
        <v>0</v>
      </c>
    </row>
    <row r="59" spans="1:15" s="102" customFormat="1" ht="12" x14ac:dyDescent="0.25">
      <c r="A59" s="236"/>
      <c r="B59" s="99" t="s">
        <v>16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3">
        <f t="shared" si="6"/>
        <v>0</v>
      </c>
    </row>
    <row r="60" spans="1:15" s="102" customFormat="1" ht="12" x14ac:dyDescent="0.25">
      <c r="A60" s="235"/>
      <c r="B60" s="99" t="s">
        <v>29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3">
        <f>SUM(C60:N60)</f>
        <v>0</v>
      </c>
    </row>
    <row r="61" spans="1:15" s="64" customFormat="1" ht="12.6" customHeight="1" x14ac:dyDescent="0.3">
      <c r="A61" s="155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 t="shared" si="6"/>
        <v>0</v>
      </c>
    </row>
    <row r="62" spans="1:15" s="64" customFormat="1" ht="12.6" customHeight="1" x14ac:dyDescent="0.3">
      <c r="A62" s="156"/>
      <c r="B62" s="7" t="s">
        <v>32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24">
        <f t="shared" si="6"/>
        <v>0</v>
      </c>
    </row>
    <row r="63" spans="1:15" s="102" customFormat="1" ht="12" x14ac:dyDescent="0.25">
      <c r="A63" s="236"/>
      <c r="B63" s="99" t="s">
        <v>16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3">
        <f t="shared" si="6"/>
        <v>0</v>
      </c>
    </row>
    <row r="64" spans="1:15" s="102" customFormat="1" ht="12" x14ac:dyDescent="0.25">
      <c r="A64" s="235"/>
      <c r="B64" s="99" t="s">
        <v>29</v>
      </c>
      <c r="C64" s="100">
        <v>0</v>
      </c>
      <c r="D64" s="100">
        <v>0</v>
      </c>
      <c r="E64" s="100">
        <v>0</v>
      </c>
      <c r="F64" s="100">
        <v>0</v>
      </c>
      <c r="G64" s="100">
        <v>0</v>
      </c>
      <c r="H64" s="100">
        <v>0</v>
      </c>
      <c r="I64" s="100">
        <v>0</v>
      </c>
      <c r="J64" s="100">
        <v>0</v>
      </c>
      <c r="K64" s="100">
        <v>0</v>
      </c>
      <c r="L64" s="100">
        <v>0</v>
      </c>
      <c r="M64" s="100">
        <v>0</v>
      </c>
      <c r="N64" s="100">
        <v>0</v>
      </c>
      <c r="O64" s="103">
        <f>SUM(C64:N64)</f>
        <v>0</v>
      </c>
    </row>
    <row r="65" spans="1:15" s="64" customFormat="1" ht="12.6" customHeight="1" x14ac:dyDescent="0.3">
      <c r="A65" s="155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 t="shared" si="6"/>
        <v>0</v>
      </c>
    </row>
    <row r="66" spans="1:15" s="64" customFormat="1" ht="12.6" customHeight="1" x14ac:dyDescent="0.3">
      <c r="A66" s="156"/>
      <c r="B66" s="7" t="s">
        <v>32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24">
        <f t="shared" si="6"/>
        <v>0</v>
      </c>
    </row>
    <row r="67" spans="1:15" s="102" customFormat="1" ht="12.6" customHeight="1" x14ac:dyDescent="0.25">
      <c r="A67" s="236"/>
      <c r="B67" s="99" t="s">
        <v>16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3">
        <f t="shared" si="6"/>
        <v>0</v>
      </c>
    </row>
    <row r="68" spans="1:15" s="102" customFormat="1" ht="12" x14ac:dyDescent="0.25">
      <c r="A68" s="235"/>
      <c r="B68" s="99" t="s">
        <v>29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3">
        <f>SUM(C68:N68)</f>
        <v>0</v>
      </c>
    </row>
    <row r="69" spans="1:15" s="64" customFormat="1" x14ac:dyDescent="0.3">
      <c r="A69" s="155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 t="shared" si="6"/>
        <v>0</v>
      </c>
    </row>
    <row r="70" spans="1:15" s="64" customFormat="1" x14ac:dyDescent="0.3">
      <c r="A70" s="156"/>
      <c r="B70" s="7" t="s">
        <v>32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24">
        <f t="shared" si="6"/>
        <v>0</v>
      </c>
    </row>
    <row r="71" spans="1:15" s="102" customFormat="1" ht="12" x14ac:dyDescent="0.25">
      <c r="A71" s="236"/>
      <c r="B71" s="99" t="s">
        <v>16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3">
        <f t="shared" si="6"/>
        <v>0</v>
      </c>
    </row>
    <row r="72" spans="1:15" s="102" customFormat="1" ht="12" x14ac:dyDescent="0.25">
      <c r="A72" s="235"/>
      <c r="B72" s="99" t="s">
        <v>29</v>
      </c>
      <c r="C72" s="100">
        <v>0</v>
      </c>
      <c r="D72" s="100">
        <v>0</v>
      </c>
      <c r="E72" s="100">
        <v>0</v>
      </c>
      <c r="F72" s="100">
        <v>0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3">
        <f>SUM(C72:N72)</f>
        <v>0</v>
      </c>
    </row>
    <row r="73" spans="1:15" s="64" customFormat="1" x14ac:dyDescent="0.3">
      <c r="A73" s="155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 t="shared" si="6"/>
        <v>0</v>
      </c>
    </row>
    <row r="74" spans="1:15" s="64" customFormat="1" x14ac:dyDescent="0.3">
      <c r="A74" s="156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24">
        <f t="shared" si="6"/>
        <v>0</v>
      </c>
    </row>
    <row r="75" spans="1:15" s="102" customFormat="1" ht="12" x14ac:dyDescent="0.25">
      <c r="A75" s="236"/>
      <c r="B75" s="99" t="s">
        <v>16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3">
        <f t="shared" si="6"/>
        <v>0</v>
      </c>
    </row>
    <row r="76" spans="1:15" s="102" customFormat="1" ht="12" x14ac:dyDescent="0.25">
      <c r="A76" s="235"/>
      <c r="B76" s="99" t="s">
        <v>29</v>
      </c>
      <c r="C76" s="100">
        <v>0</v>
      </c>
      <c r="D76" s="100">
        <v>0</v>
      </c>
      <c r="E76" s="100">
        <v>0</v>
      </c>
      <c r="F76" s="100">
        <v>0</v>
      </c>
      <c r="G76" s="100">
        <v>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3">
        <f>SUM(C76:N76)</f>
        <v>0</v>
      </c>
    </row>
    <row r="77" spans="1:15" s="64" customFormat="1" x14ac:dyDescent="0.3">
      <c r="A77" s="155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7">
        <f t="shared" si="6"/>
        <v>0</v>
      </c>
    </row>
    <row r="78" spans="1:15" s="64" customFormat="1" x14ac:dyDescent="0.3">
      <c r="A78" s="156"/>
      <c r="B78" s="7" t="s">
        <v>32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24">
        <f t="shared" si="6"/>
        <v>0</v>
      </c>
    </row>
    <row r="79" spans="1:15" s="102" customFormat="1" ht="12" x14ac:dyDescent="0.25">
      <c r="A79" s="236"/>
      <c r="B79" s="99" t="s">
        <v>16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3">
        <f t="shared" si="6"/>
        <v>0</v>
      </c>
    </row>
    <row r="80" spans="1:15" s="102" customFormat="1" ht="12" x14ac:dyDescent="0.25">
      <c r="A80" s="235"/>
      <c r="B80" s="99" t="s">
        <v>29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3">
        <f>SUM(C80:N80)</f>
        <v>0</v>
      </c>
    </row>
    <row r="81" spans="1:15" s="64" customFormat="1" x14ac:dyDescent="0.3">
      <c r="A81" s="155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7">
        <f t="shared" si="6"/>
        <v>0</v>
      </c>
    </row>
    <row r="82" spans="1:15" s="64" customFormat="1" x14ac:dyDescent="0.3">
      <c r="A82" s="156"/>
      <c r="B82" s="7" t="s">
        <v>32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24">
        <f t="shared" si="6"/>
        <v>0</v>
      </c>
    </row>
    <row r="83" spans="1:15" s="102" customFormat="1" ht="12" x14ac:dyDescent="0.25">
      <c r="A83" s="236"/>
      <c r="B83" s="99" t="s">
        <v>16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3">
        <f t="shared" si="6"/>
        <v>0</v>
      </c>
    </row>
    <row r="84" spans="1:15" s="102" customFormat="1" ht="12" x14ac:dyDescent="0.25">
      <c r="A84" s="235"/>
      <c r="B84" s="99" t="s">
        <v>29</v>
      </c>
      <c r="C84" s="100">
        <v>0</v>
      </c>
      <c r="D84" s="100">
        <v>0</v>
      </c>
      <c r="E84" s="100">
        <v>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3">
        <f>SUM(C84:N84)</f>
        <v>0</v>
      </c>
    </row>
    <row r="85" spans="1:15" s="64" customFormat="1" x14ac:dyDescent="0.3">
      <c r="A85" s="155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7">
        <f t="shared" si="6"/>
        <v>0</v>
      </c>
    </row>
    <row r="86" spans="1:15" s="64" customFormat="1" x14ac:dyDescent="0.3">
      <c r="A86" s="156"/>
      <c r="B86" s="7" t="s">
        <v>32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24">
        <f t="shared" si="6"/>
        <v>0</v>
      </c>
    </row>
    <row r="87" spans="1:15" s="102" customFormat="1" ht="12" x14ac:dyDescent="0.25">
      <c r="A87" s="236"/>
      <c r="B87" s="99" t="s">
        <v>16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3">
        <f t="shared" si="6"/>
        <v>0</v>
      </c>
    </row>
    <row r="88" spans="1:15" s="102" customFormat="1" ht="12" x14ac:dyDescent="0.25">
      <c r="A88" s="235"/>
      <c r="B88" s="99" t="s">
        <v>29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3">
        <f>SUM(C88:N88)</f>
        <v>0</v>
      </c>
    </row>
    <row r="89" spans="1:15" s="64" customFormat="1" x14ac:dyDescent="0.3">
      <c r="A89" s="155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7">
        <f t="shared" si="6"/>
        <v>0</v>
      </c>
    </row>
    <row r="90" spans="1:15" s="64" customFormat="1" x14ac:dyDescent="0.3">
      <c r="A90" s="156"/>
      <c r="B90" s="7" t="s">
        <v>32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24">
        <f t="shared" si="6"/>
        <v>0</v>
      </c>
    </row>
    <row r="91" spans="1:15" s="102" customFormat="1" ht="12" x14ac:dyDescent="0.25">
      <c r="A91" s="236"/>
      <c r="B91" s="99" t="s">
        <v>16</v>
      </c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3">
        <f t="shared" si="6"/>
        <v>0</v>
      </c>
    </row>
    <row r="92" spans="1:15" s="102" customFormat="1" ht="12" x14ac:dyDescent="0.25">
      <c r="A92" s="235"/>
      <c r="B92" s="99" t="s">
        <v>29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100">
        <v>0</v>
      </c>
      <c r="N92" s="100">
        <v>0</v>
      </c>
      <c r="O92" s="103">
        <f>SUM(C92:N92)</f>
        <v>0</v>
      </c>
    </row>
    <row r="93" spans="1:15" s="64" customFormat="1" x14ac:dyDescent="0.3">
      <c r="A93" s="155"/>
      <c r="B93" s="5" t="s">
        <v>31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7">
        <f t="shared" si="6"/>
        <v>0</v>
      </c>
    </row>
    <row r="94" spans="1:15" s="64" customFormat="1" x14ac:dyDescent="0.3">
      <c r="A94" s="156"/>
      <c r="B94" s="7" t="s">
        <v>32</v>
      </c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24">
        <f t="shared" si="6"/>
        <v>0</v>
      </c>
    </row>
    <row r="95" spans="1:15" s="102" customFormat="1" ht="12" x14ac:dyDescent="0.25">
      <c r="A95" s="236"/>
      <c r="B95" s="99" t="s">
        <v>16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3">
        <f t="shared" si="6"/>
        <v>0</v>
      </c>
    </row>
    <row r="96" spans="1:15" s="102" customFormat="1" ht="12" x14ac:dyDescent="0.25">
      <c r="A96" s="235"/>
      <c r="B96" s="99" t="s">
        <v>29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100">
        <v>0</v>
      </c>
      <c r="N96" s="100">
        <v>0</v>
      </c>
      <c r="O96" s="103">
        <f>SUM(C96:N96)</f>
        <v>0</v>
      </c>
    </row>
    <row r="97" spans="1:15" s="64" customFormat="1" x14ac:dyDescent="0.3">
      <c r="A97" s="155"/>
      <c r="B97" s="5" t="s">
        <v>31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7">
        <f t="shared" si="6"/>
        <v>0</v>
      </c>
    </row>
    <row r="98" spans="1:15" s="64" customFormat="1" x14ac:dyDescent="0.3">
      <c r="A98" s="156"/>
      <c r="B98" s="7" t="s">
        <v>32</v>
      </c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24">
        <f t="shared" si="6"/>
        <v>0</v>
      </c>
    </row>
    <row r="99" spans="1:15" s="102" customFormat="1" ht="12" x14ac:dyDescent="0.25">
      <c r="A99" s="243"/>
    </row>
    <row r="100" spans="1:15" s="102" customFormat="1" ht="12" x14ac:dyDescent="0.25">
      <c r="A100" s="237"/>
    </row>
    <row r="101" spans="1:15" s="64" customFormat="1" x14ac:dyDescent="0.3">
      <c r="A101" s="158"/>
    </row>
    <row r="102" spans="1:15" s="64" customFormat="1" x14ac:dyDescent="0.3">
      <c r="A102" s="158"/>
    </row>
    <row r="103" spans="1:15" s="102" customFormat="1" ht="12" x14ac:dyDescent="0.25">
      <c r="A103" s="237"/>
    </row>
    <row r="104" spans="1:15" s="102" customFormat="1" ht="12" x14ac:dyDescent="0.25">
      <c r="A104" s="237"/>
    </row>
    <row r="105" spans="1:15" s="64" customFormat="1" x14ac:dyDescent="0.3">
      <c r="A105" s="158"/>
    </row>
    <row r="106" spans="1:15" s="64" customFormat="1" x14ac:dyDescent="0.3">
      <c r="A106" s="158"/>
    </row>
    <row r="107" spans="1:15" s="102" customFormat="1" ht="12" x14ac:dyDescent="0.25">
      <c r="A107" s="237"/>
    </row>
    <row r="108" spans="1:15" s="102" customFormat="1" ht="12" x14ac:dyDescent="0.25">
      <c r="A108" s="237"/>
    </row>
    <row r="109" spans="1:15" s="64" customFormat="1" x14ac:dyDescent="0.3">
      <c r="A109" s="158"/>
    </row>
    <row r="110" spans="1:15" s="64" customFormat="1" x14ac:dyDescent="0.3">
      <c r="A110" s="158"/>
    </row>
    <row r="111" spans="1:15" s="102" customFormat="1" ht="12" x14ac:dyDescent="0.25">
      <c r="A111" s="237"/>
    </row>
    <row r="112" spans="1:15" s="102" customFormat="1" ht="12" x14ac:dyDescent="0.25">
      <c r="A112" s="237"/>
    </row>
    <row r="113" spans="1:1" s="64" customFormat="1" x14ac:dyDescent="0.3">
      <c r="A113" s="158"/>
    </row>
    <row r="114" spans="1:1" s="64" customFormat="1" x14ac:dyDescent="0.3">
      <c r="A114" s="158"/>
    </row>
    <row r="115" spans="1:1" s="102" customFormat="1" ht="12" x14ac:dyDescent="0.25">
      <c r="A115" s="237"/>
    </row>
    <row r="116" spans="1:1" s="102" customFormat="1" ht="12" x14ac:dyDescent="0.25">
      <c r="A116" s="237"/>
    </row>
    <row r="117" spans="1:1" s="64" customFormat="1" x14ac:dyDescent="0.3">
      <c r="A117" s="158"/>
    </row>
    <row r="118" spans="1:1" s="64" customFormat="1" x14ac:dyDescent="0.3">
      <c r="A118" s="158"/>
    </row>
    <row r="119" spans="1:1" s="102" customFormat="1" ht="12" x14ac:dyDescent="0.25">
      <c r="A119" s="237"/>
    </row>
    <row r="120" spans="1:1" s="102" customFormat="1" ht="12" x14ac:dyDescent="0.25">
      <c r="A120" s="237"/>
    </row>
    <row r="121" spans="1:1" s="64" customFormat="1" x14ac:dyDescent="0.3">
      <c r="A121" s="158"/>
    </row>
    <row r="122" spans="1:1" s="64" customFormat="1" x14ac:dyDescent="0.3">
      <c r="A122" s="158"/>
    </row>
    <row r="123" spans="1:1" s="102" customFormat="1" ht="12" x14ac:dyDescent="0.25">
      <c r="A123" s="237"/>
    </row>
    <row r="124" spans="1:1" s="102" customFormat="1" ht="12" x14ac:dyDescent="0.25">
      <c r="A124" s="237"/>
    </row>
    <row r="125" spans="1:1" s="64" customFormat="1" ht="11.4" customHeight="1" x14ac:dyDescent="0.3">
      <c r="A125" s="158"/>
    </row>
    <row r="126" spans="1:1" s="64" customFormat="1" x14ac:dyDescent="0.3">
      <c r="A126" s="158"/>
    </row>
    <row r="127" spans="1:1" s="102" customFormat="1" ht="12" x14ac:dyDescent="0.25">
      <c r="A127" s="237"/>
    </row>
    <row r="128" spans="1:1" s="102" customFormat="1" ht="12" x14ac:dyDescent="0.25">
      <c r="A128" s="237"/>
    </row>
    <row r="129" spans="1:1" s="64" customFormat="1" x14ac:dyDescent="0.3">
      <c r="A129" s="158"/>
    </row>
    <row r="130" spans="1:1" s="64" customFormat="1" x14ac:dyDescent="0.3">
      <c r="A130" s="158"/>
    </row>
    <row r="131" spans="1:1" s="102" customFormat="1" ht="12" x14ac:dyDescent="0.25">
      <c r="A131" s="237"/>
    </row>
    <row r="132" spans="1:1" s="102" customFormat="1" ht="12" x14ac:dyDescent="0.25">
      <c r="A132" s="237"/>
    </row>
    <row r="133" spans="1:1" s="64" customFormat="1" x14ac:dyDescent="0.3">
      <c r="A133" s="158"/>
    </row>
    <row r="134" spans="1:1" s="64" customFormat="1" x14ac:dyDescent="0.3">
      <c r="A134" s="158"/>
    </row>
    <row r="135" spans="1:1" s="102" customFormat="1" ht="12" x14ac:dyDescent="0.25">
      <c r="A135" s="237"/>
    </row>
    <row r="136" spans="1:1" s="102" customFormat="1" ht="12" x14ac:dyDescent="0.25">
      <c r="A136" s="237"/>
    </row>
    <row r="137" spans="1:1" s="64" customFormat="1" x14ac:dyDescent="0.3">
      <c r="A137" s="158"/>
    </row>
    <row r="138" spans="1:1" s="64" customFormat="1" x14ac:dyDescent="0.3">
      <c r="A138" s="158"/>
    </row>
    <row r="139" spans="1:1" s="102" customFormat="1" ht="12" x14ac:dyDescent="0.25">
      <c r="A139" s="237"/>
    </row>
    <row r="140" spans="1:1" s="102" customFormat="1" ht="12" x14ac:dyDescent="0.25">
      <c r="A140" s="237"/>
    </row>
    <row r="141" spans="1:1" s="64" customFormat="1" x14ac:dyDescent="0.3">
      <c r="A141" s="158"/>
    </row>
    <row r="142" spans="1:1" s="64" customFormat="1" x14ac:dyDescent="0.3">
      <c r="A142" s="158"/>
    </row>
    <row r="143" spans="1:1" s="102" customFormat="1" ht="12" x14ac:dyDescent="0.25">
      <c r="A143" s="237"/>
    </row>
    <row r="144" spans="1:1" s="102" customFormat="1" ht="12" x14ac:dyDescent="0.25">
      <c r="A144" s="237"/>
    </row>
    <row r="145" spans="1:1" s="64" customFormat="1" x14ac:dyDescent="0.3">
      <c r="A145" s="158"/>
    </row>
    <row r="146" spans="1:1" s="64" customFormat="1" x14ac:dyDescent="0.3">
      <c r="A146" s="158"/>
    </row>
    <row r="147" spans="1:1" s="102" customFormat="1" ht="12" x14ac:dyDescent="0.25">
      <c r="A147" s="237"/>
    </row>
    <row r="148" spans="1:1" s="102" customFormat="1" ht="12" x14ac:dyDescent="0.25">
      <c r="A148" s="237"/>
    </row>
    <row r="149" spans="1:1" s="64" customFormat="1" x14ac:dyDescent="0.3">
      <c r="A149" s="158"/>
    </row>
    <row r="150" spans="1:1" s="64" customFormat="1" x14ac:dyDescent="0.3">
      <c r="A150" s="158"/>
    </row>
    <row r="151" spans="1:1" s="102" customFormat="1" ht="12" x14ac:dyDescent="0.25">
      <c r="A151" s="237"/>
    </row>
    <row r="152" spans="1:1" s="102" customFormat="1" ht="12" x14ac:dyDescent="0.25">
      <c r="A152" s="237"/>
    </row>
    <row r="153" spans="1:1" s="64" customFormat="1" x14ac:dyDescent="0.3">
      <c r="A153" s="158"/>
    </row>
    <row r="154" spans="1:1" s="64" customFormat="1" x14ac:dyDescent="0.3">
      <c r="A154" s="158"/>
    </row>
    <row r="155" spans="1:1" s="102" customFormat="1" ht="12" x14ac:dyDescent="0.25">
      <c r="A155" s="237"/>
    </row>
    <row r="156" spans="1:1" s="102" customFormat="1" ht="12" x14ac:dyDescent="0.25">
      <c r="A156" s="237"/>
    </row>
    <row r="157" spans="1:1" s="64" customFormat="1" x14ac:dyDescent="0.3">
      <c r="A157" s="158"/>
    </row>
    <row r="158" spans="1:1" s="64" customFormat="1" x14ac:dyDescent="0.3">
      <c r="A158" s="158"/>
    </row>
    <row r="159" spans="1:1" s="102" customFormat="1" ht="12" x14ac:dyDescent="0.25">
      <c r="A159" s="237"/>
    </row>
    <row r="160" spans="1:1" s="102" customFormat="1" ht="12" x14ac:dyDescent="0.25">
      <c r="A160" s="237"/>
    </row>
    <row r="161" spans="1:1" s="64" customFormat="1" x14ac:dyDescent="0.3">
      <c r="A161" s="158"/>
    </row>
    <row r="162" spans="1:1" s="64" customFormat="1" x14ac:dyDescent="0.3">
      <c r="A162" s="158"/>
    </row>
    <row r="163" spans="1:1" s="102" customFormat="1" ht="12" x14ac:dyDescent="0.25">
      <c r="A163" s="237"/>
    </row>
    <row r="164" spans="1:1" s="102" customFormat="1" ht="12" x14ac:dyDescent="0.25">
      <c r="A164" s="237"/>
    </row>
    <row r="165" spans="1:1" s="64" customFormat="1" x14ac:dyDescent="0.3">
      <c r="A165" s="158"/>
    </row>
    <row r="166" spans="1:1" s="64" customFormat="1" x14ac:dyDescent="0.3">
      <c r="A166" s="158"/>
    </row>
    <row r="167" spans="1:1" s="102" customFormat="1" ht="12" x14ac:dyDescent="0.25">
      <c r="A167" s="237"/>
    </row>
    <row r="168" spans="1:1" s="102" customFormat="1" ht="12" x14ac:dyDescent="0.25">
      <c r="A168" s="237"/>
    </row>
    <row r="169" spans="1:1" s="64" customFormat="1" x14ac:dyDescent="0.3">
      <c r="A169" s="158"/>
    </row>
    <row r="170" spans="1:1" s="64" customFormat="1" x14ac:dyDescent="0.3">
      <c r="A170" s="158"/>
    </row>
    <row r="171" spans="1:1" s="102" customFormat="1" ht="12" x14ac:dyDescent="0.25">
      <c r="A171" s="237"/>
    </row>
    <row r="172" spans="1:1" s="102" customFormat="1" ht="12" x14ac:dyDescent="0.25">
      <c r="A172" s="237"/>
    </row>
    <row r="173" spans="1:1" s="64" customFormat="1" x14ac:dyDescent="0.3">
      <c r="A173" s="158"/>
    </row>
    <row r="174" spans="1:1" s="64" customFormat="1" x14ac:dyDescent="0.3">
      <c r="A174" s="158"/>
    </row>
    <row r="175" spans="1:1" s="102" customFormat="1" ht="12" x14ac:dyDescent="0.25">
      <c r="A175" s="237"/>
    </row>
    <row r="176" spans="1:1" s="102" customFormat="1" ht="12" x14ac:dyDescent="0.25">
      <c r="A176" s="237"/>
    </row>
    <row r="177" spans="1:1" s="64" customFormat="1" x14ac:dyDescent="0.3">
      <c r="A177" s="158"/>
    </row>
    <row r="178" spans="1:1" s="64" customFormat="1" x14ac:dyDescent="0.3">
      <c r="A178" s="158"/>
    </row>
    <row r="179" spans="1:1" s="102" customFormat="1" ht="12" x14ac:dyDescent="0.25">
      <c r="A179" s="237"/>
    </row>
    <row r="180" spans="1:1" s="102" customFormat="1" ht="12" x14ac:dyDescent="0.25">
      <c r="A180" s="237"/>
    </row>
    <row r="181" spans="1:1" s="64" customFormat="1" x14ac:dyDescent="0.3">
      <c r="A181" s="158"/>
    </row>
    <row r="182" spans="1:1" s="64" customFormat="1" x14ac:dyDescent="0.3">
      <c r="A182" s="158"/>
    </row>
    <row r="183" spans="1:1" s="102" customFormat="1" ht="12" x14ac:dyDescent="0.25">
      <c r="A183" s="237"/>
    </row>
    <row r="184" spans="1:1" s="102" customFormat="1" ht="12" x14ac:dyDescent="0.25">
      <c r="A184" s="237"/>
    </row>
    <row r="185" spans="1:1" s="64" customFormat="1" x14ac:dyDescent="0.3">
      <c r="A185" s="158"/>
    </row>
    <row r="186" spans="1:1" s="64" customFormat="1" x14ac:dyDescent="0.3">
      <c r="A186" s="158"/>
    </row>
    <row r="187" spans="1:1" s="102" customFormat="1" ht="12" x14ac:dyDescent="0.25">
      <c r="A187" s="237"/>
    </row>
    <row r="188" spans="1:1" s="102" customFormat="1" ht="12" x14ac:dyDescent="0.25">
      <c r="A188" s="237"/>
    </row>
    <row r="189" spans="1:1" s="64" customFormat="1" x14ac:dyDescent="0.3">
      <c r="A189" s="158"/>
    </row>
    <row r="190" spans="1:1" s="64" customFormat="1" x14ac:dyDescent="0.3">
      <c r="A190" s="158"/>
    </row>
    <row r="191" spans="1:1" s="102" customFormat="1" ht="12" x14ac:dyDescent="0.25">
      <c r="A191" s="237"/>
    </row>
    <row r="192" spans="1:1" s="102" customFormat="1" ht="12" x14ac:dyDescent="0.25">
      <c r="A192" s="237"/>
    </row>
    <row r="193" spans="1:1" s="64" customFormat="1" x14ac:dyDescent="0.3">
      <c r="A193" s="158"/>
    </row>
    <row r="194" spans="1:1" s="64" customFormat="1" x14ac:dyDescent="0.3">
      <c r="A194" s="158"/>
    </row>
    <row r="195" spans="1:1" s="102" customFormat="1" ht="12" x14ac:dyDescent="0.25">
      <c r="A195" s="237"/>
    </row>
    <row r="196" spans="1:1" s="102" customFormat="1" ht="12" x14ac:dyDescent="0.25">
      <c r="A196" s="237"/>
    </row>
    <row r="197" spans="1:1" s="64" customFormat="1" x14ac:dyDescent="0.3">
      <c r="A197" s="158"/>
    </row>
    <row r="198" spans="1:1" s="64" customFormat="1" x14ac:dyDescent="0.3">
      <c r="A198" s="158"/>
    </row>
    <row r="199" spans="1:1" s="102" customFormat="1" ht="12" x14ac:dyDescent="0.25">
      <c r="A199" s="237"/>
    </row>
    <row r="200" spans="1:1" s="102" customFormat="1" ht="12" x14ac:dyDescent="0.25">
      <c r="A200" s="237"/>
    </row>
    <row r="201" spans="1:1" s="64" customFormat="1" x14ac:dyDescent="0.3">
      <c r="A201" s="158"/>
    </row>
    <row r="202" spans="1:1" s="64" customFormat="1" x14ac:dyDescent="0.3">
      <c r="A202" s="158"/>
    </row>
    <row r="203" spans="1:1" s="102" customFormat="1" ht="12" x14ac:dyDescent="0.25">
      <c r="A203" s="237"/>
    </row>
    <row r="204" spans="1:1" s="102" customFormat="1" ht="12" x14ac:dyDescent="0.25">
      <c r="A204" s="237"/>
    </row>
    <row r="205" spans="1:1" s="64" customFormat="1" x14ac:dyDescent="0.3">
      <c r="A205" s="158"/>
    </row>
    <row r="206" spans="1:1" s="64" customFormat="1" x14ac:dyDescent="0.3">
      <c r="A206" s="158"/>
    </row>
    <row r="207" spans="1:1" s="102" customFormat="1" ht="12" x14ac:dyDescent="0.25">
      <c r="A207" s="237"/>
    </row>
    <row r="208" spans="1:1" s="102" customFormat="1" ht="12" x14ac:dyDescent="0.25">
      <c r="A208" s="237"/>
    </row>
    <row r="209" spans="1:1" s="64" customFormat="1" x14ac:dyDescent="0.3">
      <c r="A209" s="158"/>
    </row>
    <row r="210" spans="1:1" s="64" customFormat="1" x14ac:dyDescent="0.3">
      <c r="A210" s="158"/>
    </row>
    <row r="211" spans="1:1" s="102" customFormat="1" ht="12" x14ac:dyDescent="0.25">
      <c r="A211" s="237"/>
    </row>
    <row r="212" spans="1:1" s="102" customFormat="1" ht="12" x14ac:dyDescent="0.25">
      <c r="A212" s="237"/>
    </row>
    <row r="213" spans="1:1" s="64" customFormat="1" x14ac:dyDescent="0.3">
      <c r="A213" s="158"/>
    </row>
    <row r="214" spans="1:1" s="64" customFormat="1" x14ac:dyDescent="0.3">
      <c r="A214" s="158"/>
    </row>
    <row r="215" spans="1:1" s="102" customFormat="1" ht="12" x14ac:dyDescent="0.25">
      <c r="A215" s="237"/>
    </row>
    <row r="216" spans="1:1" s="102" customFormat="1" ht="12" x14ac:dyDescent="0.25">
      <c r="A216" s="237"/>
    </row>
    <row r="217" spans="1:1" s="64" customFormat="1" x14ac:dyDescent="0.3">
      <c r="A217" s="108"/>
    </row>
    <row r="218" spans="1:1" s="64" customFormat="1" x14ac:dyDescent="0.3">
      <c r="A218" s="108"/>
    </row>
  </sheetData>
  <mergeCells count="54">
    <mergeCell ref="A3:A6"/>
    <mergeCell ref="A199:A200"/>
    <mergeCell ref="A203:A204"/>
    <mergeCell ref="A207:A208"/>
    <mergeCell ref="A211:A212"/>
    <mergeCell ref="A159:A160"/>
    <mergeCell ref="A163:A164"/>
    <mergeCell ref="A167:A168"/>
    <mergeCell ref="A171:A172"/>
    <mergeCell ref="A175:A176"/>
    <mergeCell ref="A139:A140"/>
    <mergeCell ref="A143:A144"/>
    <mergeCell ref="A147:A148"/>
    <mergeCell ref="A151:A152"/>
    <mergeCell ref="A155:A156"/>
    <mergeCell ref="A119:A120"/>
    <mergeCell ref="A215:A216"/>
    <mergeCell ref="A179:A180"/>
    <mergeCell ref="A183:A184"/>
    <mergeCell ref="A187:A188"/>
    <mergeCell ref="A191:A192"/>
    <mergeCell ref="A195:A196"/>
    <mergeCell ref="A135:A136"/>
    <mergeCell ref="A99:A100"/>
    <mergeCell ref="A103:A104"/>
    <mergeCell ref="A107:A108"/>
    <mergeCell ref="A111:A112"/>
    <mergeCell ref="A115:A116"/>
    <mergeCell ref="A127:A128"/>
    <mergeCell ref="A131:A132"/>
    <mergeCell ref="A123:A124"/>
    <mergeCell ref="A91:A92"/>
    <mergeCell ref="A95:A96"/>
    <mergeCell ref="A87:A88"/>
    <mergeCell ref="A55:A56"/>
    <mergeCell ref="A59:A60"/>
    <mergeCell ref="A63:A64"/>
    <mergeCell ref="A67:A68"/>
    <mergeCell ref="A1:O1"/>
    <mergeCell ref="A71:A72"/>
    <mergeCell ref="A75:A76"/>
    <mergeCell ref="A79:A80"/>
    <mergeCell ref="A83:A84"/>
    <mergeCell ref="A11:A12"/>
    <mergeCell ref="A15:A16"/>
    <mergeCell ref="A19:A20"/>
    <mergeCell ref="A23:A24"/>
    <mergeCell ref="A27:A28"/>
    <mergeCell ref="A31:A32"/>
    <mergeCell ref="A35:A36"/>
    <mergeCell ref="A39:A40"/>
    <mergeCell ref="A43:A44"/>
    <mergeCell ref="A47:A48"/>
    <mergeCell ref="A51:A52"/>
  </mergeCells>
  <conditionalFormatting sqref="C6:N6">
    <cfRule type="cellIs" dxfId="9" priority="1" operator="greaterThan">
      <formula>C5*1.15</formula>
    </cfRule>
    <cfRule type="cellIs" dxfId="8" priority="2" operator="lessThan">
      <formula>C5*0.85</formula>
    </cfRule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243C-BA02-465D-A694-AB432E60644A}">
  <sheetPr codeName="Sheet19"/>
  <dimension ref="A1:P218"/>
  <sheetViews>
    <sheetView zoomScale="47" zoomScaleNormal="55" workbookViewId="0">
      <pane xSplit="1" ySplit="2" topLeftCell="B29" activePane="bottomRight" state="frozen"/>
      <selection pane="topRight" activeCell="M13" sqref="M13"/>
      <selection pane="bottomLeft" activeCell="M13" sqref="M13"/>
      <selection pane="bottomRight" activeCell="M13" sqref="M13"/>
    </sheetView>
  </sheetViews>
  <sheetFormatPr defaultColWidth="9.109375" defaultRowHeight="14.4" x14ac:dyDescent="0.3"/>
  <cols>
    <col min="1" max="1" width="26.5546875" style="52" customWidth="1"/>
    <col min="2" max="2" width="22.88671875" style="52" bestFit="1" customWidth="1"/>
    <col min="3" max="15" width="14.44140625" style="52" customWidth="1"/>
    <col min="16" max="16384" width="9.109375" style="52"/>
  </cols>
  <sheetData>
    <row r="1" spans="1:16" ht="39" customHeight="1" x14ac:dyDescent="0.6">
      <c r="A1" s="232" t="s">
        <v>403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16" x14ac:dyDescent="0.3">
      <c r="A2" s="76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69" t="s">
        <v>7</v>
      </c>
      <c r="J2" s="69" t="s">
        <v>8</v>
      </c>
      <c r="K2" s="69" t="s">
        <v>9</v>
      </c>
      <c r="L2" s="69" t="s">
        <v>10</v>
      </c>
      <c r="M2" s="69" t="s">
        <v>11</v>
      </c>
      <c r="N2" s="69" t="s">
        <v>12</v>
      </c>
      <c r="O2" s="69" t="s">
        <v>13</v>
      </c>
    </row>
    <row r="3" spans="1:16" s="102" customFormat="1" ht="14.4" customHeight="1" x14ac:dyDescent="0.25">
      <c r="A3" s="239" t="s">
        <v>15</v>
      </c>
      <c r="B3" s="181" t="s">
        <v>16</v>
      </c>
      <c r="C3" s="182">
        <f>SUMIFS(C$11:C1000,$B$11:$B1000,"Actual 2024")</f>
        <v>442</v>
      </c>
      <c r="D3" s="182">
        <f>SUMIFS(D$11:D1000,$B$11:$B1000,"Actual 2024")</f>
        <v>539.83000000000004</v>
      </c>
      <c r="E3" s="182">
        <f>SUMIFS(E$11:E1000,$B$11:$B1000,"Actual 2024")</f>
        <v>77.430000000000007</v>
      </c>
      <c r="F3" s="182">
        <f>SUMIFS(F$11:F1000,$B$11:$B1000,"Actual 2024")</f>
        <v>853.32999999999993</v>
      </c>
      <c r="G3" s="182">
        <f>SUMIFS(G$11:G1000,$B$11:$B1000,"Actual 2024")</f>
        <v>0</v>
      </c>
      <c r="H3" s="182">
        <f>SUMIFS(H$11:H1000,$B$11:$B1000,"Actual 2024")</f>
        <v>0</v>
      </c>
      <c r="I3" s="185">
        <f>SUMIFS(I$11:I1000,$B$11:$B1000,"Actual 2024")</f>
        <v>0</v>
      </c>
      <c r="J3" s="185">
        <f>SUMIFS(J$11:J1000,$B$11:$B1000,"Actual 2024")</f>
        <v>0</v>
      </c>
      <c r="K3" s="185">
        <f>SUMIFS(K$11:K1000,$B$11:$B1000,"Actual 2024")</f>
        <v>110.77</v>
      </c>
      <c r="L3" s="185">
        <f>SUMIFS(L$11:L1000,$B$11:$B1000,"Actual 2024")</f>
        <v>0</v>
      </c>
      <c r="M3" s="185">
        <f>SUMIFS(M$11:M1000,$B$11:$B1000,"Actual 2024")</f>
        <v>0</v>
      </c>
      <c r="N3" s="185">
        <f>SUMIFS(N$11:N1000,$B$11:$B1000,"Actual 2024")</f>
        <v>0</v>
      </c>
      <c r="O3" s="183">
        <f>SUMIFS(O$11:O1000,$B$11:$B1000,"Actual 2024")</f>
        <v>2023.3600000000001</v>
      </c>
      <c r="P3" s="126">
        <v>3746.86</v>
      </c>
    </row>
    <row r="4" spans="1:16" s="102" customFormat="1" ht="14.4" customHeight="1" x14ac:dyDescent="0.25">
      <c r="A4" s="240"/>
      <c r="B4" s="184" t="s">
        <v>27</v>
      </c>
      <c r="C4" s="189">
        <f>SUMIFS(C$11:C1000,$B$11:$B1000,"Estimated")</f>
        <v>0</v>
      </c>
      <c r="D4" s="189">
        <f>SUMIFS(D$11:D1000,$B$11:$B1000,"Estimated")</f>
        <v>0</v>
      </c>
      <c r="E4" s="189">
        <f>SUMIFS(E$11:E1000,$B$11:$B1000,"Estimated")</f>
        <v>0</v>
      </c>
      <c r="F4" s="189">
        <f>SUMIFS(F$11:F1000,$B$11:$B1000,"Estimated")</f>
        <v>0</v>
      </c>
      <c r="G4" s="189">
        <f>SUMIFS(G$11:G1000,$B$11:$B1000,"Estimated")</f>
        <v>0</v>
      </c>
      <c r="H4" s="189">
        <f>SUMIFS(H$11:H1000,$B$11:$B1000,"Estimated")</f>
        <v>0</v>
      </c>
      <c r="I4" s="192">
        <f>SUMIFS(I$11:I1000,$B$11:$B1000,"Estimated")</f>
        <v>0</v>
      </c>
      <c r="J4" s="192">
        <f>SUMIFS(J$11:J1000,$B$11:$B1000,"Estimated")</f>
        <v>0</v>
      </c>
      <c r="K4" s="192">
        <f>SUMIFS(K$11:K1000,$B$11:$B1000,"Estimated")</f>
        <v>618.89</v>
      </c>
      <c r="L4" s="192">
        <f>SUMIFS(L$11:L1000,$B$11:$B1000,"Estimated")</f>
        <v>0</v>
      </c>
      <c r="M4" s="192">
        <f>SUMIFS(M$11:M1000,$B$11:$B1000,"Estimated")</f>
        <v>0</v>
      </c>
      <c r="N4" s="192">
        <f>SUMIFS(N$11:N1000,$B$11:$B1000,"Estimated")</f>
        <v>0</v>
      </c>
      <c r="O4" s="191">
        <f>SUMIFS(O$11:O1000,$B$11:$B1000,"Estimated")</f>
        <v>618.89</v>
      </c>
    </row>
    <row r="5" spans="1:16" s="166" customFormat="1" ht="14.4" customHeight="1" x14ac:dyDescent="0.3">
      <c r="A5" s="240"/>
      <c r="B5" s="162" t="s">
        <v>18</v>
      </c>
      <c r="C5" s="163">
        <v>0</v>
      </c>
      <c r="D5" s="163">
        <v>0</v>
      </c>
      <c r="E5" s="163">
        <v>0</v>
      </c>
      <c r="F5" s="163">
        <v>0</v>
      </c>
      <c r="G5" s="163">
        <v>0</v>
      </c>
      <c r="H5" s="163">
        <v>0</v>
      </c>
      <c r="I5" s="167">
        <v>0</v>
      </c>
      <c r="J5" s="167">
        <v>0</v>
      </c>
      <c r="K5" s="167">
        <v>500</v>
      </c>
      <c r="L5" s="167">
        <v>0</v>
      </c>
      <c r="M5" s="167">
        <v>0</v>
      </c>
      <c r="N5" s="167">
        <v>0</v>
      </c>
      <c r="O5" s="164">
        <f t="shared" ref="O5" si="0">SUM(C5:N5)</f>
        <v>500</v>
      </c>
      <c r="P5" s="166">
        <v>500</v>
      </c>
    </row>
    <row r="6" spans="1:16" s="166" customFormat="1" ht="15" thickBot="1" x14ac:dyDescent="0.35">
      <c r="A6" s="241"/>
      <c r="B6" s="174" t="s">
        <v>19</v>
      </c>
      <c r="C6" s="175">
        <f>SUMIFS(C$11:C1005,$B$11:$B1005,"Actual")</f>
        <v>0</v>
      </c>
      <c r="D6" s="175">
        <f>SUMIFS(D$11:D1005,$B$11:$B1005,"Actual")</f>
        <v>0</v>
      </c>
      <c r="E6" s="175">
        <f>SUMIFS(E$11:E1005,$B$11:$B1005,"Actual")</f>
        <v>0</v>
      </c>
      <c r="F6" s="175">
        <f>SUMIFS(F$11:F1005,$B$11:$B1005,"Actual")</f>
        <v>0</v>
      </c>
      <c r="G6" s="175">
        <f>SUMIFS(G$11:G1005,$B$11:$B1005,"Actual")</f>
        <v>0</v>
      </c>
      <c r="H6" s="175">
        <f>SUMIFS(H$11:H1005,$B$11:$B1005,"Actual")</f>
        <v>214.68</v>
      </c>
      <c r="I6" s="177">
        <f>SUMIFS(I$11:I1005,$B$11:$B1005,"Actual")</f>
        <v>0</v>
      </c>
      <c r="J6" s="177">
        <f>SUMIFS(J$11:J1005,$B$11:$B1005,"Actual")</f>
        <v>0</v>
      </c>
      <c r="K6" s="177">
        <f>SUMIFS(K$11:K1005,$B$11:$B1005,"Actual")</f>
        <v>118.89</v>
      </c>
      <c r="L6" s="177">
        <f>SUMIFS(L$11:L1005,$B$11:$B1005,"Actual")</f>
        <v>0</v>
      </c>
      <c r="M6" s="177">
        <f>SUMIFS(M$11:M1005,$B$11:$B1005,"Actual")</f>
        <v>0</v>
      </c>
      <c r="N6" s="177">
        <f>SUMIFS(N$11:N1005,$B$11:$B1005,"Actual")</f>
        <v>0</v>
      </c>
      <c r="O6" s="176">
        <f>SUMIFS(O$11:O1005,$B$11:$B1005,"Actual")</f>
        <v>1931.4900000000002</v>
      </c>
      <c r="P6" s="166">
        <v>534.83000000000004</v>
      </c>
    </row>
    <row r="7" spans="1:16" s="64" customFormat="1" ht="15" thickTop="1" x14ac:dyDescent="0.3">
      <c r="A7" s="133"/>
      <c r="B7" s="70" t="s">
        <v>21</v>
      </c>
      <c r="C7" s="60">
        <f t="shared" ref="C7:I7" si="1">C5-C6</f>
        <v>0</v>
      </c>
      <c r="D7" s="60">
        <f t="shared" si="1"/>
        <v>0</v>
      </c>
      <c r="E7" s="60">
        <f t="shared" si="1"/>
        <v>0</v>
      </c>
      <c r="F7" s="60">
        <f t="shared" si="1"/>
        <v>0</v>
      </c>
      <c r="G7" s="60">
        <f t="shared" si="1"/>
        <v>0</v>
      </c>
      <c r="H7" s="60">
        <f t="shared" si="1"/>
        <v>-214.68</v>
      </c>
      <c r="I7" s="60">
        <f t="shared" si="1"/>
        <v>0</v>
      </c>
      <c r="J7" s="60">
        <f t="shared" ref="J7:N7" si="2">J5-J6</f>
        <v>0</v>
      </c>
      <c r="K7" s="60">
        <f t="shared" si="2"/>
        <v>381.11</v>
      </c>
      <c r="L7" s="60">
        <f t="shared" si="2"/>
        <v>0</v>
      </c>
      <c r="M7" s="60">
        <f t="shared" si="2"/>
        <v>0</v>
      </c>
      <c r="N7" s="60">
        <f t="shared" si="2"/>
        <v>0</v>
      </c>
      <c r="O7" s="75">
        <f>O5-O6</f>
        <v>-1431.4900000000002</v>
      </c>
    </row>
    <row r="8" spans="1:16" s="142" customFormat="1" x14ac:dyDescent="0.3">
      <c r="A8" s="147"/>
      <c r="B8" s="139" t="s">
        <v>23</v>
      </c>
      <c r="C8" s="140">
        <f>SUM($C6:C6)</f>
        <v>0</v>
      </c>
      <c r="D8" s="140">
        <f>SUM($C6:D6)</f>
        <v>0</v>
      </c>
      <c r="E8" s="140">
        <f>SUM($C6:E6)</f>
        <v>0</v>
      </c>
      <c r="F8" s="140">
        <f>SUM($C6:F6)</f>
        <v>0</v>
      </c>
      <c r="G8" s="140">
        <f>SUM($C6:G6)</f>
        <v>0</v>
      </c>
      <c r="H8" s="140">
        <f>SUM($C6:H6)</f>
        <v>214.68</v>
      </c>
      <c r="I8" s="140">
        <f>SUM($C6:I6)</f>
        <v>214.68</v>
      </c>
      <c r="J8" s="140">
        <f>SUM($C6:J6)</f>
        <v>214.68</v>
      </c>
      <c r="K8" s="140">
        <f>SUM($C6:K6)</f>
        <v>333.57</v>
      </c>
      <c r="L8" s="140">
        <f>SUM($C6:L6)</f>
        <v>333.57</v>
      </c>
      <c r="M8" s="140">
        <f>SUM($C6:M6)</f>
        <v>333.57</v>
      </c>
      <c r="N8" s="140">
        <f>SUM($C6:N6)</f>
        <v>333.57</v>
      </c>
      <c r="O8" s="141">
        <f>O6</f>
        <v>1931.4900000000002</v>
      </c>
    </row>
    <row r="9" spans="1:16" s="142" customFormat="1" x14ac:dyDescent="0.3">
      <c r="A9" s="148"/>
      <c r="B9" s="144" t="s">
        <v>25</v>
      </c>
      <c r="C9" s="145">
        <f>SUM($C5:C5)-C8</f>
        <v>0</v>
      </c>
      <c r="D9" s="145">
        <f>SUM($C5:D5)-D8</f>
        <v>0</v>
      </c>
      <c r="E9" s="145">
        <f>SUM($C5:E5)-E8</f>
        <v>0</v>
      </c>
      <c r="F9" s="145">
        <f>SUM($C5:F5)-F8</f>
        <v>0</v>
      </c>
      <c r="G9" s="145">
        <f>SUM($C5:G5)-G8</f>
        <v>0</v>
      </c>
      <c r="H9" s="145">
        <f>SUM($C5:H5)-H8</f>
        <v>-214.68</v>
      </c>
      <c r="I9" s="145">
        <f>SUM($C5:I5)-I8</f>
        <v>-214.68</v>
      </c>
      <c r="J9" s="145">
        <f>SUM($C5:J5)-J8</f>
        <v>-214.68</v>
      </c>
      <c r="K9" s="145">
        <f>SUM($C5:K5)-K8</f>
        <v>166.43</v>
      </c>
      <c r="L9" s="145">
        <f>SUM($C5:L5)-L8</f>
        <v>166.43</v>
      </c>
      <c r="M9" s="145">
        <f>SUM($C5:M5)-M8</f>
        <v>166.43</v>
      </c>
      <c r="N9" s="145">
        <f>SUM($C5:N5)-N8</f>
        <v>166.43</v>
      </c>
      <c r="O9" s="146"/>
    </row>
    <row r="10" spans="1:16" x14ac:dyDescent="0.3"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6" s="102" customFormat="1" ht="12" x14ac:dyDescent="0.25">
      <c r="A11" s="235" t="s">
        <v>404</v>
      </c>
      <c r="B11" s="99" t="s">
        <v>16</v>
      </c>
      <c r="C11" s="100"/>
      <c r="D11" s="100"/>
      <c r="E11" s="100">
        <v>77.430000000000007</v>
      </c>
      <c r="F11" s="100"/>
      <c r="G11" s="100"/>
      <c r="H11" s="100"/>
      <c r="I11" s="100"/>
      <c r="J11" s="100"/>
      <c r="K11" s="100">
        <v>103.5</v>
      </c>
      <c r="L11" s="100"/>
      <c r="M11" s="100"/>
      <c r="N11" s="100"/>
      <c r="O11" s="103">
        <f t="shared" ref="O11:O13" si="3">SUM(C11:N11)</f>
        <v>180.93</v>
      </c>
    </row>
    <row r="12" spans="1:16" s="102" customFormat="1" ht="12" x14ac:dyDescent="0.25">
      <c r="A12" s="235"/>
      <c r="B12" s="99" t="s">
        <v>29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3">
        <f>SUM(C12:N12)</f>
        <v>0</v>
      </c>
    </row>
    <row r="13" spans="1:16" s="67" customFormat="1" ht="12.6" customHeight="1" x14ac:dyDescent="0.3">
      <c r="A13" s="155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66">
        <f t="shared" si="3"/>
        <v>0</v>
      </c>
    </row>
    <row r="14" spans="1:16" s="67" customFormat="1" ht="12.6" customHeight="1" x14ac:dyDescent="0.3">
      <c r="A14" s="156"/>
      <c r="B14" s="116" t="s">
        <v>32</v>
      </c>
      <c r="C14" s="117"/>
      <c r="D14" s="117"/>
      <c r="E14" s="117"/>
      <c r="F14" s="117"/>
      <c r="G14" s="117"/>
      <c r="H14" s="194">
        <v>214.68</v>
      </c>
      <c r="I14" s="117"/>
      <c r="J14" s="117"/>
      <c r="K14" s="117"/>
      <c r="L14" s="117"/>
      <c r="M14" s="117"/>
      <c r="N14" s="117"/>
      <c r="O14" s="118">
        <f>SUM(C14:N14)</f>
        <v>214.68</v>
      </c>
    </row>
    <row r="15" spans="1:16" s="102" customFormat="1" ht="12" x14ac:dyDescent="0.25">
      <c r="A15" s="236" t="s">
        <v>167</v>
      </c>
      <c r="B15" s="99" t="s">
        <v>16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3">
        <f t="shared" ref="O15:O16" si="4">SUM(C15:N15)</f>
        <v>0</v>
      </c>
    </row>
    <row r="16" spans="1:16" s="102" customFormat="1" ht="12" x14ac:dyDescent="0.25">
      <c r="A16" s="235"/>
      <c r="B16" s="99" t="s">
        <v>29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500</v>
      </c>
      <c r="L16" s="100">
        <v>0</v>
      </c>
      <c r="M16" s="100">
        <v>0</v>
      </c>
      <c r="N16" s="100">
        <v>0</v>
      </c>
      <c r="O16" s="103">
        <f t="shared" si="4"/>
        <v>500</v>
      </c>
    </row>
    <row r="17" spans="1:15" s="67" customFormat="1" ht="12.6" customHeight="1" x14ac:dyDescent="0.3">
      <c r="A17" s="155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>
        <f>SUM(C17:N17)</f>
        <v>0</v>
      </c>
    </row>
    <row r="18" spans="1:15" s="67" customFormat="1" ht="12.6" customHeight="1" x14ac:dyDescent="0.3">
      <c r="A18" s="156"/>
      <c r="B18" s="116" t="s">
        <v>32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8">
        <f>SUM(C15:N15)</f>
        <v>0</v>
      </c>
    </row>
    <row r="19" spans="1:15" s="102" customFormat="1" ht="12" x14ac:dyDescent="0.25">
      <c r="A19" s="236" t="s">
        <v>405</v>
      </c>
      <c r="B19" s="99" t="s">
        <v>16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3">
        <f t="shared" ref="O19:O21" si="5">SUM(C19:N19)</f>
        <v>0</v>
      </c>
    </row>
    <row r="20" spans="1:15" s="102" customFormat="1" ht="12" x14ac:dyDescent="0.25">
      <c r="A20" s="235"/>
      <c r="B20" s="99" t="s">
        <v>29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3">
        <f>SUM(C20:N20)</f>
        <v>0</v>
      </c>
    </row>
    <row r="21" spans="1:15" s="67" customFormat="1" ht="12.6" customHeight="1" x14ac:dyDescent="0.3">
      <c r="A21" s="155"/>
      <c r="B21" s="65" t="s">
        <v>31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66">
        <f t="shared" si="5"/>
        <v>0</v>
      </c>
    </row>
    <row r="22" spans="1:15" s="67" customFormat="1" ht="12.6" customHeight="1" x14ac:dyDescent="0.3">
      <c r="A22" s="156"/>
      <c r="B22" s="116" t="s">
        <v>32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8">
        <f>SUM(C19:N19)</f>
        <v>0</v>
      </c>
    </row>
    <row r="23" spans="1:15" s="102" customFormat="1" ht="12" x14ac:dyDescent="0.25">
      <c r="A23" s="236" t="s">
        <v>406</v>
      </c>
      <c r="B23" s="99" t="s">
        <v>16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3">
        <f t="shared" ref="O23:O25" si="6">SUM(C23:N23)</f>
        <v>0</v>
      </c>
    </row>
    <row r="24" spans="1:15" s="102" customFormat="1" ht="12" x14ac:dyDescent="0.25">
      <c r="A24" s="235"/>
      <c r="B24" s="99" t="s">
        <v>29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>
        <v>0</v>
      </c>
      <c r="N24" s="100">
        <v>0</v>
      </c>
      <c r="O24" s="103">
        <f>SUM(C24:N24)</f>
        <v>0</v>
      </c>
    </row>
    <row r="25" spans="1:15" s="67" customFormat="1" ht="12.6" customHeight="1" x14ac:dyDescent="0.3">
      <c r="A25" s="155"/>
      <c r="B25" s="65" t="s">
        <v>31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66">
        <f t="shared" si="6"/>
        <v>0</v>
      </c>
    </row>
    <row r="26" spans="1:15" s="67" customFormat="1" ht="12.6" customHeight="1" x14ac:dyDescent="0.3">
      <c r="A26" s="156"/>
      <c r="B26" s="116" t="s">
        <v>32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8">
        <f>SUM(C23:N23)</f>
        <v>0</v>
      </c>
    </row>
    <row r="27" spans="1:15" s="102" customFormat="1" ht="12" x14ac:dyDescent="0.25">
      <c r="A27" s="236" t="s">
        <v>407</v>
      </c>
      <c r="B27" s="99" t="s">
        <v>16</v>
      </c>
      <c r="C27" s="100">
        <v>442</v>
      </c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3">
        <f t="shared" ref="O27:O29" si="7">SUM(C27:N27)</f>
        <v>442</v>
      </c>
    </row>
    <row r="28" spans="1:15" s="102" customFormat="1" ht="12" x14ac:dyDescent="0.25">
      <c r="A28" s="235"/>
      <c r="B28" s="99" t="s">
        <v>29</v>
      </c>
      <c r="C28" s="100">
        <f t="shared" ref="C28:N28" si="8">IF(ISBLANK(C30),C29,C30)</f>
        <v>0</v>
      </c>
      <c r="D28" s="100">
        <f t="shared" si="8"/>
        <v>0</v>
      </c>
      <c r="E28" s="100">
        <f t="shared" si="8"/>
        <v>0</v>
      </c>
      <c r="F28" s="100">
        <f t="shared" si="8"/>
        <v>0</v>
      </c>
      <c r="G28" s="100">
        <f t="shared" si="8"/>
        <v>0</v>
      </c>
      <c r="H28" s="100">
        <f t="shared" si="8"/>
        <v>0</v>
      </c>
      <c r="I28" s="100">
        <f t="shared" si="8"/>
        <v>0</v>
      </c>
      <c r="J28" s="100">
        <f t="shared" si="8"/>
        <v>0</v>
      </c>
      <c r="K28" s="100">
        <f t="shared" si="8"/>
        <v>0</v>
      </c>
      <c r="L28" s="100">
        <f t="shared" si="8"/>
        <v>0</v>
      </c>
      <c r="M28" s="100">
        <f t="shared" si="8"/>
        <v>0</v>
      </c>
      <c r="N28" s="100">
        <f t="shared" si="8"/>
        <v>0</v>
      </c>
      <c r="O28" s="103">
        <f>SUM(C28:N28)</f>
        <v>0</v>
      </c>
    </row>
    <row r="29" spans="1:15" s="67" customFormat="1" ht="12.6" customHeight="1" x14ac:dyDescent="0.3">
      <c r="A29" s="155"/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66">
        <f t="shared" si="7"/>
        <v>0</v>
      </c>
    </row>
    <row r="30" spans="1:15" s="67" customFormat="1" ht="12.6" customHeight="1" x14ac:dyDescent="0.3">
      <c r="A30" s="156"/>
      <c r="B30" s="116" t="s">
        <v>32</v>
      </c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8">
        <f>SUM(C27:N27)</f>
        <v>442</v>
      </c>
    </row>
    <row r="31" spans="1:15" s="102" customFormat="1" ht="12" x14ac:dyDescent="0.25">
      <c r="A31" s="236" t="s">
        <v>408</v>
      </c>
      <c r="B31" s="99" t="s">
        <v>16</v>
      </c>
      <c r="C31" s="100"/>
      <c r="D31" s="100">
        <v>240.83</v>
      </c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3">
        <f t="shared" ref="O31:O33" si="9">SUM(C31:N31)</f>
        <v>240.83</v>
      </c>
    </row>
    <row r="32" spans="1:15" s="102" customFormat="1" ht="12" x14ac:dyDescent="0.25">
      <c r="A32" s="235"/>
      <c r="B32" s="99" t="s">
        <v>29</v>
      </c>
      <c r="C32" s="100">
        <f t="shared" ref="C32:N32" si="10">IF(ISBLANK(C34),C33,C34)</f>
        <v>0</v>
      </c>
      <c r="D32" s="100">
        <f t="shared" si="10"/>
        <v>0</v>
      </c>
      <c r="E32" s="100">
        <f t="shared" si="10"/>
        <v>0</v>
      </c>
      <c r="F32" s="100">
        <f t="shared" si="10"/>
        <v>0</v>
      </c>
      <c r="G32" s="100">
        <f t="shared" si="10"/>
        <v>0</v>
      </c>
      <c r="H32" s="100">
        <f t="shared" si="10"/>
        <v>0</v>
      </c>
      <c r="I32" s="100">
        <f t="shared" si="10"/>
        <v>0</v>
      </c>
      <c r="J32" s="100">
        <f t="shared" si="10"/>
        <v>0</v>
      </c>
      <c r="K32" s="100">
        <f t="shared" si="10"/>
        <v>118.89</v>
      </c>
      <c r="L32" s="100">
        <f t="shared" si="10"/>
        <v>0</v>
      </c>
      <c r="M32" s="100">
        <f t="shared" si="10"/>
        <v>0</v>
      </c>
      <c r="N32" s="100">
        <f t="shared" si="10"/>
        <v>0</v>
      </c>
      <c r="O32" s="103">
        <f>SUM(C32:N32)</f>
        <v>118.89</v>
      </c>
    </row>
    <row r="33" spans="1:15" s="67" customFormat="1" ht="12.6" customHeight="1" x14ac:dyDescent="0.3">
      <c r="A33" s="155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 t="shared" si="9"/>
        <v>0</v>
      </c>
    </row>
    <row r="34" spans="1:15" s="67" customFormat="1" ht="12.6" customHeight="1" x14ac:dyDescent="0.3">
      <c r="A34" s="156"/>
      <c r="B34" s="116" t="s">
        <v>32</v>
      </c>
      <c r="C34" s="117"/>
      <c r="D34" s="117"/>
      <c r="E34" s="117"/>
      <c r="F34" s="117"/>
      <c r="G34" s="117"/>
      <c r="H34" s="117"/>
      <c r="I34" s="117"/>
      <c r="J34" s="117"/>
      <c r="K34" s="117">
        <v>118.89</v>
      </c>
      <c r="L34" s="117"/>
      <c r="M34" s="117"/>
      <c r="N34" s="117"/>
      <c r="O34" s="118">
        <f>SUM(C31:N31)</f>
        <v>240.83</v>
      </c>
    </row>
    <row r="35" spans="1:15" s="102" customFormat="1" ht="12" x14ac:dyDescent="0.25">
      <c r="A35" s="236" t="s">
        <v>409</v>
      </c>
      <c r="B35" s="99" t="s">
        <v>16</v>
      </c>
      <c r="C35" s="100"/>
      <c r="D35" s="100">
        <v>299</v>
      </c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3">
        <f t="shared" ref="O35:O37" si="11">SUM(C35:N35)</f>
        <v>299</v>
      </c>
    </row>
    <row r="36" spans="1:15" s="102" customFormat="1" ht="12" x14ac:dyDescent="0.25">
      <c r="A36" s="235"/>
      <c r="B36" s="99" t="s">
        <v>29</v>
      </c>
      <c r="C36" s="100">
        <f t="shared" ref="C36:N36" si="12">IF(ISBLANK(C38),C37,C38)</f>
        <v>0</v>
      </c>
      <c r="D36" s="100">
        <f t="shared" si="12"/>
        <v>0</v>
      </c>
      <c r="E36" s="100">
        <f t="shared" si="12"/>
        <v>0</v>
      </c>
      <c r="F36" s="100">
        <f t="shared" si="12"/>
        <v>0</v>
      </c>
      <c r="G36" s="100">
        <f t="shared" si="12"/>
        <v>0</v>
      </c>
      <c r="H36" s="100">
        <f t="shared" si="12"/>
        <v>0</v>
      </c>
      <c r="I36" s="100">
        <f t="shared" si="12"/>
        <v>0</v>
      </c>
      <c r="J36" s="100">
        <f t="shared" si="12"/>
        <v>0</v>
      </c>
      <c r="K36" s="100">
        <f t="shared" si="12"/>
        <v>0</v>
      </c>
      <c r="L36" s="100">
        <f t="shared" si="12"/>
        <v>0</v>
      </c>
      <c r="M36" s="100">
        <f t="shared" si="12"/>
        <v>0</v>
      </c>
      <c r="N36" s="100">
        <f t="shared" si="12"/>
        <v>0</v>
      </c>
      <c r="O36" s="103">
        <f>SUM(C36:N36)</f>
        <v>0</v>
      </c>
    </row>
    <row r="37" spans="1:15" s="67" customFormat="1" ht="12.6" customHeight="1" x14ac:dyDescent="0.3">
      <c r="A37" s="155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 t="shared" si="11"/>
        <v>0</v>
      </c>
    </row>
    <row r="38" spans="1:15" s="67" customFormat="1" ht="12.6" customHeight="1" x14ac:dyDescent="0.3">
      <c r="A38" s="156"/>
      <c r="B38" s="116" t="s">
        <v>32</v>
      </c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>
        <f>SUM(C35:N35)</f>
        <v>299</v>
      </c>
    </row>
    <row r="39" spans="1:15" s="102" customFormat="1" ht="12" x14ac:dyDescent="0.25">
      <c r="A39" s="236" t="s">
        <v>410</v>
      </c>
      <c r="B39" s="99" t="s">
        <v>16</v>
      </c>
      <c r="C39" s="100"/>
      <c r="D39" s="100"/>
      <c r="E39" s="100"/>
      <c r="F39" s="100">
        <v>528.54999999999995</v>
      </c>
      <c r="G39" s="100"/>
      <c r="H39" s="100"/>
      <c r="I39" s="100"/>
      <c r="J39" s="100"/>
      <c r="K39" s="100"/>
      <c r="L39" s="100"/>
      <c r="M39" s="100"/>
      <c r="N39" s="100"/>
      <c r="O39" s="103">
        <f t="shared" ref="O39:O41" si="13">SUM(C39:N39)</f>
        <v>528.54999999999995</v>
      </c>
    </row>
    <row r="40" spans="1:15" s="102" customFormat="1" ht="12" x14ac:dyDescent="0.25">
      <c r="A40" s="235"/>
      <c r="B40" s="99" t="s">
        <v>29</v>
      </c>
      <c r="C40" s="100">
        <f t="shared" ref="C40:N40" si="14">IF(ISBLANK(C42),C41,C42)</f>
        <v>0</v>
      </c>
      <c r="D40" s="100">
        <f t="shared" si="14"/>
        <v>0</v>
      </c>
      <c r="E40" s="100">
        <f t="shared" si="14"/>
        <v>0</v>
      </c>
      <c r="F40" s="100">
        <f t="shared" si="14"/>
        <v>0</v>
      </c>
      <c r="G40" s="100">
        <f t="shared" si="14"/>
        <v>0</v>
      </c>
      <c r="H40" s="100">
        <f t="shared" si="14"/>
        <v>0</v>
      </c>
      <c r="I40" s="100">
        <f t="shared" si="14"/>
        <v>0</v>
      </c>
      <c r="J40" s="100">
        <f t="shared" si="14"/>
        <v>0</v>
      </c>
      <c r="K40" s="100">
        <f t="shared" si="14"/>
        <v>0</v>
      </c>
      <c r="L40" s="100">
        <f t="shared" si="14"/>
        <v>0</v>
      </c>
      <c r="M40" s="100">
        <f t="shared" si="14"/>
        <v>0</v>
      </c>
      <c r="N40" s="100">
        <f t="shared" si="14"/>
        <v>0</v>
      </c>
      <c r="O40" s="103">
        <f>SUM(C40:N40)</f>
        <v>0</v>
      </c>
    </row>
    <row r="41" spans="1:15" s="64" customFormat="1" ht="12.6" customHeight="1" x14ac:dyDescent="0.3">
      <c r="A41" s="155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 t="shared" si="13"/>
        <v>0</v>
      </c>
    </row>
    <row r="42" spans="1:15" s="64" customFormat="1" ht="12.6" customHeight="1" x14ac:dyDescent="0.3">
      <c r="A42" s="156"/>
      <c r="B42" s="7" t="s">
        <v>32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24">
        <f>SUM(C39:N39)</f>
        <v>528.54999999999995</v>
      </c>
    </row>
    <row r="43" spans="1:15" s="102" customFormat="1" ht="12" x14ac:dyDescent="0.25">
      <c r="A43" s="236" t="s">
        <v>411</v>
      </c>
      <c r="B43" s="99" t="s">
        <v>16</v>
      </c>
      <c r="C43" s="100"/>
      <c r="D43" s="100"/>
      <c r="E43" s="100"/>
      <c r="F43" s="100">
        <v>199.16</v>
      </c>
      <c r="G43" s="100"/>
      <c r="H43" s="100"/>
      <c r="I43" s="100"/>
      <c r="J43" s="100"/>
      <c r="K43" s="100"/>
      <c r="L43" s="100"/>
      <c r="M43" s="100"/>
      <c r="N43" s="100"/>
      <c r="O43" s="103">
        <f t="shared" ref="O43:O45" si="15">SUM(C43:N43)</f>
        <v>199.16</v>
      </c>
    </row>
    <row r="44" spans="1:15" s="102" customFormat="1" ht="12" x14ac:dyDescent="0.25">
      <c r="A44" s="235"/>
      <c r="B44" s="99" t="s">
        <v>29</v>
      </c>
      <c r="C44" s="100">
        <f t="shared" ref="C44:N44" si="16">IF(ISBLANK(C46),C45,C46)</f>
        <v>0</v>
      </c>
      <c r="D44" s="100">
        <f t="shared" si="16"/>
        <v>0</v>
      </c>
      <c r="E44" s="100">
        <f t="shared" si="16"/>
        <v>0</v>
      </c>
      <c r="F44" s="100">
        <f t="shared" si="16"/>
        <v>0</v>
      </c>
      <c r="G44" s="100">
        <f t="shared" si="16"/>
        <v>0</v>
      </c>
      <c r="H44" s="100">
        <f t="shared" si="16"/>
        <v>0</v>
      </c>
      <c r="I44" s="100">
        <f t="shared" si="16"/>
        <v>0</v>
      </c>
      <c r="J44" s="100">
        <f t="shared" si="16"/>
        <v>0</v>
      </c>
      <c r="K44" s="100">
        <f t="shared" si="16"/>
        <v>0</v>
      </c>
      <c r="L44" s="100">
        <f t="shared" si="16"/>
        <v>0</v>
      </c>
      <c r="M44" s="100">
        <f t="shared" si="16"/>
        <v>0</v>
      </c>
      <c r="N44" s="100">
        <f t="shared" si="16"/>
        <v>0</v>
      </c>
      <c r="O44" s="103">
        <f>SUM(C44:N44)</f>
        <v>0</v>
      </c>
    </row>
    <row r="45" spans="1:15" s="64" customFormat="1" ht="12.6" customHeight="1" x14ac:dyDescent="0.3">
      <c r="A45" s="155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 t="shared" si="15"/>
        <v>0</v>
      </c>
    </row>
    <row r="46" spans="1:15" s="64" customFormat="1" ht="12.6" customHeight="1" x14ac:dyDescent="0.3">
      <c r="A46" s="156"/>
      <c r="B46" s="7" t="s">
        <v>32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24">
        <f>SUM(C43:N43)</f>
        <v>199.16</v>
      </c>
    </row>
    <row r="47" spans="1:15" s="102" customFormat="1" ht="12" x14ac:dyDescent="0.25">
      <c r="A47" s="236" t="s">
        <v>412</v>
      </c>
      <c r="B47" s="99" t="s">
        <v>16</v>
      </c>
      <c r="C47" s="100"/>
      <c r="D47" s="100"/>
      <c r="E47" s="100"/>
      <c r="F47" s="100">
        <v>125.62</v>
      </c>
      <c r="G47" s="100"/>
      <c r="H47" s="100"/>
      <c r="I47" s="100"/>
      <c r="J47" s="100"/>
      <c r="K47" s="100"/>
      <c r="L47" s="100"/>
      <c r="M47" s="100"/>
      <c r="N47" s="100"/>
      <c r="O47" s="103">
        <f t="shared" ref="O47:O50" si="17">SUM(C47:N47)</f>
        <v>125.62</v>
      </c>
    </row>
    <row r="48" spans="1:15" s="102" customFormat="1" ht="12" x14ac:dyDescent="0.25">
      <c r="A48" s="235"/>
      <c r="B48" s="99" t="s">
        <v>29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3">
        <f>SUM(C48:N48)</f>
        <v>0</v>
      </c>
    </row>
    <row r="49" spans="1:15" s="64" customFormat="1" ht="12.6" customHeight="1" x14ac:dyDescent="0.3">
      <c r="A49" s="155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 t="shared" si="17"/>
        <v>0</v>
      </c>
    </row>
    <row r="50" spans="1:15" s="64" customFormat="1" ht="12.6" customHeight="1" x14ac:dyDescent="0.3">
      <c r="A50" s="156"/>
      <c r="B50" s="7" t="s">
        <v>32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24">
        <f t="shared" si="17"/>
        <v>0</v>
      </c>
    </row>
    <row r="51" spans="1:15" s="102" customFormat="1" ht="12" x14ac:dyDescent="0.25">
      <c r="A51" s="236" t="s">
        <v>413</v>
      </c>
      <c r="B51" s="99" t="s">
        <v>16</v>
      </c>
      <c r="C51" s="100"/>
      <c r="D51" s="100"/>
      <c r="E51" s="100"/>
      <c r="F51" s="100"/>
      <c r="G51" s="100"/>
      <c r="H51" s="100"/>
      <c r="I51" s="100"/>
      <c r="J51" s="100"/>
      <c r="K51" s="100">
        <v>7.27</v>
      </c>
      <c r="L51" s="100"/>
      <c r="M51" s="100"/>
      <c r="N51" s="100"/>
      <c r="O51" s="103">
        <f t="shared" ref="O51:O53" si="18">SUM(C51:N51)</f>
        <v>7.27</v>
      </c>
    </row>
    <row r="52" spans="1:15" s="102" customFormat="1" ht="12" x14ac:dyDescent="0.25">
      <c r="A52" s="235"/>
      <c r="B52" s="99" t="s">
        <v>29</v>
      </c>
      <c r="C52" s="100">
        <f t="shared" ref="C52:N52" si="19">IF(ISBLANK(C54),C53,C54)</f>
        <v>0</v>
      </c>
      <c r="D52" s="100">
        <f t="shared" si="19"/>
        <v>0</v>
      </c>
      <c r="E52" s="100">
        <f t="shared" si="19"/>
        <v>0</v>
      </c>
      <c r="F52" s="100">
        <f t="shared" si="19"/>
        <v>0</v>
      </c>
      <c r="G52" s="100">
        <f t="shared" si="19"/>
        <v>0</v>
      </c>
      <c r="H52" s="100">
        <f t="shared" si="19"/>
        <v>0</v>
      </c>
      <c r="I52" s="100">
        <f t="shared" si="19"/>
        <v>0</v>
      </c>
      <c r="J52" s="100">
        <f t="shared" si="19"/>
        <v>0</v>
      </c>
      <c r="K52" s="100">
        <f t="shared" si="19"/>
        <v>0</v>
      </c>
      <c r="L52" s="100">
        <f t="shared" si="19"/>
        <v>0</v>
      </c>
      <c r="M52" s="100">
        <f t="shared" si="19"/>
        <v>0</v>
      </c>
      <c r="N52" s="100">
        <f t="shared" si="19"/>
        <v>0</v>
      </c>
      <c r="O52" s="103">
        <f>SUM(C52:N52)</f>
        <v>0</v>
      </c>
    </row>
    <row r="53" spans="1:15" s="64" customFormat="1" ht="12.6" customHeight="1" x14ac:dyDescent="0.3">
      <c r="A53" s="155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 t="shared" si="18"/>
        <v>0</v>
      </c>
    </row>
    <row r="54" spans="1:15" s="64" customFormat="1" ht="12.6" customHeight="1" x14ac:dyDescent="0.3">
      <c r="A54" s="156"/>
      <c r="B54" s="7" t="s">
        <v>32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24">
        <f>SUM(C51:N51)</f>
        <v>7.27</v>
      </c>
    </row>
    <row r="55" spans="1:15" s="102" customFormat="1" ht="12" x14ac:dyDescent="0.25">
      <c r="A55" s="256"/>
      <c r="B55" s="99" t="s">
        <v>16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3">
        <f t="shared" ref="O55:O57" si="20">SUM(C55:N55)</f>
        <v>0</v>
      </c>
    </row>
    <row r="56" spans="1:15" s="102" customFormat="1" ht="12" x14ac:dyDescent="0.25">
      <c r="A56" s="257"/>
      <c r="B56" s="99" t="s">
        <v>29</v>
      </c>
      <c r="C56" s="100">
        <f t="shared" ref="C56:N56" si="21">IF(ISBLANK(C58),C57,C58)</f>
        <v>0</v>
      </c>
      <c r="D56" s="100">
        <f t="shared" si="21"/>
        <v>0</v>
      </c>
      <c r="E56" s="100">
        <f t="shared" si="21"/>
        <v>0</v>
      </c>
      <c r="F56" s="100">
        <f t="shared" si="21"/>
        <v>0</v>
      </c>
      <c r="G56" s="100">
        <f t="shared" si="21"/>
        <v>0</v>
      </c>
      <c r="H56" s="100">
        <f t="shared" si="21"/>
        <v>0</v>
      </c>
      <c r="I56" s="100">
        <f t="shared" si="21"/>
        <v>0</v>
      </c>
      <c r="J56" s="100">
        <f t="shared" si="21"/>
        <v>0</v>
      </c>
      <c r="K56" s="100">
        <f t="shared" si="21"/>
        <v>0</v>
      </c>
      <c r="L56" s="100">
        <f t="shared" si="21"/>
        <v>0</v>
      </c>
      <c r="M56" s="100">
        <f t="shared" si="21"/>
        <v>0</v>
      </c>
      <c r="N56" s="100">
        <f t="shared" si="21"/>
        <v>0</v>
      </c>
      <c r="O56" s="103">
        <f>SUM(C56:N56)</f>
        <v>0</v>
      </c>
    </row>
    <row r="57" spans="1:15" s="64" customFormat="1" ht="12.6" customHeight="1" x14ac:dyDescent="0.3">
      <c r="A57" s="160"/>
      <c r="B57" s="5" t="s">
        <v>31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7">
        <f t="shared" si="20"/>
        <v>0</v>
      </c>
    </row>
    <row r="58" spans="1:15" s="64" customFormat="1" ht="12.6" customHeight="1" x14ac:dyDescent="0.3">
      <c r="A58" s="161"/>
      <c r="B58" s="7" t="s">
        <v>32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24">
        <f>SUM(C55:N55)</f>
        <v>0</v>
      </c>
    </row>
    <row r="59" spans="1:15" s="102" customFormat="1" ht="12" x14ac:dyDescent="0.25">
      <c r="A59" s="256"/>
      <c r="B59" s="99" t="s">
        <v>16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3">
        <f t="shared" ref="O59:O61" si="22">SUM(C59:N59)</f>
        <v>0</v>
      </c>
    </row>
    <row r="60" spans="1:15" s="102" customFormat="1" ht="12" x14ac:dyDescent="0.25">
      <c r="A60" s="257"/>
      <c r="B60" s="99" t="s">
        <v>29</v>
      </c>
      <c r="C60" s="100">
        <f t="shared" ref="C60:N60" si="23">IF(ISBLANK(C62),C61,C62)</f>
        <v>0</v>
      </c>
      <c r="D60" s="100">
        <f t="shared" si="23"/>
        <v>0</v>
      </c>
      <c r="E60" s="100">
        <f t="shared" si="23"/>
        <v>0</v>
      </c>
      <c r="F60" s="100">
        <f t="shared" si="23"/>
        <v>0</v>
      </c>
      <c r="G60" s="100">
        <f t="shared" si="23"/>
        <v>0</v>
      </c>
      <c r="H60" s="100">
        <f t="shared" si="23"/>
        <v>0</v>
      </c>
      <c r="I60" s="100">
        <f t="shared" si="23"/>
        <v>0</v>
      </c>
      <c r="J60" s="100">
        <f t="shared" si="23"/>
        <v>0</v>
      </c>
      <c r="K60" s="100">
        <f t="shared" si="23"/>
        <v>0</v>
      </c>
      <c r="L60" s="100">
        <f t="shared" si="23"/>
        <v>0</v>
      </c>
      <c r="M60" s="100">
        <f t="shared" si="23"/>
        <v>0</v>
      </c>
      <c r="N60" s="100">
        <f t="shared" si="23"/>
        <v>0</v>
      </c>
      <c r="O60" s="103">
        <f>SUM(C60:N60)</f>
        <v>0</v>
      </c>
    </row>
    <row r="61" spans="1:15" s="64" customFormat="1" ht="12.6" customHeight="1" x14ac:dyDescent="0.3">
      <c r="A61" s="160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 t="shared" si="22"/>
        <v>0</v>
      </c>
    </row>
    <row r="62" spans="1:15" s="64" customFormat="1" ht="12.6" customHeight="1" x14ac:dyDescent="0.3">
      <c r="A62" s="161"/>
      <c r="B62" s="7" t="s">
        <v>32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24">
        <f>SUM(C59:N59)</f>
        <v>0</v>
      </c>
    </row>
    <row r="63" spans="1:15" s="102" customFormat="1" ht="12" x14ac:dyDescent="0.25">
      <c r="A63" s="256"/>
      <c r="B63" s="99" t="s">
        <v>16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3">
        <f t="shared" ref="O63:O65" si="24">SUM(C63:N63)</f>
        <v>0</v>
      </c>
    </row>
    <row r="64" spans="1:15" s="102" customFormat="1" ht="12" x14ac:dyDescent="0.25">
      <c r="A64" s="257"/>
      <c r="B64" s="99" t="s">
        <v>29</v>
      </c>
      <c r="C64" s="100">
        <f t="shared" ref="C64:N64" si="25">IF(ISBLANK(C66),C65,C66)</f>
        <v>0</v>
      </c>
      <c r="D64" s="100">
        <f t="shared" si="25"/>
        <v>0</v>
      </c>
      <c r="E64" s="100">
        <f t="shared" si="25"/>
        <v>0</v>
      </c>
      <c r="F64" s="100">
        <f t="shared" si="25"/>
        <v>0</v>
      </c>
      <c r="G64" s="100">
        <f t="shared" si="25"/>
        <v>0</v>
      </c>
      <c r="H64" s="100">
        <f t="shared" si="25"/>
        <v>0</v>
      </c>
      <c r="I64" s="100">
        <f t="shared" si="25"/>
        <v>0</v>
      </c>
      <c r="J64" s="100">
        <f t="shared" si="25"/>
        <v>0</v>
      </c>
      <c r="K64" s="100">
        <f t="shared" si="25"/>
        <v>0</v>
      </c>
      <c r="L64" s="100">
        <f t="shared" si="25"/>
        <v>0</v>
      </c>
      <c r="M64" s="100">
        <f t="shared" si="25"/>
        <v>0</v>
      </c>
      <c r="N64" s="100">
        <f t="shared" si="25"/>
        <v>0</v>
      </c>
      <c r="O64" s="103">
        <f>SUM(C64:N64)</f>
        <v>0</v>
      </c>
    </row>
    <row r="65" spans="1:15" s="64" customFormat="1" ht="12.6" customHeight="1" x14ac:dyDescent="0.3">
      <c r="A65" s="160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 t="shared" si="24"/>
        <v>0</v>
      </c>
    </row>
    <row r="66" spans="1:15" s="64" customFormat="1" ht="12.6" customHeight="1" x14ac:dyDescent="0.3">
      <c r="A66" s="161"/>
      <c r="B66" s="7" t="s">
        <v>32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24">
        <f>SUM(C63:N63)</f>
        <v>0</v>
      </c>
    </row>
    <row r="67" spans="1:15" s="102" customFormat="1" ht="12.6" customHeight="1" x14ac:dyDescent="0.25">
      <c r="A67" s="256"/>
      <c r="B67" s="99" t="s">
        <v>16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3">
        <f t="shared" ref="O67:O69" si="26">SUM(C67:N67)</f>
        <v>0</v>
      </c>
    </row>
    <row r="68" spans="1:15" s="102" customFormat="1" ht="12" x14ac:dyDescent="0.25">
      <c r="A68" s="257"/>
      <c r="B68" s="99" t="s">
        <v>29</v>
      </c>
      <c r="C68" s="100">
        <f t="shared" ref="C68:N68" si="27">IF(ISBLANK(C70),C69,C70)</f>
        <v>0</v>
      </c>
      <c r="D68" s="100">
        <f t="shared" si="27"/>
        <v>0</v>
      </c>
      <c r="E68" s="100">
        <f t="shared" si="27"/>
        <v>0</v>
      </c>
      <c r="F68" s="100">
        <f t="shared" si="27"/>
        <v>0</v>
      </c>
      <c r="G68" s="100">
        <f t="shared" si="27"/>
        <v>0</v>
      </c>
      <c r="H68" s="100">
        <f t="shared" si="27"/>
        <v>0</v>
      </c>
      <c r="I68" s="100">
        <f t="shared" si="27"/>
        <v>0</v>
      </c>
      <c r="J68" s="100">
        <f t="shared" si="27"/>
        <v>0</v>
      </c>
      <c r="K68" s="100">
        <f t="shared" si="27"/>
        <v>0</v>
      </c>
      <c r="L68" s="100">
        <f t="shared" si="27"/>
        <v>0</v>
      </c>
      <c r="M68" s="100">
        <f t="shared" si="27"/>
        <v>0</v>
      </c>
      <c r="N68" s="100">
        <f t="shared" si="27"/>
        <v>0</v>
      </c>
      <c r="O68" s="103">
        <f>SUM(C68:N68)</f>
        <v>0</v>
      </c>
    </row>
    <row r="69" spans="1:15" s="64" customFormat="1" x14ac:dyDescent="0.3">
      <c r="A69" s="160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 t="shared" si="26"/>
        <v>0</v>
      </c>
    </row>
    <row r="70" spans="1:15" s="64" customFormat="1" x14ac:dyDescent="0.3">
      <c r="A70" s="161"/>
      <c r="B70" s="7" t="s">
        <v>32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24">
        <f>SUM(C67:N67)</f>
        <v>0</v>
      </c>
    </row>
    <row r="71" spans="1:15" s="102" customFormat="1" ht="12" x14ac:dyDescent="0.25">
      <c r="A71" s="256"/>
      <c r="B71" s="99" t="s">
        <v>16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3">
        <f t="shared" ref="O71:O73" si="28">SUM(C71:N71)</f>
        <v>0</v>
      </c>
    </row>
    <row r="72" spans="1:15" s="102" customFormat="1" ht="12" x14ac:dyDescent="0.25">
      <c r="A72" s="257"/>
      <c r="B72" s="99" t="s">
        <v>29</v>
      </c>
      <c r="C72" s="100">
        <f t="shared" ref="C72:N72" si="29">IF(ISBLANK(C74),C73,C74)</f>
        <v>0</v>
      </c>
      <c r="D72" s="100">
        <f t="shared" si="29"/>
        <v>0</v>
      </c>
      <c r="E72" s="100">
        <f t="shared" si="29"/>
        <v>0</v>
      </c>
      <c r="F72" s="100">
        <f t="shared" si="29"/>
        <v>0</v>
      </c>
      <c r="G72" s="100">
        <f t="shared" si="29"/>
        <v>0</v>
      </c>
      <c r="H72" s="100">
        <f t="shared" si="29"/>
        <v>0</v>
      </c>
      <c r="I72" s="100">
        <f t="shared" si="29"/>
        <v>0</v>
      </c>
      <c r="J72" s="100">
        <f t="shared" si="29"/>
        <v>0</v>
      </c>
      <c r="K72" s="100">
        <f t="shared" si="29"/>
        <v>0</v>
      </c>
      <c r="L72" s="100">
        <f t="shared" si="29"/>
        <v>0</v>
      </c>
      <c r="M72" s="100">
        <f t="shared" si="29"/>
        <v>0</v>
      </c>
      <c r="N72" s="100">
        <f t="shared" si="29"/>
        <v>0</v>
      </c>
      <c r="O72" s="103">
        <f>SUM(C72:N72)</f>
        <v>0</v>
      </c>
    </row>
    <row r="73" spans="1:15" s="64" customFormat="1" x14ac:dyDescent="0.3">
      <c r="A73" s="160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 t="shared" si="28"/>
        <v>0</v>
      </c>
    </row>
    <row r="74" spans="1:15" s="64" customFormat="1" x14ac:dyDescent="0.3">
      <c r="A74" s="161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24">
        <f>SUM(C71:N71)</f>
        <v>0</v>
      </c>
    </row>
    <row r="75" spans="1:15" s="102" customFormat="1" ht="12" x14ac:dyDescent="0.25">
      <c r="A75" s="256"/>
      <c r="B75" s="99" t="s">
        <v>16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3">
        <f t="shared" ref="O75:O77" si="30">SUM(C75:N75)</f>
        <v>0</v>
      </c>
    </row>
    <row r="76" spans="1:15" s="102" customFormat="1" ht="12" x14ac:dyDescent="0.25">
      <c r="A76" s="257"/>
      <c r="B76" s="99" t="s">
        <v>29</v>
      </c>
      <c r="C76" s="100">
        <f t="shared" ref="C76:N76" si="31">IF(ISBLANK(C78),C77,C78)</f>
        <v>0</v>
      </c>
      <c r="D76" s="100">
        <f t="shared" si="31"/>
        <v>0</v>
      </c>
      <c r="E76" s="100">
        <f t="shared" si="31"/>
        <v>0</v>
      </c>
      <c r="F76" s="100">
        <f t="shared" si="31"/>
        <v>0</v>
      </c>
      <c r="G76" s="100">
        <f t="shared" si="31"/>
        <v>0</v>
      </c>
      <c r="H76" s="100">
        <f t="shared" si="31"/>
        <v>0</v>
      </c>
      <c r="I76" s="100">
        <f t="shared" si="31"/>
        <v>0</v>
      </c>
      <c r="J76" s="100">
        <f t="shared" si="31"/>
        <v>0</v>
      </c>
      <c r="K76" s="100">
        <f t="shared" si="31"/>
        <v>0</v>
      </c>
      <c r="L76" s="100">
        <f t="shared" si="31"/>
        <v>0</v>
      </c>
      <c r="M76" s="100">
        <f t="shared" si="31"/>
        <v>0</v>
      </c>
      <c r="N76" s="100">
        <f t="shared" si="31"/>
        <v>0</v>
      </c>
      <c r="O76" s="103">
        <f>SUM(C76:N76)</f>
        <v>0</v>
      </c>
    </row>
    <row r="77" spans="1:15" s="64" customFormat="1" x14ac:dyDescent="0.3">
      <c r="A77" s="160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7">
        <f t="shared" si="30"/>
        <v>0</v>
      </c>
    </row>
    <row r="78" spans="1:15" s="64" customFormat="1" x14ac:dyDescent="0.3">
      <c r="A78" s="161"/>
      <c r="B78" s="7" t="s">
        <v>32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24">
        <f>SUM(C75:N75)</f>
        <v>0</v>
      </c>
    </row>
    <row r="79" spans="1:15" s="102" customFormat="1" ht="12" x14ac:dyDescent="0.25">
      <c r="A79" s="256"/>
      <c r="B79" s="99" t="s">
        <v>16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3">
        <f t="shared" ref="O79:O81" si="32">SUM(C79:N79)</f>
        <v>0</v>
      </c>
    </row>
    <row r="80" spans="1:15" s="102" customFormat="1" ht="12" x14ac:dyDescent="0.25">
      <c r="A80" s="257"/>
      <c r="B80" s="99" t="s">
        <v>29</v>
      </c>
      <c r="C80" s="100">
        <f t="shared" ref="C80:N80" si="33">IF(ISBLANK(C82),C81,C82)</f>
        <v>0</v>
      </c>
      <c r="D80" s="100">
        <f t="shared" si="33"/>
        <v>0</v>
      </c>
      <c r="E80" s="100">
        <f t="shared" si="33"/>
        <v>0</v>
      </c>
      <c r="F80" s="100">
        <f t="shared" si="33"/>
        <v>0</v>
      </c>
      <c r="G80" s="100">
        <f t="shared" si="33"/>
        <v>0</v>
      </c>
      <c r="H80" s="100">
        <f t="shared" si="33"/>
        <v>0</v>
      </c>
      <c r="I80" s="100">
        <f t="shared" si="33"/>
        <v>0</v>
      </c>
      <c r="J80" s="100">
        <f t="shared" si="33"/>
        <v>0</v>
      </c>
      <c r="K80" s="100">
        <f t="shared" si="33"/>
        <v>0</v>
      </c>
      <c r="L80" s="100">
        <f t="shared" si="33"/>
        <v>0</v>
      </c>
      <c r="M80" s="100">
        <f t="shared" si="33"/>
        <v>0</v>
      </c>
      <c r="N80" s="100">
        <f t="shared" si="33"/>
        <v>0</v>
      </c>
      <c r="O80" s="103">
        <f>SUM(C80:N80)</f>
        <v>0</v>
      </c>
    </row>
    <row r="81" spans="1:15" s="64" customFormat="1" x14ac:dyDescent="0.3">
      <c r="A81" s="160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7">
        <f t="shared" si="32"/>
        <v>0</v>
      </c>
    </row>
    <row r="82" spans="1:15" s="64" customFormat="1" x14ac:dyDescent="0.3">
      <c r="A82" s="161"/>
      <c r="B82" s="7" t="s">
        <v>32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24">
        <f>SUM(C79:N79)</f>
        <v>0</v>
      </c>
    </row>
    <row r="83" spans="1:15" s="102" customFormat="1" ht="12" x14ac:dyDescent="0.25">
      <c r="A83" s="256"/>
      <c r="B83" s="99" t="s">
        <v>16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3">
        <f t="shared" ref="O83:O85" si="34">SUM(C83:N83)</f>
        <v>0</v>
      </c>
    </row>
    <row r="84" spans="1:15" s="102" customFormat="1" ht="12" x14ac:dyDescent="0.25">
      <c r="A84" s="257"/>
      <c r="B84" s="99" t="s">
        <v>29</v>
      </c>
      <c r="C84" s="100">
        <f t="shared" ref="C84:N84" si="35">IF(ISBLANK(C86),C85,C86)</f>
        <v>0</v>
      </c>
      <c r="D84" s="100">
        <f t="shared" si="35"/>
        <v>0</v>
      </c>
      <c r="E84" s="100">
        <f t="shared" si="35"/>
        <v>0</v>
      </c>
      <c r="F84" s="100">
        <f t="shared" si="35"/>
        <v>0</v>
      </c>
      <c r="G84" s="100">
        <f t="shared" si="35"/>
        <v>0</v>
      </c>
      <c r="H84" s="100">
        <f t="shared" si="35"/>
        <v>0</v>
      </c>
      <c r="I84" s="100">
        <f t="shared" si="35"/>
        <v>0</v>
      </c>
      <c r="J84" s="100">
        <f t="shared" si="35"/>
        <v>0</v>
      </c>
      <c r="K84" s="100">
        <f t="shared" si="35"/>
        <v>0</v>
      </c>
      <c r="L84" s="100">
        <f t="shared" si="35"/>
        <v>0</v>
      </c>
      <c r="M84" s="100">
        <f t="shared" si="35"/>
        <v>0</v>
      </c>
      <c r="N84" s="100">
        <f t="shared" si="35"/>
        <v>0</v>
      </c>
      <c r="O84" s="103">
        <f>SUM(C84:N84)</f>
        <v>0</v>
      </c>
    </row>
    <row r="85" spans="1:15" s="64" customFormat="1" x14ac:dyDescent="0.3">
      <c r="A85" s="160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7">
        <f t="shared" si="34"/>
        <v>0</v>
      </c>
    </row>
    <row r="86" spans="1:15" s="64" customFormat="1" x14ac:dyDescent="0.3">
      <c r="A86" s="161"/>
      <c r="B86" s="7" t="s">
        <v>32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24">
        <f>SUM(C83:N83)</f>
        <v>0</v>
      </c>
    </row>
    <row r="87" spans="1:15" s="102" customFormat="1" ht="12" x14ac:dyDescent="0.25">
      <c r="A87" s="256"/>
      <c r="B87" s="99" t="s">
        <v>16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3">
        <f t="shared" ref="O87:O89" si="36">SUM(C87:N87)</f>
        <v>0</v>
      </c>
    </row>
    <row r="88" spans="1:15" s="102" customFormat="1" ht="12" x14ac:dyDescent="0.25">
      <c r="A88" s="257"/>
      <c r="B88" s="99" t="s">
        <v>29</v>
      </c>
      <c r="C88" s="100">
        <f t="shared" ref="C88:N88" si="37">IF(ISBLANK(C90),C89,C90)</f>
        <v>0</v>
      </c>
      <c r="D88" s="100">
        <f t="shared" si="37"/>
        <v>0</v>
      </c>
      <c r="E88" s="100">
        <f t="shared" si="37"/>
        <v>0</v>
      </c>
      <c r="F88" s="100">
        <f t="shared" si="37"/>
        <v>0</v>
      </c>
      <c r="G88" s="100">
        <f t="shared" si="37"/>
        <v>0</v>
      </c>
      <c r="H88" s="100">
        <f t="shared" si="37"/>
        <v>0</v>
      </c>
      <c r="I88" s="100">
        <f t="shared" si="37"/>
        <v>0</v>
      </c>
      <c r="J88" s="100">
        <f t="shared" si="37"/>
        <v>0</v>
      </c>
      <c r="K88" s="100">
        <f t="shared" si="37"/>
        <v>0</v>
      </c>
      <c r="L88" s="100">
        <f t="shared" si="37"/>
        <v>0</v>
      </c>
      <c r="M88" s="100">
        <f t="shared" si="37"/>
        <v>0</v>
      </c>
      <c r="N88" s="100">
        <f t="shared" si="37"/>
        <v>0</v>
      </c>
      <c r="O88" s="103">
        <f>SUM(C88:N88)</f>
        <v>0</v>
      </c>
    </row>
    <row r="89" spans="1:15" s="64" customFormat="1" x14ac:dyDescent="0.3">
      <c r="A89" s="160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7">
        <f t="shared" si="36"/>
        <v>0</v>
      </c>
    </row>
    <row r="90" spans="1:15" s="64" customFormat="1" x14ac:dyDescent="0.3">
      <c r="A90" s="161"/>
      <c r="B90" s="7" t="s">
        <v>32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24">
        <f>SUM(C87:N87)</f>
        <v>0</v>
      </c>
    </row>
    <row r="91" spans="1:15" s="102" customFormat="1" ht="12" x14ac:dyDescent="0.25">
      <c r="A91" s="256"/>
      <c r="B91" s="99" t="s">
        <v>16</v>
      </c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3">
        <f t="shared" ref="O91:O93" si="38">SUM(C91:N91)</f>
        <v>0</v>
      </c>
    </row>
    <row r="92" spans="1:15" s="102" customFormat="1" ht="12" x14ac:dyDescent="0.25">
      <c r="A92" s="257"/>
      <c r="B92" s="99" t="s">
        <v>29</v>
      </c>
      <c r="C92" s="100">
        <f t="shared" ref="C92:N92" si="39">IF(ISBLANK(C94),C93,C94)</f>
        <v>0</v>
      </c>
      <c r="D92" s="100">
        <f t="shared" si="39"/>
        <v>0</v>
      </c>
      <c r="E92" s="100">
        <f t="shared" si="39"/>
        <v>0</v>
      </c>
      <c r="F92" s="100">
        <f t="shared" si="39"/>
        <v>0</v>
      </c>
      <c r="G92" s="100">
        <f t="shared" si="39"/>
        <v>0</v>
      </c>
      <c r="H92" s="100">
        <f t="shared" si="39"/>
        <v>0</v>
      </c>
      <c r="I92" s="100">
        <f t="shared" si="39"/>
        <v>0</v>
      </c>
      <c r="J92" s="100">
        <f t="shared" si="39"/>
        <v>0</v>
      </c>
      <c r="K92" s="100">
        <f t="shared" si="39"/>
        <v>0</v>
      </c>
      <c r="L92" s="100">
        <f t="shared" si="39"/>
        <v>0</v>
      </c>
      <c r="M92" s="100">
        <f t="shared" si="39"/>
        <v>0</v>
      </c>
      <c r="N92" s="100">
        <f t="shared" si="39"/>
        <v>0</v>
      </c>
      <c r="O92" s="103">
        <f>SUM(C92:N92)</f>
        <v>0</v>
      </c>
    </row>
    <row r="93" spans="1:15" s="64" customFormat="1" x14ac:dyDescent="0.3">
      <c r="A93" s="160"/>
      <c r="B93" s="5" t="s">
        <v>31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7">
        <f t="shared" si="38"/>
        <v>0</v>
      </c>
    </row>
    <row r="94" spans="1:15" s="64" customFormat="1" x14ac:dyDescent="0.3">
      <c r="A94" s="161"/>
      <c r="B94" s="7" t="s">
        <v>32</v>
      </c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24">
        <f>SUM(C91:N91)</f>
        <v>0</v>
      </c>
    </row>
    <row r="95" spans="1:15" s="102" customFormat="1" ht="12" x14ac:dyDescent="0.25">
      <c r="A95" s="256"/>
      <c r="B95" s="99" t="s">
        <v>16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3">
        <f t="shared" ref="O95:O97" si="40">SUM(C95:N95)</f>
        <v>0</v>
      </c>
    </row>
    <row r="96" spans="1:15" s="102" customFormat="1" ht="12" x14ac:dyDescent="0.25">
      <c r="A96" s="257"/>
      <c r="B96" s="99" t="s">
        <v>29</v>
      </c>
      <c r="C96" s="100">
        <f t="shared" ref="C96:N96" si="41">IF(ISBLANK(C98),C97,C98)</f>
        <v>0</v>
      </c>
      <c r="D96" s="100">
        <f t="shared" si="41"/>
        <v>0</v>
      </c>
      <c r="E96" s="100">
        <f t="shared" si="41"/>
        <v>0</v>
      </c>
      <c r="F96" s="100">
        <f t="shared" si="41"/>
        <v>0</v>
      </c>
      <c r="G96" s="100">
        <f t="shared" si="41"/>
        <v>0</v>
      </c>
      <c r="H96" s="100">
        <f t="shared" si="41"/>
        <v>0</v>
      </c>
      <c r="I96" s="100">
        <f t="shared" si="41"/>
        <v>0</v>
      </c>
      <c r="J96" s="100">
        <f t="shared" si="41"/>
        <v>0</v>
      </c>
      <c r="K96" s="100">
        <f t="shared" si="41"/>
        <v>0</v>
      </c>
      <c r="L96" s="100">
        <f t="shared" si="41"/>
        <v>0</v>
      </c>
      <c r="M96" s="100">
        <f t="shared" si="41"/>
        <v>0</v>
      </c>
      <c r="N96" s="100">
        <f t="shared" si="41"/>
        <v>0</v>
      </c>
      <c r="O96" s="103">
        <f>SUM(C96:N96)</f>
        <v>0</v>
      </c>
    </row>
    <row r="97" spans="1:15" s="64" customFormat="1" x14ac:dyDescent="0.3">
      <c r="A97" s="160"/>
      <c r="B97" s="5" t="s">
        <v>31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7">
        <f t="shared" si="40"/>
        <v>0</v>
      </c>
    </row>
    <row r="98" spans="1:15" s="64" customFormat="1" x14ac:dyDescent="0.3">
      <c r="A98" s="161"/>
      <c r="B98" s="7" t="s">
        <v>32</v>
      </c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24">
        <f>SUM(C95:N95)</f>
        <v>0</v>
      </c>
    </row>
    <row r="99" spans="1:15" s="102" customFormat="1" ht="12" x14ac:dyDescent="0.25">
      <c r="A99" s="253"/>
    </row>
    <row r="100" spans="1:15" s="102" customFormat="1" ht="12" x14ac:dyDescent="0.25">
      <c r="A100" s="252"/>
    </row>
    <row r="101" spans="1:15" s="64" customFormat="1" x14ac:dyDescent="0.3">
      <c r="A101" s="159"/>
    </row>
    <row r="102" spans="1:15" s="64" customFormat="1" x14ac:dyDescent="0.3">
      <c r="A102" s="159"/>
    </row>
    <row r="103" spans="1:15" s="102" customFormat="1" ht="12" x14ac:dyDescent="0.25">
      <c r="A103" s="252"/>
    </row>
    <row r="104" spans="1:15" s="102" customFormat="1" ht="12" x14ac:dyDescent="0.25">
      <c r="A104" s="252"/>
    </row>
    <row r="105" spans="1:15" s="64" customFormat="1" x14ac:dyDescent="0.3">
      <c r="A105" s="159"/>
    </row>
    <row r="106" spans="1:15" s="64" customFormat="1" x14ac:dyDescent="0.3">
      <c r="A106" s="159"/>
    </row>
    <row r="107" spans="1:15" s="102" customFormat="1" ht="12" x14ac:dyDescent="0.25">
      <c r="A107" s="252"/>
    </row>
    <row r="108" spans="1:15" s="102" customFormat="1" ht="12" x14ac:dyDescent="0.25">
      <c r="A108" s="252"/>
    </row>
    <row r="109" spans="1:15" s="64" customFormat="1" x14ac:dyDescent="0.3">
      <c r="A109" s="159"/>
    </row>
    <row r="110" spans="1:15" s="64" customFormat="1" x14ac:dyDescent="0.3">
      <c r="A110" s="159"/>
    </row>
    <row r="111" spans="1:15" s="102" customFormat="1" ht="12" x14ac:dyDescent="0.25">
      <c r="A111" s="252"/>
    </row>
    <row r="112" spans="1:15" s="102" customFormat="1" ht="12" x14ac:dyDescent="0.25">
      <c r="A112" s="252"/>
    </row>
    <row r="113" spans="1:1" s="64" customFormat="1" x14ac:dyDescent="0.3">
      <c r="A113" s="159"/>
    </row>
    <row r="114" spans="1:1" s="64" customFormat="1" x14ac:dyDescent="0.3">
      <c r="A114" s="159"/>
    </row>
    <row r="115" spans="1:1" s="102" customFormat="1" ht="12" x14ac:dyDescent="0.25">
      <c r="A115" s="252"/>
    </row>
    <row r="116" spans="1:1" s="102" customFormat="1" ht="12" x14ac:dyDescent="0.25">
      <c r="A116" s="252"/>
    </row>
    <row r="117" spans="1:1" s="64" customFormat="1" x14ac:dyDescent="0.3">
      <c r="A117" s="159"/>
    </row>
    <row r="118" spans="1:1" s="64" customFormat="1" x14ac:dyDescent="0.3">
      <c r="A118" s="159"/>
    </row>
    <row r="119" spans="1:1" s="102" customFormat="1" ht="12" x14ac:dyDescent="0.25">
      <c r="A119" s="252"/>
    </row>
    <row r="120" spans="1:1" s="102" customFormat="1" ht="12" x14ac:dyDescent="0.25">
      <c r="A120" s="252"/>
    </row>
    <row r="121" spans="1:1" s="64" customFormat="1" x14ac:dyDescent="0.3">
      <c r="A121" s="159"/>
    </row>
    <row r="122" spans="1:1" s="64" customFormat="1" x14ac:dyDescent="0.3">
      <c r="A122" s="159"/>
    </row>
    <row r="123" spans="1:1" s="102" customFormat="1" ht="12" x14ac:dyDescent="0.25">
      <c r="A123" s="252"/>
    </row>
    <row r="124" spans="1:1" s="102" customFormat="1" ht="12" x14ac:dyDescent="0.25">
      <c r="A124" s="252"/>
    </row>
    <row r="125" spans="1:1" s="64" customFormat="1" ht="11.4" customHeight="1" x14ac:dyDescent="0.3">
      <c r="A125" s="159"/>
    </row>
    <row r="126" spans="1:1" s="64" customFormat="1" x14ac:dyDescent="0.3">
      <c r="A126" s="159"/>
    </row>
    <row r="127" spans="1:1" s="102" customFormat="1" ht="12" x14ac:dyDescent="0.25">
      <c r="A127" s="252"/>
    </row>
    <row r="128" spans="1:1" s="102" customFormat="1" ht="12" x14ac:dyDescent="0.25">
      <c r="A128" s="252"/>
    </row>
    <row r="129" spans="1:1" s="64" customFormat="1" x14ac:dyDescent="0.3">
      <c r="A129" s="159"/>
    </row>
    <row r="130" spans="1:1" s="64" customFormat="1" x14ac:dyDescent="0.3">
      <c r="A130" s="159"/>
    </row>
    <row r="131" spans="1:1" s="102" customFormat="1" ht="12" x14ac:dyDescent="0.25">
      <c r="A131" s="252"/>
    </row>
    <row r="132" spans="1:1" s="102" customFormat="1" ht="12" x14ac:dyDescent="0.25">
      <c r="A132" s="252"/>
    </row>
    <row r="133" spans="1:1" s="64" customFormat="1" x14ac:dyDescent="0.3">
      <c r="A133" s="159"/>
    </row>
    <row r="134" spans="1:1" s="64" customFormat="1" x14ac:dyDescent="0.3">
      <c r="A134" s="159"/>
    </row>
    <row r="135" spans="1:1" s="102" customFormat="1" ht="12" x14ac:dyDescent="0.25">
      <c r="A135" s="252"/>
    </row>
    <row r="136" spans="1:1" s="102" customFormat="1" ht="12" x14ac:dyDescent="0.25">
      <c r="A136" s="252"/>
    </row>
    <row r="137" spans="1:1" s="64" customFormat="1" x14ac:dyDescent="0.3">
      <c r="A137" s="159"/>
    </row>
    <row r="138" spans="1:1" s="64" customFormat="1" x14ac:dyDescent="0.3">
      <c r="A138" s="159"/>
    </row>
    <row r="139" spans="1:1" s="102" customFormat="1" ht="12" x14ac:dyDescent="0.25">
      <c r="A139" s="252"/>
    </row>
    <row r="140" spans="1:1" s="102" customFormat="1" ht="12" x14ac:dyDescent="0.25">
      <c r="A140" s="252"/>
    </row>
    <row r="141" spans="1:1" s="64" customFormat="1" x14ac:dyDescent="0.3">
      <c r="A141" s="159"/>
    </row>
    <row r="142" spans="1:1" s="64" customFormat="1" x14ac:dyDescent="0.3">
      <c r="A142" s="159"/>
    </row>
    <row r="143" spans="1:1" s="102" customFormat="1" ht="12" x14ac:dyDescent="0.25">
      <c r="A143" s="252"/>
    </row>
    <row r="144" spans="1:1" s="102" customFormat="1" ht="12" x14ac:dyDescent="0.25">
      <c r="A144" s="252"/>
    </row>
    <row r="145" spans="1:1" s="64" customFormat="1" x14ac:dyDescent="0.3">
      <c r="A145" s="159"/>
    </row>
    <row r="146" spans="1:1" s="64" customFormat="1" x14ac:dyDescent="0.3">
      <c r="A146" s="159"/>
    </row>
    <row r="147" spans="1:1" s="102" customFormat="1" ht="12" x14ac:dyDescent="0.25">
      <c r="A147" s="252"/>
    </row>
    <row r="148" spans="1:1" s="102" customFormat="1" ht="12" x14ac:dyDescent="0.25">
      <c r="A148" s="252"/>
    </row>
    <row r="149" spans="1:1" s="64" customFormat="1" x14ac:dyDescent="0.3">
      <c r="A149" s="159"/>
    </row>
    <row r="150" spans="1:1" s="64" customFormat="1" x14ac:dyDescent="0.3">
      <c r="A150" s="159"/>
    </row>
    <row r="151" spans="1:1" s="102" customFormat="1" ht="12" x14ac:dyDescent="0.25">
      <c r="A151" s="252"/>
    </row>
    <row r="152" spans="1:1" s="102" customFormat="1" ht="12" x14ac:dyDescent="0.25">
      <c r="A152" s="252"/>
    </row>
    <row r="153" spans="1:1" s="64" customFormat="1" x14ac:dyDescent="0.3">
      <c r="A153" s="159"/>
    </row>
    <row r="154" spans="1:1" s="64" customFormat="1" x14ac:dyDescent="0.3">
      <c r="A154" s="159"/>
    </row>
    <row r="155" spans="1:1" s="102" customFormat="1" ht="12" x14ac:dyDescent="0.25">
      <c r="A155" s="252"/>
    </row>
    <row r="156" spans="1:1" s="102" customFormat="1" ht="12" x14ac:dyDescent="0.25">
      <c r="A156" s="252"/>
    </row>
    <row r="157" spans="1:1" s="64" customFormat="1" x14ac:dyDescent="0.3">
      <c r="A157" s="159"/>
    </row>
    <row r="158" spans="1:1" s="64" customFormat="1" x14ac:dyDescent="0.3">
      <c r="A158" s="159"/>
    </row>
    <row r="159" spans="1:1" s="102" customFormat="1" ht="12" x14ac:dyDescent="0.25">
      <c r="A159" s="252"/>
    </row>
    <row r="160" spans="1:1" s="102" customFormat="1" ht="12" x14ac:dyDescent="0.25">
      <c r="A160" s="252"/>
    </row>
    <row r="161" spans="1:1" s="64" customFormat="1" x14ac:dyDescent="0.3">
      <c r="A161" s="159"/>
    </row>
    <row r="162" spans="1:1" s="64" customFormat="1" x14ac:dyDescent="0.3">
      <c r="A162" s="159"/>
    </row>
    <row r="163" spans="1:1" s="102" customFormat="1" ht="12" x14ac:dyDescent="0.25">
      <c r="A163" s="252"/>
    </row>
    <row r="164" spans="1:1" s="102" customFormat="1" ht="12" x14ac:dyDescent="0.25">
      <c r="A164" s="252"/>
    </row>
    <row r="165" spans="1:1" s="64" customFormat="1" x14ac:dyDescent="0.3">
      <c r="A165" s="159"/>
    </row>
    <row r="166" spans="1:1" s="64" customFormat="1" x14ac:dyDescent="0.3">
      <c r="A166" s="159"/>
    </row>
    <row r="167" spans="1:1" s="102" customFormat="1" ht="12" x14ac:dyDescent="0.25">
      <c r="A167" s="252"/>
    </row>
    <row r="168" spans="1:1" s="102" customFormat="1" ht="12" x14ac:dyDescent="0.25">
      <c r="A168" s="252"/>
    </row>
    <row r="169" spans="1:1" s="64" customFormat="1" x14ac:dyDescent="0.3">
      <c r="A169" s="159"/>
    </row>
    <row r="170" spans="1:1" s="64" customFormat="1" x14ac:dyDescent="0.3">
      <c r="A170" s="159"/>
    </row>
    <row r="171" spans="1:1" s="102" customFormat="1" ht="12" x14ac:dyDescent="0.25">
      <c r="A171" s="252"/>
    </row>
    <row r="172" spans="1:1" s="102" customFormat="1" ht="12" x14ac:dyDescent="0.25">
      <c r="A172" s="252"/>
    </row>
    <row r="173" spans="1:1" s="64" customFormat="1" x14ac:dyDescent="0.3">
      <c r="A173" s="159"/>
    </row>
    <row r="174" spans="1:1" s="64" customFormat="1" x14ac:dyDescent="0.3">
      <c r="A174" s="159"/>
    </row>
    <row r="175" spans="1:1" s="102" customFormat="1" ht="12" x14ac:dyDescent="0.25">
      <c r="A175" s="252"/>
    </row>
    <row r="176" spans="1:1" s="102" customFormat="1" ht="12" x14ac:dyDescent="0.25">
      <c r="A176" s="252"/>
    </row>
    <row r="177" spans="1:1" s="64" customFormat="1" x14ac:dyDescent="0.3">
      <c r="A177" s="159"/>
    </row>
    <row r="178" spans="1:1" s="64" customFormat="1" x14ac:dyDescent="0.3">
      <c r="A178" s="159"/>
    </row>
    <row r="179" spans="1:1" s="102" customFormat="1" ht="12" x14ac:dyDescent="0.25">
      <c r="A179" s="252"/>
    </row>
    <row r="180" spans="1:1" s="102" customFormat="1" ht="12" x14ac:dyDescent="0.25">
      <c r="A180" s="252"/>
    </row>
    <row r="181" spans="1:1" s="64" customFormat="1" x14ac:dyDescent="0.3">
      <c r="A181" s="159"/>
    </row>
    <row r="182" spans="1:1" s="64" customFormat="1" x14ac:dyDescent="0.3">
      <c r="A182" s="159"/>
    </row>
    <row r="183" spans="1:1" s="102" customFormat="1" ht="12" x14ac:dyDescent="0.25">
      <c r="A183" s="252"/>
    </row>
    <row r="184" spans="1:1" s="102" customFormat="1" ht="12" x14ac:dyDescent="0.25">
      <c r="A184" s="252"/>
    </row>
    <row r="185" spans="1:1" s="64" customFormat="1" x14ac:dyDescent="0.3">
      <c r="A185" s="159"/>
    </row>
    <row r="186" spans="1:1" s="64" customFormat="1" x14ac:dyDescent="0.3">
      <c r="A186" s="159"/>
    </row>
    <row r="187" spans="1:1" s="102" customFormat="1" ht="12" x14ac:dyDescent="0.25">
      <c r="A187" s="252"/>
    </row>
    <row r="188" spans="1:1" s="102" customFormat="1" ht="12" x14ac:dyDescent="0.25">
      <c r="A188" s="252"/>
    </row>
    <row r="189" spans="1:1" s="64" customFormat="1" x14ac:dyDescent="0.3">
      <c r="A189" s="159"/>
    </row>
    <row r="190" spans="1:1" s="64" customFormat="1" x14ac:dyDescent="0.3">
      <c r="A190" s="159"/>
    </row>
    <row r="191" spans="1:1" s="102" customFormat="1" ht="12" x14ac:dyDescent="0.25">
      <c r="A191" s="252"/>
    </row>
    <row r="192" spans="1:1" s="102" customFormat="1" ht="12" x14ac:dyDescent="0.25">
      <c r="A192" s="252"/>
    </row>
    <row r="193" spans="1:1" s="64" customFormat="1" x14ac:dyDescent="0.3">
      <c r="A193" s="159"/>
    </row>
    <row r="194" spans="1:1" s="64" customFormat="1" x14ac:dyDescent="0.3">
      <c r="A194" s="159"/>
    </row>
    <row r="195" spans="1:1" s="102" customFormat="1" ht="12" x14ac:dyDescent="0.25">
      <c r="A195" s="252"/>
    </row>
    <row r="196" spans="1:1" s="102" customFormat="1" ht="12" x14ac:dyDescent="0.25">
      <c r="A196" s="252"/>
    </row>
    <row r="197" spans="1:1" s="64" customFormat="1" x14ac:dyDescent="0.3">
      <c r="A197" s="159"/>
    </row>
    <row r="198" spans="1:1" s="64" customFormat="1" x14ac:dyDescent="0.3">
      <c r="A198" s="159"/>
    </row>
    <row r="199" spans="1:1" s="102" customFormat="1" ht="12" x14ac:dyDescent="0.25">
      <c r="A199" s="252"/>
    </row>
    <row r="200" spans="1:1" s="102" customFormat="1" ht="12" x14ac:dyDescent="0.25">
      <c r="A200" s="252"/>
    </row>
    <row r="201" spans="1:1" s="64" customFormat="1" x14ac:dyDescent="0.3">
      <c r="A201" s="159"/>
    </row>
    <row r="202" spans="1:1" s="64" customFormat="1" x14ac:dyDescent="0.3">
      <c r="A202" s="159"/>
    </row>
    <row r="203" spans="1:1" s="102" customFormat="1" ht="12" x14ac:dyDescent="0.25">
      <c r="A203" s="252"/>
    </row>
    <row r="204" spans="1:1" s="102" customFormat="1" ht="12" x14ac:dyDescent="0.25">
      <c r="A204" s="252"/>
    </row>
    <row r="205" spans="1:1" s="64" customFormat="1" x14ac:dyDescent="0.3">
      <c r="A205" s="159"/>
    </row>
    <row r="206" spans="1:1" s="64" customFormat="1" x14ac:dyDescent="0.3">
      <c r="A206" s="159"/>
    </row>
    <row r="207" spans="1:1" s="102" customFormat="1" ht="12" x14ac:dyDescent="0.25">
      <c r="A207" s="252"/>
    </row>
    <row r="208" spans="1:1" s="102" customFormat="1" ht="12" x14ac:dyDescent="0.25">
      <c r="A208" s="252"/>
    </row>
    <row r="209" spans="1:1" s="64" customFormat="1" x14ac:dyDescent="0.3">
      <c r="A209" s="159"/>
    </row>
    <row r="210" spans="1:1" s="64" customFormat="1" x14ac:dyDescent="0.3">
      <c r="A210" s="159"/>
    </row>
    <row r="211" spans="1:1" s="102" customFormat="1" ht="12" x14ac:dyDescent="0.25">
      <c r="A211" s="252"/>
    </row>
    <row r="212" spans="1:1" s="102" customFormat="1" ht="12" x14ac:dyDescent="0.25">
      <c r="A212" s="252"/>
    </row>
    <row r="213" spans="1:1" s="64" customFormat="1" x14ac:dyDescent="0.3">
      <c r="A213" s="159"/>
    </row>
    <row r="214" spans="1:1" s="64" customFormat="1" x14ac:dyDescent="0.3">
      <c r="A214" s="159"/>
    </row>
    <row r="215" spans="1:1" s="102" customFormat="1" ht="12" x14ac:dyDescent="0.25">
      <c r="A215" s="252"/>
    </row>
    <row r="216" spans="1:1" s="102" customFormat="1" ht="12" x14ac:dyDescent="0.25">
      <c r="A216" s="252"/>
    </row>
    <row r="217" spans="1:1" s="64" customFormat="1" x14ac:dyDescent="0.3">
      <c r="A217" s="107"/>
    </row>
    <row r="218" spans="1:1" s="64" customFormat="1" x14ac:dyDescent="0.3">
      <c r="A218" s="107"/>
    </row>
  </sheetData>
  <mergeCells count="54">
    <mergeCell ref="A207:A208"/>
    <mergeCell ref="A211:A212"/>
    <mergeCell ref="A215:A216"/>
    <mergeCell ref="A3:A6"/>
    <mergeCell ref="A187:A188"/>
    <mergeCell ref="A191:A192"/>
    <mergeCell ref="A195:A196"/>
    <mergeCell ref="A199:A200"/>
    <mergeCell ref="A203:A204"/>
    <mergeCell ref="A167:A168"/>
    <mergeCell ref="A171:A172"/>
    <mergeCell ref="A175:A176"/>
    <mergeCell ref="A179:A180"/>
    <mergeCell ref="A183:A184"/>
    <mergeCell ref="A147:A148"/>
    <mergeCell ref="A151:A152"/>
    <mergeCell ref="A159:A160"/>
    <mergeCell ref="A163:A164"/>
    <mergeCell ref="A127:A128"/>
    <mergeCell ref="A131:A132"/>
    <mergeCell ref="A135:A136"/>
    <mergeCell ref="A139:A140"/>
    <mergeCell ref="A143:A144"/>
    <mergeCell ref="A111:A112"/>
    <mergeCell ref="A115:A116"/>
    <mergeCell ref="A119:A120"/>
    <mergeCell ref="A123:A124"/>
    <mergeCell ref="A155:A156"/>
    <mergeCell ref="A107:A108"/>
    <mergeCell ref="A103:A104"/>
    <mergeCell ref="A71:A72"/>
    <mergeCell ref="A75:A76"/>
    <mergeCell ref="A79:A80"/>
    <mergeCell ref="A99:A100"/>
    <mergeCell ref="A1:O1"/>
    <mergeCell ref="A11:A12"/>
    <mergeCell ref="A15:A16"/>
    <mergeCell ref="A19:A20"/>
    <mergeCell ref="A23:A24"/>
    <mergeCell ref="A27:A28"/>
    <mergeCell ref="A83:A84"/>
    <mergeCell ref="A87:A88"/>
    <mergeCell ref="A91:A92"/>
    <mergeCell ref="A95:A96"/>
    <mergeCell ref="A31:A32"/>
    <mergeCell ref="A35:A36"/>
    <mergeCell ref="A39:A40"/>
    <mergeCell ref="A43:A44"/>
    <mergeCell ref="A47:A48"/>
    <mergeCell ref="A51:A52"/>
    <mergeCell ref="A55:A56"/>
    <mergeCell ref="A59:A60"/>
    <mergeCell ref="A63:A64"/>
    <mergeCell ref="A67:A68"/>
  </mergeCells>
  <conditionalFormatting sqref="C6:N6">
    <cfRule type="cellIs" dxfId="7" priority="1" operator="greaterThan">
      <formula>C5*1.15</formula>
    </cfRule>
    <cfRule type="cellIs" dxfId="6" priority="2" operator="lessThan">
      <formula>C5*0.85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C7FD-0D7D-487C-B225-AACA021F0AA5}">
  <sheetPr codeName="Sheet20"/>
  <dimension ref="A1:V218"/>
  <sheetViews>
    <sheetView zoomScale="10" zoomScaleNormal="10" workbookViewId="0">
      <pane xSplit="1" ySplit="2" topLeftCell="K3" activePane="bottomRight" state="frozen"/>
      <selection pane="topRight" activeCell="M13" sqref="M13"/>
      <selection pane="bottomLeft" activeCell="M13" sqref="M13"/>
      <selection pane="bottomRight" activeCell="M13" sqref="M13"/>
    </sheetView>
  </sheetViews>
  <sheetFormatPr defaultColWidth="9.109375" defaultRowHeight="14.4" x14ac:dyDescent="0.3"/>
  <cols>
    <col min="1" max="1" width="28.5546875" style="54" customWidth="1"/>
    <col min="2" max="2" width="22.88671875" style="52" bestFit="1" customWidth="1"/>
    <col min="3" max="15" width="13.5546875" style="52" customWidth="1"/>
    <col min="16" max="16384" width="9.109375" style="52"/>
  </cols>
  <sheetData>
    <row r="1" spans="1:22" ht="33" customHeight="1" x14ac:dyDescent="0.6">
      <c r="A1" s="232" t="s">
        <v>414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22" x14ac:dyDescent="0.3">
      <c r="A2" s="68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69" t="s">
        <v>7</v>
      </c>
      <c r="J2" s="69" t="s">
        <v>8</v>
      </c>
      <c r="K2" s="69" t="s">
        <v>9</v>
      </c>
      <c r="L2" s="69" t="s">
        <v>10</v>
      </c>
      <c r="M2" s="69" t="s">
        <v>11</v>
      </c>
      <c r="N2" s="69" t="s">
        <v>12</v>
      </c>
      <c r="O2" s="69" t="s">
        <v>13</v>
      </c>
    </row>
    <row r="3" spans="1:22" s="102" customFormat="1" ht="14.4" customHeight="1" x14ac:dyDescent="0.25">
      <c r="A3" s="239" t="s">
        <v>15</v>
      </c>
      <c r="B3" s="181" t="s">
        <v>16</v>
      </c>
      <c r="C3" s="182">
        <f>SUMIFS(C$11:C988,$B$11:$B988,"Actual 2024")</f>
        <v>0</v>
      </c>
      <c r="D3" s="182">
        <f>SUMIFS(D$11:D988,$B$11:$B988,"Actual 2024")</f>
        <v>0</v>
      </c>
      <c r="E3" s="182">
        <f>SUMIFS(E$11:E988,$B$11:$B988,"Actual 2024")</f>
        <v>84.71</v>
      </c>
      <c r="F3" s="182">
        <f>SUMIFS(F$11:F988,$B$11:$B988,"Actual 2024")</f>
        <v>0</v>
      </c>
      <c r="G3" s="182">
        <f>SUMIFS(G$11:G988,$B$11:$B988,"Actual 2024")</f>
        <v>0</v>
      </c>
      <c r="H3" s="182">
        <f>SUMIFS(H$11:H988,$B$11:$B988,"Actual 2024")</f>
        <v>0</v>
      </c>
      <c r="I3" s="185">
        <f>SUMIFS(I$11:I988,$B$11:$B988,"Actual 2024")</f>
        <v>0</v>
      </c>
      <c r="J3" s="185">
        <f>SUMIFS(J$11:J988,$B$11:$B988,"Actual 2024")</f>
        <v>0</v>
      </c>
      <c r="K3" s="185">
        <f>SUMIFS(K$11:K988,$B$11:$B988,"Actual 2024")</f>
        <v>225</v>
      </c>
      <c r="L3" s="185">
        <f>SUMIFS(L$11:L988,$B$11:$B988,"Actual 2024")</f>
        <v>0</v>
      </c>
      <c r="M3" s="185">
        <f>SUMIFS(M$11:M988,$B$11:$B988,"Actual 2024")</f>
        <v>573.71</v>
      </c>
      <c r="N3" s="185">
        <f>SUMIFS(N$11:N988,$B$11:$B988,"Actual 2024")</f>
        <v>0</v>
      </c>
      <c r="O3" s="183">
        <f>SUMIFS(O$11:O988,$B$11:$B988,"Actual 2024")</f>
        <v>883.42000000000007</v>
      </c>
      <c r="P3" s="102">
        <v>316.89</v>
      </c>
    </row>
    <row r="4" spans="1:22" s="102" customFormat="1" ht="14.4" customHeight="1" x14ac:dyDescent="0.25">
      <c r="A4" s="240"/>
      <c r="B4" s="184" t="s">
        <v>27</v>
      </c>
      <c r="C4" s="189">
        <f>SUMIFS(C$11:C988,$B$11:$B988,"Estimated")</f>
        <v>0</v>
      </c>
      <c r="D4" s="189">
        <f>SUMIFS(D$11:D988,$B$11:$B988,"Estimated")</f>
        <v>0</v>
      </c>
      <c r="E4" s="189">
        <f>SUMIFS(E$11:E988,$B$11:$B988,"Estimated")</f>
        <v>0</v>
      </c>
      <c r="F4" s="189">
        <f>SUMIFS(F$11:F988,$B$11:$B988,"Estimated")</f>
        <v>0</v>
      </c>
      <c r="G4" s="189">
        <f>SUMIFS(G$11:G988,$B$11:$B988,"Estimated")</f>
        <v>0</v>
      </c>
      <c r="H4" s="189">
        <f>SUMIFS(H$11:H988,$B$11:$B988,"Estimated")</f>
        <v>0</v>
      </c>
      <c r="I4" s="192">
        <f>SUMIFS(I$11:I988,$B$11:$B988,"Estimated")</f>
        <v>0</v>
      </c>
      <c r="J4" s="192">
        <f>SUMIFS(J$11:J988,$B$11:$B988,"Estimated")</f>
        <v>0</v>
      </c>
      <c r="K4" s="192">
        <f>SUMIFS(K$11:K988,$B$11:$B988,"Estimated")</f>
        <v>0</v>
      </c>
      <c r="L4" s="192">
        <f>SUMIFS(L$11:L988,$B$11:$B988,"Estimated")</f>
        <v>0</v>
      </c>
      <c r="M4" s="192">
        <f>SUMIFS(M$11:M988,$B$11:$B988,"Estimated")</f>
        <v>0</v>
      </c>
      <c r="N4" s="192">
        <f>SUMIFS(N$11:N988,$B$11:$B988,"Estimated")</f>
        <v>0</v>
      </c>
      <c r="O4" s="191">
        <f>SUMIFS(O$11:O988,$B$11:$B988,"Estimated")</f>
        <v>0</v>
      </c>
    </row>
    <row r="5" spans="1:22" s="166" customFormat="1" ht="14.4" customHeight="1" x14ac:dyDescent="0.3">
      <c r="A5" s="240"/>
      <c r="B5" s="162" t="s">
        <v>18</v>
      </c>
      <c r="C5" s="163">
        <v>0</v>
      </c>
      <c r="D5" s="163">
        <v>0</v>
      </c>
      <c r="E5" s="163">
        <v>0</v>
      </c>
      <c r="F5" s="163">
        <v>0</v>
      </c>
      <c r="G5" s="163">
        <v>0</v>
      </c>
      <c r="H5" s="163">
        <v>0</v>
      </c>
      <c r="I5" s="163">
        <v>0</v>
      </c>
      <c r="J5" s="163">
        <v>0</v>
      </c>
      <c r="K5" s="163">
        <v>0</v>
      </c>
      <c r="L5" s="163">
        <v>0</v>
      </c>
      <c r="M5" s="163">
        <v>0</v>
      </c>
      <c r="N5" s="163">
        <v>0</v>
      </c>
      <c r="O5" s="168">
        <f t="shared" ref="O5" si="0">SUM(C5:N5)</f>
        <v>0</v>
      </c>
    </row>
    <row r="6" spans="1:22" s="166" customFormat="1" ht="15" thickBot="1" x14ac:dyDescent="0.35">
      <c r="A6" s="241"/>
      <c r="B6" s="174" t="s">
        <v>19</v>
      </c>
      <c r="C6" s="175">
        <f>SUMIFS(C$11:C993,$B$11:$B993,"Actual")</f>
        <v>0</v>
      </c>
      <c r="D6" s="175">
        <f>SUMIFS(D$11:D993,$B$11:$B993,"Actual")</f>
        <v>0</v>
      </c>
      <c r="E6" s="175">
        <f>SUMIFS(E$11:E993,$B$11:$B993,"Actual")</f>
        <v>0</v>
      </c>
      <c r="F6" s="175">
        <f>SUMIFS(F$11:F993,$B$11:$B993,"Actual")</f>
        <v>0</v>
      </c>
      <c r="G6" s="175">
        <f>SUMIFS(G$11:G993,$B$11:$B993,"Actual")</f>
        <v>54.07</v>
      </c>
      <c r="H6" s="175">
        <f>SUMIFS(H$11:H993,$B$11:$B993,"Actual")</f>
        <v>0</v>
      </c>
      <c r="I6" s="177">
        <f>SUMIFS(I$11:I993,$B$11:$B993,"Actual")</f>
        <v>0</v>
      </c>
      <c r="J6" s="177">
        <f>SUMIFS(J$11:J993,$B$11:$B993,"Actual")</f>
        <v>0</v>
      </c>
      <c r="K6" s="177">
        <f>SUMIFS(K$11:K993,$B$11:$B993,"Actual")</f>
        <v>407</v>
      </c>
      <c r="L6" s="177">
        <f>SUMIFS(L$11:L993,$B$11:$B993,"Actual")</f>
        <v>0</v>
      </c>
      <c r="M6" s="177">
        <f>SUMIFS(M$11:M993,$B$11:$B993,"Actual")</f>
        <v>0</v>
      </c>
      <c r="N6" s="177">
        <f>SUMIFS(N$11:N993,$B$11:$B993,"Actual")</f>
        <v>0</v>
      </c>
      <c r="O6" s="176">
        <f>SUMIFS(O$11:O993,$B$11:$B993,"Actual")</f>
        <v>461.07</v>
      </c>
      <c r="P6" s="166">
        <v>403.07</v>
      </c>
    </row>
    <row r="7" spans="1:22" s="64" customFormat="1" ht="15" thickTop="1" x14ac:dyDescent="0.3">
      <c r="A7" s="134"/>
      <c r="B7" s="70" t="s">
        <v>21</v>
      </c>
      <c r="C7" s="60">
        <f t="shared" ref="C7:I7" si="1">C5-C6</f>
        <v>0</v>
      </c>
      <c r="D7" s="60">
        <f t="shared" si="1"/>
        <v>0</v>
      </c>
      <c r="E7" s="60">
        <f t="shared" si="1"/>
        <v>0</v>
      </c>
      <c r="F7" s="60">
        <f t="shared" si="1"/>
        <v>0</v>
      </c>
      <c r="G7" s="60">
        <f t="shared" si="1"/>
        <v>-54.07</v>
      </c>
      <c r="H7" s="60">
        <f t="shared" si="1"/>
        <v>0</v>
      </c>
      <c r="I7" s="60">
        <f t="shared" si="1"/>
        <v>0</v>
      </c>
      <c r="J7" s="60">
        <f t="shared" ref="J7:N7" si="2">J5-J6</f>
        <v>0</v>
      </c>
      <c r="K7" s="60">
        <f t="shared" si="2"/>
        <v>-407</v>
      </c>
      <c r="L7" s="60">
        <f t="shared" si="2"/>
        <v>0</v>
      </c>
      <c r="M7" s="60">
        <f t="shared" si="2"/>
        <v>0</v>
      </c>
      <c r="N7" s="60">
        <f t="shared" si="2"/>
        <v>0</v>
      </c>
      <c r="O7" s="75">
        <f>O5-O6</f>
        <v>-461.07</v>
      </c>
    </row>
    <row r="8" spans="1:22" s="142" customFormat="1" x14ac:dyDescent="0.3">
      <c r="A8" s="138"/>
      <c r="B8" s="139" t="s">
        <v>23</v>
      </c>
      <c r="C8" s="140">
        <f>SUM($C6:C6)</f>
        <v>0</v>
      </c>
      <c r="D8" s="140">
        <f>SUM($C6:D6)</f>
        <v>0</v>
      </c>
      <c r="E8" s="140">
        <f>SUM($C6:E6)</f>
        <v>0</v>
      </c>
      <c r="F8" s="140">
        <f>SUM($C6:F6)</f>
        <v>0</v>
      </c>
      <c r="G8" s="140">
        <f>SUM($C6:G6)</f>
        <v>54.07</v>
      </c>
      <c r="H8" s="140">
        <f>SUM($C6:H6)</f>
        <v>54.07</v>
      </c>
      <c r="I8" s="140">
        <f>SUM($C6:I6)</f>
        <v>54.07</v>
      </c>
      <c r="J8" s="140">
        <f>SUM($C6:J6)</f>
        <v>54.07</v>
      </c>
      <c r="K8" s="140">
        <f>SUM($C6:K6)</f>
        <v>461.07</v>
      </c>
      <c r="L8" s="140">
        <f>SUM($C6:L6)</f>
        <v>461.07</v>
      </c>
      <c r="M8" s="140">
        <f>SUM($C6:M6)</f>
        <v>461.07</v>
      </c>
      <c r="N8" s="140">
        <f>SUM($C6:N6)</f>
        <v>461.07</v>
      </c>
      <c r="O8" s="141">
        <f>O6</f>
        <v>461.07</v>
      </c>
      <c r="V8" s="142" t="s">
        <v>415</v>
      </c>
    </row>
    <row r="9" spans="1:22" s="142" customFormat="1" x14ac:dyDescent="0.3">
      <c r="A9" s="143"/>
      <c r="B9" s="144" t="s">
        <v>25</v>
      </c>
      <c r="C9" s="145">
        <f>SUM($C5:C5)-C8</f>
        <v>0</v>
      </c>
      <c r="D9" s="145">
        <f>SUM($C5:D5)-D8</f>
        <v>0</v>
      </c>
      <c r="E9" s="145">
        <f>SUM($C5:E5)-E8</f>
        <v>0</v>
      </c>
      <c r="F9" s="145">
        <f>SUM($C5:F5)-F8</f>
        <v>0</v>
      </c>
      <c r="G9" s="145">
        <f>SUM($C5:G5)-G8</f>
        <v>-54.07</v>
      </c>
      <c r="H9" s="145">
        <f>SUM($C5:H5)-H8</f>
        <v>-54.07</v>
      </c>
      <c r="I9" s="145">
        <f>SUM($C5:I5)-I8</f>
        <v>-54.07</v>
      </c>
      <c r="J9" s="145">
        <f>SUM($C5:J5)-J8</f>
        <v>-54.07</v>
      </c>
      <c r="K9" s="145">
        <f>SUM($C5:K5)-K8</f>
        <v>-461.07</v>
      </c>
      <c r="L9" s="145">
        <f>SUM($C5:L5)-L8</f>
        <v>-461.07</v>
      </c>
      <c r="M9" s="145">
        <f>SUM($C5:M5)-M8</f>
        <v>-461.07</v>
      </c>
      <c r="N9" s="145">
        <f>SUM($C5:N5)-N8</f>
        <v>-461.07</v>
      </c>
      <c r="O9" s="146"/>
    </row>
    <row r="10" spans="1:22" x14ac:dyDescent="0.3"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22" s="102" customFormat="1" ht="12" x14ac:dyDescent="0.25">
      <c r="A11" s="235" t="s">
        <v>416</v>
      </c>
      <c r="B11" s="99" t="s">
        <v>16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3">
        <f t="shared" ref="O11:O22" si="3">SUM(C11:N11)</f>
        <v>0</v>
      </c>
    </row>
    <row r="12" spans="1:22" s="102" customFormat="1" ht="12" x14ac:dyDescent="0.25">
      <c r="A12" s="235"/>
      <c r="B12" s="99" t="s">
        <v>29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3">
        <f>SUM(C12:N12)</f>
        <v>0</v>
      </c>
    </row>
    <row r="13" spans="1:22" s="67" customFormat="1" ht="12.6" customHeight="1" x14ac:dyDescent="0.3">
      <c r="A13" s="155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66">
        <f t="shared" si="3"/>
        <v>0</v>
      </c>
    </row>
    <row r="14" spans="1:22" s="67" customFormat="1" ht="12.6" customHeight="1" x14ac:dyDescent="0.3">
      <c r="A14" s="156"/>
      <c r="B14" s="116" t="s">
        <v>32</v>
      </c>
      <c r="C14" s="117"/>
      <c r="D14" s="117"/>
      <c r="E14" s="117"/>
      <c r="F14" s="117"/>
      <c r="G14" s="117"/>
      <c r="H14" s="117"/>
      <c r="I14" s="117"/>
      <c r="J14" s="117"/>
      <c r="K14" s="117">
        <v>344.5</v>
      </c>
      <c r="L14" s="117"/>
      <c r="M14" s="117"/>
      <c r="N14" s="117"/>
      <c r="O14" s="118">
        <f>SUM(C14:N14)</f>
        <v>344.5</v>
      </c>
    </row>
    <row r="15" spans="1:22" s="102" customFormat="1" ht="12" x14ac:dyDescent="0.25">
      <c r="A15" s="236" t="s">
        <v>417</v>
      </c>
      <c r="B15" s="99" t="s">
        <v>16</v>
      </c>
      <c r="C15" s="100"/>
      <c r="D15" s="100"/>
      <c r="E15" s="100">
        <v>84.71</v>
      </c>
      <c r="F15" s="100"/>
      <c r="G15" s="100"/>
      <c r="H15" s="100"/>
      <c r="I15" s="100"/>
      <c r="J15" s="100"/>
      <c r="K15" s="100"/>
      <c r="L15" s="100"/>
      <c r="M15" s="100">
        <v>573.71</v>
      </c>
      <c r="N15" s="100"/>
      <c r="O15" s="103">
        <f t="shared" si="3"/>
        <v>658.42000000000007</v>
      </c>
    </row>
    <row r="16" spans="1:22" s="102" customFormat="1" ht="12" x14ac:dyDescent="0.25">
      <c r="A16" s="235"/>
      <c r="B16" s="99" t="s">
        <v>29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3">
        <f t="shared" si="3"/>
        <v>0</v>
      </c>
    </row>
    <row r="17" spans="1:15" s="67" customFormat="1" ht="12.6" customHeight="1" x14ac:dyDescent="0.3">
      <c r="A17" s="155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>
        <f>SUM(C17:N17)</f>
        <v>0</v>
      </c>
    </row>
    <row r="18" spans="1:15" s="67" customFormat="1" ht="12.6" customHeight="1" x14ac:dyDescent="0.3">
      <c r="A18" s="156"/>
      <c r="B18" s="116" t="s">
        <v>32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8">
        <f t="shared" si="3"/>
        <v>0</v>
      </c>
    </row>
    <row r="19" spans="1:15" s="102" customFormat="1" ht="12" x14ac:dyDescent="0.25">
      <c r="A19" s="236" t="s">
        <v>418</v>
      </c>
      <c r="B19" s="99" t="s">
        <v>16</v>
      </c>
      <c r="C19" s="100"/>
      <c r="D19" s="100"/>
      <c r="E19" s="100"/>
      <c r="F19" s="100"/>
      <c r="G19" s="100"/>
      <c r="H19" s="100"/>
      <c r="I19" s="100"/>
      <c r="J19" s="100"/>
      <c r="K19" s="100">
        <v>225</v>
      </c>
      <c r="L19" s="100"/>
      <c r="M19" s="100"/>
      <c r="N19" s="100"/>
      <c r="O19" s="103">
        <f t="shared" si="3"/>
        <v>225</v>
      </c>
    </row>
    <row r="20" spans="1:15" s="102" customFormat="1" ht="12" x14ac:dyDescent="0.25">
      <c r="A20" s="235"/>
      <c r="B20" s="99" t="s">
        <v>29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3">
        <f>SUM(C20:N20)</f>
        <v>0</v>
      </c>
    </row>
    <row r="21" spans="1:15" s="67" customFormat="1" ht="12.6" customHeight="1" x14ac:dyDescent="0.3">
      <c r="A21" s="155"/>
      <c r="B21" s="65" t="s">
        <v>31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66">
        <f t="shared" si="3"/>
        <v>0</v>
      </c>
    </row>
    <row r="22" spans="1:15" s="67" customFormat="1" ht="12.6" customHeight="1" x14ac:dyDescent="0.3">
      <c r="A22" s="156"/>
      <c r="B22" s="116" t="s">
        <v>32</v>
      </c>
      <c r="C22" s="117"/>
      <c r="D22" s="117"/>
      <c r="E22" s="117"/>
      <c r="F22" s="117"/>
      <c r="G22" s="117"/>
      <c r="H22" s="117"/>
      <c r="I22" s="117"/>
      <c r="J22" s="117"/>
      <c r="K22" s="117">
        <v>62.5</v>
      </c>
      <c r="L22" s="117"/>
      <c r="M22" s="117"/>
      <c r="N22" s="117"/>
      <c r="O22" s="118">
        <f t="shared" si="3"/>
        <v>62.5</v>
      </c>
    </row>
    <row r="23" spans="1:15" s="102" customFormat="1" ht="12" x14ac:dyDescent="0.25">
      <c r="A23" s="236" t="s">
        <v>419</v>
      </c>
      <c r="B23" s="99" t="s">
        <v>16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3">
        <f t="shared" ref="O23:O54" si="4">SUM(C23:N23)</f>
        <v>0</v>
      </c>
    </row>
    <row r="24" spans="1:15" s="102" customFormat="1" ht="12" x14ac:dyDescent="0.25">
      <c r="A24" s="235"/>
      <c r="B24" s="99" t="s">
        <v>29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>
        <v>0</v>
      </c>
      <c r="N24" s="100">
        <v>0</v>
      </c>
      <c r="O24" s="103">
        <f>SUM(C24:N24)</f>
        <v>0</v>
      </c>
    </row>
    <row r="25" spans="1:15" s="67" customFormat="1" ht="12.6" customHeight="1" x14ac:dyDescent="0.3">
      <c r="A25" s="155"/>
      <c r="B25" s="65" t="s">
        <v>31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66">
        <f t="shared" si="4"/>
        <v>0</v>
      </c>
    </row>
    <row r="26" spans="1:15" s="67" customFormat="1" ht="12.6" customHeight="1" x14ac:dyDescent="0.3">
      <c r="A26" s="156"/>
      <c r="B26" s="116" t="s">
        <v>32</v>
      </c>
      <c r="C26" s="117"/>
      <c r="D26" s="117"/>
      <c r="E26" s="117"/>
      <c r="F26" s="117"/>
      <c r="G26" s="117">
        <v>54.07</v>
      </c>
      <c r="H26" s="117"/>
      <c r="I26" s="117"/>
      <c r="J26" s="117"/>
      <c r="K26" s="117"/>
      <c r="L26" s="117"/>
      <c r="M26" s="117"/>
      <c r="N26" s="117"/>
      <c r="O26" s="118">
        <f t="shared" si="4"/>
        <v>54.07</v>
      </c>
    </row>
    <row r="27" spans="1:15" s="102" customFormat="1" ht="12" x14ac:dyDescent="0.25">
      <c r="A27" s="236"/>
      <c r="B27" s="99" t="s">
        <v>16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3">
        <f t="shared" si="4"/>
        <v>0</v>
      </c>
    </row>
    <row r="28" spans="1:15" s="102" customFormat="1" ht="12" x14ac:dyDescent="0.25">
      <c r="A28" s="235"/>
      <c r="B28" s="99" t="s">
        <v>29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100">
        <v>0</v>
      </c>
      <c r="N28" s="100">
        <v>0</v>
      </c>
      <c r="O28" s="103">
        <f>SUM(C28:N28)</f>
        <v>0</v>
      </c>
    </row>
    <row r="29" spans="1:15" s="67" customFormat="1" ht="12.6" customHeight="1" x14ac:dyDescent="0.3">
      <c r="A29" s="155"/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66">
        <f t="shared" si="4"/>
        <v>0</v>
      </c>
    </row>
    <row r="30" spans="1:15" s="67" customFormat="1" ht="12.6" customHeight="1" x14ac:dyDescent="0.3">
      <c r="A30" s="156"/>
      <c r="B30" s="116" t="s">
        <v>32</v>
      </c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8">
        <f t="shared" si="4"/>
        <v>0</v>
      </c>
    </row>
    <row r="31" spans="1:15" s="102" customFormat="1" ht="12" x14ac:dyDescent="0.25">
      <c r="A31" s="236"/>
      <c r="B31" s="99" t="s">
        <v>16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3">
        <f t="shared" si="4"/>
        <v>0</v>
      </c>
    </row>
    <row r="32" spans="1:15" s="102" customFormat="1" ht="12" x14ac:dyDescent="0.25">
      <c r="A32" s="235"/>
      <c r="B32" s="99" t="s">
        <v>29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3">
        <f>SUM(C32:N32)</f>
        <v>0</v>
      </c>
    </row>
    <row r="33" spans="1:15" s="67" customFormat="1" ht="12.6" customHeight="1" x14ac:dyDescent="0.3">
      <c r="A33" s="155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 t="shared" si="4"/>
        <v>0</v>
      </c>
    </row>
    <row r="34" spans="1:15" s="67" customFormat="1" ht="12.6" customHeight="1" x14ac:dyDescent="0.3">
      <c r="A34" s="156"/>
      <c r="B34" s="116" t="s">
        <v>32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8">
        <f t="shared" si="4"/>
        <v>0</v>
      </c>
    </row>
    <row r="35" spans="1:15" s="102" customFormat="1" ht="12" x14ac:dyDescent="0.25">
      <c r="A35" s="236"/>
      <c r="B35" s="99" t="s">
        <v>16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3">
        <f t="shared" si="4"/>
        <v>0</v>
      </c>
    </row>
    <row r="36" spans="1:15" s="102" customFormat="1" ht="12" x14ac:dyDescent="0.25">
      <c r="A36" s="235"/>
      <c r="B36" s="99" t="s">
        <v>29</v>
      </c>
      <c r="C36" s="100">
        <v>0</v>
      </c>
      <c r="D36" s="100">
        <v>0</v>
      </c>
      <c r="E36" s="100">
        <v>0</v>
      </c>
      <c r="F36" s="100">
        <v>0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100">
        <v>0</v>
      </c>
      <c r="N36" s="100">
        <v>0</v>
      </c>
      <c r="O36" s="103">
        <f>SUM(C36:N36)</f>
        <v>0</v>
      </c>
    </row>
    <row r="37" spans="1:15" s="67" customFormat="1" ht="12.6" customHeight="1" x14ac:dyDescent="0.3">
      <c r="A37" s="155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 t="shared" si="4"/>
        <v>0</v>
      </c>
    </row>
    <row r="38" spans="1:15" s="67" customFormat="1" ht="12.6" customHeight="1" x14ac:dyDescent="0.3">
      <c r="A38" s="156"/>
      <c r="B38" s="116" t="s">
        <v>32</v>
      </c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>
        <f t="shared" si="4"/>
        <v>0</v>
      </c>
    </row>
    <row r="39" spans="1:15" s="102" customFormat="1" ht="12" x14ac:dyDescent="0.25">
      <c r="A39" s="236"/>
      <c r="B39" s="99" t="s">
        <v>16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3">
        <f t="shared" si="4"/>
        <v>0</v>
      </c>
    </row>
    <row r="40" spans="1:15" s="102" customFormat="1" ht="12" x14ac:dyDescent="0.25">
      <c r="A40" s="235"/>
      <c r="B40" s="99" t="s">
        <v>29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100">
        <v>0</v>
      </c>
      <c r="N40" s="100">
        <v>0</v>
      </c>
      <c r="O40" s="103">
        <f>SUM(C40:N40)</f>
        <v>0</v>
      </c>
    </row>
    <row r="41" spans="1:15" s="64" customFormat="1" ht="12.6" customHeight="1" x14ac:dyDescent="0.3">
      <c r="A41" s="155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 t="shared" si="4"/>
        <v>0</v>
      </c>
    </row>
    <row r="42" spans="1:15" s="64" customFormat="1" ht="12.6" customHeight="1" x14ac:dyDescent="0.3">
      <c r="A42" s="156"/>
      <c r="B42" s="7" t="s">
        <v>32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24">
        <f t="shared" si="4"/>
        <v>0</v>
      </c>
    </row>
    <row r="43" spans="1:15" s="102" customFormat="1" ht="12" x14ac:dyDescent="0.25">
      <c r="A43" s="236"/>
      <c r="B43" s="99" t="s">
        <v>16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3">
        <f t="shared" si="4"/>
        <v>0</v>
      </c>
    </row>
    <row r="44" spans="1:15" s="102" customFormat="1" ht="12" x14ac:dyDescent="0.25">
      <c r="A44" s="235"/>
      <c r="B44" s="99" t="s">
        <v>29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100">
        <v>0</v>
      </c>
      <c r="N44" s="100">
        <v>0</v>
      </c>
      <c r="O44" s="103">
        <f>SUM(C44:N44)</f>
        <v>0</v>
      </c>
    </row>
    <row r="45" spans="1:15" s="64" customFormat="1" ht="12.6" customHeight="1" x14ac:dyDescent="0.3">
      <c r="A45" s="155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 t="shared" si="4"/>
        <v>0</v>
      </c>
    </row>
    <row r="46" spans="1:15" s="64" customFormat="1" ht="12.6" customHeight="1" x14ac:dyDescent="0.3">
      <c r="A46" s="156"/>
      <c r="B46" s="7" t="s">
        <v>32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24">
        <f t="shared" si="4"/>
        <v>0</v>
      </c>
    </row>
    <row r="47" spans="1:15" s="102" customFormat="1" ht="12" x14ac:dyDescent="0.25">
      <c r="A47" s="236"/>
      <c r="B47" s="99" t="s">
        <v>16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3">
        <f t="shared" si="4"/>
        <v>0</v>
      </c>
    </row>
    <row r="48" spans="1:15" s="102" customFormat="1" ht="12" x14ac:dyDescent="0.25">
      <c r="A48" s="235"/>
      <c r="B48" s="99" t="s">
        <v>29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3">
        <f>SUM(C48:N48)</f>
        <v>0</v>
      </c>
    </row>
    <row r="49" spans="1:15" s="64" customFormat="1" ht="12.6" customHeight="1" x14ac:dyDescent="0.3">
      <c r="A49" s="155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 t="shared" si="4"/>
        <v>0</v>
      </c>
    </row>
    <row r="50" spans="1:15" s="64" customFormat="1" ht="12.6" customHeight="1" x14ac:dyDescent="0.3">
      <c r="A50" s="156"/>
      <c r="B50" s="7" t="s">
        <v>32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24">
        <f t="shared" si="4"/>
        <v>0</v>
      </c>
    </row>
    <row r="51" spans="1:15" s="102" customFormat="1" ht="12" x14ac:dyDescent="0.25">
      <c r="A51" s="236"/>
      <c r="B51" s="99" t="s">
        <v>16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3">
        <f t="shared" si="4"/>
        <v>0</v>
      </c>
    </row>
    <row r="52" spans="1:15" s="102" customFormat="1" ht="12" x14ac:dyDescent="0.25">
      <c r="A52" s="235"/>
      <c r="B52" s="99" t="s">
        <v>29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0</v>
      </c>
      <c r="N52" s="100">
        <v>0</v>
      </c>
      <c r="O52" s="103">
        <f>SUM(C52:N52)</f>
        <v>0</v>
      </c>
    </row>
    <row r="53" spans="1:15" s="64" customFormat="1" ht="12.6" customHeight="1" x14ac:dyDescent="0.3">
      <c r="A53" s="155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 t="shared" si="4"/>
        <v>0</v>
      </c>
    </row>
    <row r="54" spans="1:15" s="64" customFormat="1" ht="12.6" customHeight="1" x14ac:dyDescent="0.3">
      <c r="A54" s="156"/>
      <c r="B54" s="7" t="s">
        <v>32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24">
        <f t="shared" si="4"/>
        <v>0</v>
      </c>
    </row>
    <row r="55" spans="1:15" s="102" customFormat="1" ht="12" x14ac:dyDescent="0.25">
      <c r="A55" s="236"/>
      <c r="B55" s="99" t="s">
        <v>16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3">
        <f t="shared" ref="O55:O86" si="5">SUM(C55:N55)</f>
        <v>0</v>
      </c>
    </row>
    <row r="56" spans="1:15" s="102" customFormat="1" ht="12" x14ac:dyDescent="0.25">
      <c r="A56" s="235"/>
      <c r="B56" s="99" t="s">
        <v>29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3">
        <f>SUM(C56:N56)</f>
        <v>0</v>
      </c>
    </row>
    <row r="57" spans="1:15" s="64" customFormat="1" ht="12.6" customHeight="1" x14ac:dyDescent="0.3">
      <c r="A57" s="155"/>
      <c r="B57" s="5" t="s">
        <v>31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7">
        <f t="shared" si="5"/>
        <v>0</v>
      </c>
    </row>
    <row r="58" spans="1:15" s="64" customFormat="1" ht="12.6" customHeight="1" x14ac:dyDescent="0.3">
      <c r="A58" s="156"/>
      <c r="B58" s="7" t="s">
        <v>32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24">
        <f t="shared" si="5"/>
        <v>0</v>
      </c>
    </row>
    <row r="59" spans="1:15" s="102" customFormat="1" ht="12" x14ac:dyDescent="0.25">
      <c r="A59" s="236"/>
      <c r="B59" s="99" t="s">
        <v>16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3">
        <f t="shared" si="5"/>
        <v>0</v>
      </c>
    </row>
    <row r="60" spans="1:15" s="102" customFormat="1" ht="12" x14ac:dyDescent="0.25">
      <c r="A60" s="235"/>
      <c r="B60" s="99" t="s">
        <v>29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3">
        <f>SUM(C60:N60)</f>
        <v>0</v>
      </c>
    </row>
    <row r="61" spans="1:15" s="64" customFormat="1" ht="12.6" customHeight="1" x14ac:dyDescent="0.3">
      <c r="A61" s="155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 t="shared" si="5"/>
        <v>0</v>
      </c>
    </row>
    <row r="62" spans="1:15" s="64" customFormat="1" ht="12.6" customHeight="1" x14ac:dyDescent="0.3">
      <c r="A62" s="156"/>
      <c r="B62" s="7" t="s">
        <v>32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24">
        <f t="shared" si="5"/>
        <v>0</v>
      </c>
    </row>
    <row r="63" spans="1:15" s="102" customFormat="1" ht="12" x14ac:dyDescent="0.25">
      <c r="A63" s="236"/>
      <c r="B63" s="99" t="s">
        <v>16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3">
        <f t="shared" si="5"/>
        <v>0</v>
      </c>
    </row>
    <row r="64" spans="1:15" s="102" customFormat="1" ht="12" x14ac:dyDescent="0.25">
      <c r="A64" s="235"/>
      <c r="B64" s="99" t="s">
        <v>29</v>
      </c>
      <c r="C64" s="100">
        <v>0</v>
      </c>
      <c r="D64" s="100">
        <v>0</v>
      </c>
      <c r="E64" s="100">
        <v>0</v>
      </c>
      <c r="F64" s="100">
        <v>0</v>
      </c>
      <c r="G64" s="100">
        <v>0</v>
      </c>
      <c r="H64" s="100">
        <v>0</v>
      </c>
      <c r="I64" s="100">
        <v>0</v>
      </c>
      <c r="J64" s="100">
        <v>0</v>
      </c>
      <c r="K64" s="100">
        <v>0</v>
      </c>
      <c r="L64" s="100">
        <v>0</v>
      </c>
      <c r="M64" s="100">
        <v>0</v>
      </c>
      <c r="N64" s="100">
        <v>0</v>
      </c>
      <c r="O64" s="103">
        <f>SUM(C64:N64)</f>
        <v>0</v>
      </c>
    </row>
    <row r="65" spans="1:15" s="64" customFormat="1" ht="12.6" customHeight="1" x14ac:dyDescent="0.3">
      <c r="A65" s="155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 t="shared" si="5"/>
        <v>0</v>
      </c>
    </row>
    <row r="66" spans="1:15" s="64" customFormat="1" ht="12.6" customHeight="1" x14ac:dyDescent="0.3">
      <c r="A66" s="156"/>
      <c r="B66" s="7" t="s">
        <v>32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24">
        <f t="shared" si="5"/>
        <v>0</v>
      </c>
    </row>
    <row r="67" spans="1:15" s="102" customFormat="1" ht="12.6" customHeight="1" x14ac:dyDescent="0.25">
      <c r="A67" s="236"/>
      <c r="B67" s="99" t="s">
        <v>16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3">
        <f t="shared" si="5"/>
        <v>0</v>
      </c>
    </row>
    <row r="68" spans="1:15" s="102" customFormat="1" ht="12" x14ac:dyDescent="0.25">
      <c r="A68" s="235"/>
      <c r="B68" s="99" t="s">
        <v>29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3">
        <f>SUM(C68:N68)</f>
        <v>0</v>
      </c>
    </row>
    <row r="69" spans="1:15" s="64" customFormat="1" x14ac:dyDescent="0.3">
      <c r="A69" s="155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 t="shared" si="5"/>
        <v>0</v>
      </c>
    </row>
    <row r="70" spans="1:15" s="64" customFormat="1" x14ac:dyDescent="0.3">
      <c r="A70" s="156"/>
      <c r="B70" s="7" t="s">
        <v>32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24">
        <f t="shared" si="5"/>
        <v>0</v>
      </c>
    </row>
    <row r="71" spans="1:15" s="102" customFormat="1" ht="12" x14ac:dyDescent="0.25">
      <c r="A71" s="236"/>
      <c r="B71" s="99" t="s">
        <v>16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3">
        <f t="shared" si="5"/>
        <v>0</v>
      </c>
    </row>
    <row r="72" spans="1:15" s="102" customFormat="1" ht="12" x14ac:dyDescent="0.25">
      <c r="A72" s="235"/>
      <c r="B72" s="99" t="s">
        <v>29</v>
      </c>
      <c r="C72" s="100">
        <v>0</v>
      </c>
      <c r="D72" s="100">
        <v>0</v>
      </c>
      <c r="E72" s="100">
        <v>0</v>
      </c>
      <c r="F72" s="100">
        <v>0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3">
        <f>SUM(C72:N72)</f>
        <v>0</v>
      </c>
    </row>
    <row r="73" spans="1:15" s="64" customFormat="1" x14ac:dyDescent="0.3">
      <c r="A73" s="155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 t="shared" si="5"/>
        <v>0</v>
      </c>
    </row>
    <row r="74" spans="1:15" s="64" customFormat="1" x14ac:dyDescent="0.3">
      <c r="A74" s="156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24">
        <f t="shared" si="5"/>
        <v>0</v>
      </c>
    </row>
    <row r="75" spans="1:15" s="102" customFormat="1" ht="12" x14ac:dyDescent="0.25">
      <c r="A75" s="236"/>
      <c r="B75" s="99" t="s">
        <v>16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3">
        <f t="shared" si="5"/>
        <v>0</v>
      </c>
    </row>
    <row r="76" spans="1:15" s="102" customFormat="1" ht="12" x14ac:dyDescent="0.25">
      <c r="A76" s="235"/>
      <c r="B76" s="99" t="s">
        <v>29</v>
      </c>
      <c r="C76" s="100">
        <v>0</v>
      </c>
      <c r="D76" s="100">
        <v>0</v>
      </c>
      <c r="E76" s="100">
        <v>0</v>
      </c>
      <c r="F76" s="100">
        <v>0</v>
      </c>
      <c r="G76" s="100">
        <v>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3">
        <f>SUM(C76:N76)</f>
        <v>0</v>
      </c>
    </row>
    <row r="77" spans="1:15" s="64" customFormat="1" x14ac:dyDescent="0.3">
      <c r="A77" s="155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7">
        <f t="shared" si="5"/>
        <v>0</v>
      </c>
    </row>
    <row r="78" spans="1:15" s="64" customFormat="1" x14ac:dyDescent="0.3">
      <c r="A78" s="156"/>
      <c r="B78" s="7" t="s">
        <v>32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24">
        <f t="shared" si="5"/>
        <v>0</v>
      </c>
    </row>
    <row r="79" spans="1:15" s="102" customFormat="1" ht="12" x14ac:dyDescent="0.25">
      <c r="A79" s="236"/>
      <c r="B79" s="99" t="s">
        <v>16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3">
        <f t="shared" si="5"/>
        <v>0</v>
      </c>
    </row>
    <row r="80" spans="1:15" s="102" customFormat="1" ht="12" x14ac:dyDescent="0.25">
      <c r="A80" s="235"/>
      <c r="B80" s="99" t="s">
        <v>29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3">
        <f>SUM(C80:N80)</f>
        <v>0</v>
      </c>
    </row>
    <row r="81" spans="1:15" s="64" customFormat="1" x14ac:dyDescent="0.3">
      <c r="A81" s="155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7">
        <f t="shared" si="5"/>
        <v>0</v>
      </c>
    </row>
    <row r="82" spans="1:15" s="64" customFormat="1" x14ac:dyDescent="0.3">
      <c r="A82" s="156"/>
      <c r="B82" s="7" t="s">
        <v>32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24">
        <f t="shared" si="5"/>
        <v>0</v>
      </c>
    </row>
    <row r="83" spans="1:15" s="102" customFormat="1" ht="12" x14ac:dyDescent="0.25">
      <c r="A83" s="236"/>
      <c r="B83" s="99" t="s">
        <v>16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3">
        <f t="shared" si="5"/>
        <v>0</v>
      </c>
    </row>
    <row r="84" spans="1:15" s="102" customFormat="1" ht="12" x14ac:dyDescent="0.25">
      <c r="A84" s="235"/>
      <c r="B84" s="99" t="s">
        <v>29</v>
      </c>
      <c r="C84" s="100">
        <v>0</v>
      </c>
      <c r="D84" s="100">
        <v>0</v>
      </c>
      <c r="E84" s="100">
        <v>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3">
        <f>SUM(C84:N84)</f>
        <v>0</v>
      </c>
    </row>
    <row r="85" spans="1:15" s="64" customFormat="1" x14ac:dyDescent="0.3">
      <c r="A85" s="155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7">
        <f t="shared" si="5"/>
        <v>0</v>
      </c>
    </row>
    <row r="86" spans="1:15" s="64" customFormat="1" x14ac:dyDescent="0.3">
      <c r="A86" s="156"/>
      <c r="B86" s="7" t="s">
        <v>32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24">
        <f t="shared" si="5"/>
        <v>0</v>
      </c>
    </row>
    <row r="87" spans="1:15" s="102" customFormat="1" ht="12" x14ac:dyDescent="0.25">
      <c r="A87" s="236"/>
      <c r="B87" s="99" t="s">
        <v>16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3">
        <f t="shared" ref="O87:O90" si="6">SUM(C87:N87)</f>
        <v>0</v>
      </c>
    </row>
    <row r="88" spans="1:15" s="102" customFormat="1" ht="12" x14ac:dyDescent="0.25">
      <c r="A88" s="235"/>
      <c r="B88" s="99" t="s">
        <v>29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3">
        <f>SUM(C88:N88)</f>
        <v>0</v>
      </c>
    </row>
    <row r="89" spans="1:15" s="64" customFormat="1" x14ac:dyDescent="0.3">
      <c r="A89" s="155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7">
        <f t="shared" si="6"/>
        <v>0</v>
      </c>
    </row>
    <row r="90" spans="1:15" s="64" customFormat="1" x14ac:dyDescent="0.3">
      <c r="A90" s="156"/>
      <c r="B90" s="7" t="s">
        <v>32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24">
        <f t="shared" si="6"/>
        <v>0</v>
      </c>
    </row>
    <row r="91" spans="1:15" s="102" customFormat="1" ht="12" x14ac:dyDescent="0.25">
      <c r="A91" s="243"/>
    </row>
    <row r="92" spans="1:15" s="102" customFormat="1" ht="12" x14ac:dyDescent="0.25">
      <c r="A92" s="237"/>
    </row>
    <row r="93" spans="1:15" s="64" customFormat="1" x14ac:dyDescent="0.3">
      <c r="A93" s="158"/>
    </row>
    <row r="94" spans="1:15" s="64" customFormat="1" x14ac:dyDescent="0.3">
      <c r="A94" s="158"/>
    </row>
    <row r="95" spans="1:15" s="102" customFormat="1" ht="12" x14ac:dyDescent="0.25">
      <c r="A95" s="237"/>
    </row>
    <row r="96" spans="1:15" s="102" customFormat="1" ht="12" x14ac:dyDescent="0.25">
      <c r="A96" s="237"/>
    </row>
    <row r="97" spans="1:1" s="64" customFormat="1" x14ac:dyDescent="0.3">
      <c r="A97" s="158"/>
    </row>
    <row r="98" spans="1:1" s="64" customFormat="1" x14ac:dyDescent="0.3">
      <c r="A98" s="158"/>
    </row>
    <row r="99" spans="1:1" s="102" customFormat="1" ht="12" x14ac:dyDescent="0.25">
      <c r="A99" s="237"/>
    </row>
    <row r="100" spans="1:1" s="102" customFormat="1" ht="12" x14ac:dyDescent="0.25">
      <c r="A100" s="237"/>
    </row>
    <row r="101" spans="1:1" s="64" customFormat="1" x14ac:dyDescent="0.3">
      <c r="A101" s="158"/>
    </row>
    <row r="102" spans="1:1" s="64" customFormat="1" x14ac:dyDescent="0.3">
      <c r="A102" s="158"/>
    </row>
    <row r="103" spans="1:1" s="102" customFormat="1" ht="12" x14ac:dyDescent="0.25">
      <c r="A103" s="237"/>
    </row>
    <row r="104" spans="1:1" s="102" customFormat="1" ht="12" x14ac:dyDescent="0.25">
      <c r="A104" s="237"/>
    </row>
    <row r="105" spans="1:1" s="64" customFormat="1" x14ac:dyDescent="0.3">
      <c r="A105" s="158"/>
    </row>
    <row r="106" spans="1:1" s="64" customFormat="1" x14ac:dyDescent="0.3">
      <c r="A106" s="158"/>
    </row>
    <row r="107" spans="1:1" s="102" customFormat="1" ht="12" x14ac:dyDescent="0.25">
      <c r="A107" s="237"/>
    </row>
    <row r="108" spans="1:1" s="102" customFormat="1" ht="12" x14ac:dyDescent="0.25">
      <c r="A108" s="237"/>
    </row>
    <row r="109" spans="1:1" s="64" customFormat="1" x14ac:dyDescent="0.3">
      <c r="A109" s="158"/>
    </row>
    <row r="110" spans="1:1" s="64" customFormat="1" x14ac:dyDescent="0.3">
      <c r="A110" s="158"/>
    </row>
    <row r="111" spans="1:1" s="102" customFormat="1" ht="12" x14ac:dyDescent="0.25">
      <c r="A111" s="237"/>
    </row>
    <row r="112" spans="1:1" s="102" customFormat="1" ht="12" x14ac:dyDescent="0.25">
      <c r="A112" s="237"/>
    </row>
    <row r="113" spans="1:1" s="64" customFormat="1" x14ac:dyDescent="0.3">
      <c r="A113" s="158"/>
    </row>
    <row r="114" spans="1:1" s="64" customFormat="1" x14ac:dyDescent="0.3">
      <c r="A114" s="158"/>
    </row>
    <row r="115" spans="1:1" s="102" customFormat="1" ht="12" x14ac:dyDescent="0.25">
      <c r="A115" s="237"/>
    </row>
    <row r="116" spans="1:1" s="102" customFormat="1" ht="12" x14ac:dyDescent="0.25">
      <c r="A116" s="237"/>
    </row>
    <row r="117" spans="1:1" s="64" customFormat="1" x14ac:dyDescent="0.3">
      <c r="A117" s="158"/>
    </row>
    <row r="118" spans="1:1" s="64" customFormat="1" x14ac:dyDescent="0.3">
      <c r="A118" s="158"/>
    </row>
    <row r="119" spans="1:1" s="102" customFormat="1" ht="12" x14ac:dyDescent="0.25">
      <c r="A119" s="237"/>
    </row>
    <row r="120" spans="1:1" s="102" customFormat="1" ht="12" x14ac:dyDescent="0.25">
      <c r="A120" s="237"/>
    </row>
    <row r="121" spans="1:1" s="64" customFormat="1" x14ac:dyDescent="0.3">
      <c r="A121" s="158"/>
    </row>
    <row r="122" spans="1:1" s="64" customFormat="1" x14ac:dyDescent="0.3">
      <c r="A122" s="158"/>
    </row>
    <row r="123" spans="1:1" s="102" customFormat="1" ht="12" x14ac:dyDescent="0.25">
      <c r="A123" s="237"/>
    </row>
    <row r="124" spans="1:1" s="102" customFormat="1" ht="12" x14ac:dyDescent="0.25">
      <c r="A124" s="237"/>
    </row>
    <row r="125" spans="1:1" s="64" customFormat="1" ht="11.4" customHeight="1" x14ac:dyDescent="0.3">
      <c r="A125" s="158"/>
    </row>
    <row r="126" spans="1:1" s="64" customFormat="1" x14ac:dyDescent="0.3">
      <c r="A126" s="158"/>
    </row>
    <row r="127" spans="1:1" s="102" customFormat="1" ht="12" x14ac:dyDescent="0.25">
      <c r="A127" s="237"/>
    </row>
    <row r="128" spans="1:1" s="102" customFormat="1" ht="12" x14ac:dyDescent="0.25">
      <c r="A128" s="237"/>
    </row>
    <row r="129" spans="1:1" s="64" customFormat="1" x14ac:dyDescent="0.3">
      <c r="A129" s="158"/>
    </row>
    <row r="130" spans="1:1" s="64" customFormat="1" x14ac:dyDescent="0.3">
      <c r="A130" s="158"/>
    </row>
    <row r="131" spans="1:1" s="102" customFormat="1" ht="12" x14ac:dyDescent="0.25">
      <c r="A131" s="237"/>
    </row>
    <row r="132" spans="1:1" s="102" customFormat="1" ht="12" x14ac:dyDescent="0.25">
      <c r="A132" s="237"/>
    </row>
    <row r="133" spans="1:1" s="64" customFormat="1" x14ac:dyDescent="0.3">
      <c r="A133" s="158"/>
    </row>
    <row r="134" spans="1:1" s="64" customFormat="1" x14ac:dyDescent="0.3">
      <c r="A134" s="158"/>
    </row>
    <row r="135" spans="1:1" s="102" customFormat="1" ht="12" x14ac:dyDescent="0.25">
      <c r="A135" s="237"/>
    </row>
    <row r="136" spans="1:1" s="102" customFormat="1" ht="12" x14ac:dyDescent="0.25">
      <c r="A136" s="237"/>
    </row>
    <row r="137" spans="1:1" s="64" customFormat="1" x14ac:dyDescent="0.3">
      <c r="A137" s="158"/>
    </row>
    <row r="138" spans="1:1" s="64" customFormat="1" x14ac:dyDescent="0.3">
      <c r="A138" s="158"/>
    </row>
    <row r="139" spans="1:1" s="102" customFormat="1" ht="12" x14ac:dyDescent="0.25">
      <c r="A139" s="237"/>
    </row>
    <row r="140" spans="1:1" s="102" customFormat="1" ht="12" x14ac:dyDescent="0.25">
      <c r="A140" s="237"/>
    </row>
    <row r="141" spans="1:1" s="64" customFormat="1" x14ac:dyDescent="0.3">
      <c r="A141" s="158"/>
    </row>
    <row r="142" spans="1:1" s="64" customFormat="1" x14ac:dyDescent="0.3">
      <c r="A142" s="158"/>
    </row>
    <row r="143" spans="1:1" s="102" customFormat="1" ht="12" x14ac:dyDescent="0.25">
      <c r="A143" s="237"/>
    </row>
    <row r="144" spans="1:1" s="102" customFormat="1" ht="12" x14ac:dyDescent="0.25">
      <c r="A144" s="237"/>
    </row>
    <row r="145" spans="1:1" s="64" customFormat="1" x14ac:dyDescent="0.3">
      <c r="A145" s="158"/>
    </row>
    <row r="146" spans="1:1" s="64" customFormat="1" x14ac:dyDescent="0.3">
      <c r="A146" s="158"/>
    </row>
    <row r="147" spans="1:1" s="102" customFormat="1" ht="12" x14ac:dyDescent="0.25">
      <c r="A147" s="237"/>
    </row>
    <row r="148" spans="1:1" s="102" customFormat="1" ht="12" x14ac:dyDescent="0.25">
      <c r="A148" s="237"/>
    </row>
    <row r="149" spans="1:1" s="64" customFormat="1" x14ac:dyDescent="0.3">
      <c r="A149" s="158"/>
    </row>
    <row r="150" spans="1:1" s="64" customFormat="1" x14ac:dyDescent="0.3">
      <c r="A150" s="158"/>
    </row>
    <row r="151" spans="1:1" s="102" customFormat="1" ht="12" x14ac:dyDescent="0.25">
      <c r="A151" s="237"/>
    </row>
    <row r="152" spans="1:1" s="102" customFormat="1" ht="12" x14ac:dyDescent="0.25">
      <c r="A152" s="237"/>
    </row>
    <row r="153" spans="1:1" s="64" customFormat="1" x14ac:dyDescent="0.3">
      <c r="A153" s="158"/>
    </row>
    <row r="154" spans="1:1" s="64" customFormat="1" x14ac:dyDescent="0.3">
      <c r="A154" s="158"/>
    </row>
    <row r="155" spans="1:1" s="102" customFormat="1" ht="12" x14ac:dyDescent="0.25">
      <c r="A155" s="237"/>
    </row>
    <row r="156" spans="1:1" s="102" customFormat="1" ht="12" x14ac:dyDescent="0.25">
      <c r="A156" s="237"/>
    </row>
    <row r="157" spans="1:1" s="64" customFormat="1" x14ac:dyDescent="0.3">
      <c r="A157" s="158"/>
    </row>
    <row r="158" spans="1:1" s="64" customFormat="1" x14ac:dyDescent="0.3">
      <c r="A158" s="158"/>
    </row>
    <row r="159" spans="1:1" s="102" customFormat="1" ht="12" x14ac:dyDescent="0.25">
      <c r="A159" s="237"/>
    </row>
    <row r="160" spans="1:1" s="102" customFormat="1" ht="12" x14ac:dyDescent="0.25">
      <c r="A160" s="237"/>
    </row>
    <row r="161" spans="1:1" s="64" customFormat="1" x14ac:dyDescent="0.3">
      <c r="A161" s="158"/>
    </row>
    <row r="162" spans="1:1" s="64" customFormat="1" x14ac:dyDescent="0.3">
      <c r="A162" s="158"/>
    </row>
    <row r="163" spans="1:1" s="102" customFormat="1" ht="12" x14ac:dyDescent="0.25">
      <c r="A163" s="237"/>
    </row>
    <row r="164" spans="1:1" s="102" customFormat="1" ht="12" x14ac:dyDescent="0.25">
      <c r="A164" s="237"/>
    </row>
    <row r="165" spans="1:1" s="64" customFormat="1" x14ac:dyDescent="0.3">
      <c r="A165" s="158"/>
    </row>
    <row r="166" spans="1:1" s="64" customFormat="1" x14ac:dyDescent="0.3">
      <c r="A166" s="158"/>
    </row>
    <row r="167" spans="1:1" s="102" customFormat="1" ht="12" x14ac:dyDescent="0.25">
      <c r="A167" s="237"/>
    </row>
    <row r="168" spans="1:1" s="102" customFormat="1" ht="12" x14ac:dyDescent="0.25">
      <c r="A168" s="237"/>
    </row>
    <row r="169" spans="1:1" s="64" customFormat="1" x14ac:dyDescent="0.3">
      <c r="A169" s="158"/>
    </row>
    <row r="170" spans="1:1" s="64" customFormat="1" x14ac:dyDescent="0.3">
      <c r="A170" s="158"/>
    </row>
    <row r="171" spans="1:1" s="102" customFormat="1" ht="12" x14ac:dyDescent="0.25">
      <c r="A171" s="237"/>
    </row>
    <row r="172" spans="1:1" s="102" customFormat="1" ht="12" x14ac:dyDescent="0.25">
      <c r="A172" s="237"/>
    </row>
    <row r="173" spans="1:1" s="64" customFormat="1" x14ac:dyDescent="0.3">
      <c r="A173" s="158"/>
    </row>
    <row r="174" spans="1:1" s="64" customFormat="1" x14ac:dyDescent="0.3">
      <c r="A174" s="158"/>
    </row>
    <row r="175" spans="1:1" s="102" customFormat="1" ht="12" x14ac:dyDescent="0.25">
      <c r="A175" s="237"/>
    </row>
    <row r="176" spans="1:1" s="102" customFormat="1" ht="12" x14ac:dyDescent="0.25">
      <c r="A176" s="237"/>
    </row>
    <row r="177" spans="1:1" s="64" customFormat="1" x14ac:dyDescent="0.3">
      <c r="A177" s="158"/>
    </row>
    <row r="178" spans="1:1" s="64" customFormat="1" x14ac:dyDescent="0.3">
      <c r="A178" s="158"/>
    </row>
    <row r="179" spans="1:1" s="102" customFormat="1" ht="12" x14ac:dyDescent="0.25">
      <c r="A179" s="237"/>
    </row>
    <row r="180" spans="1:1" s="102" customFormat="1" ht="12" x14ac:dyDescent="0.25">
      <c r="A180" s="237"/>
    </row>
    <row r="181" spans="1:1" s="64" customFormat="1" x14ac:dyDescent="0.3">
      <c r="A181" s="158"/>
    </row>
    <row r="182" spans="1:1" s="64" customFormat="1" x14ac:dyDescent="0.3">
      <c r="A182" s="158"/>
    </row>
    <row r="183" spans="1:1" s="102" customFormat="1" ht="12" x14ac:dyDescent="0.25">
      <c r="A183" s="237"/>
    </row>
    <row r="184" spans="1:1" s="102" customFormat="1" ht="12" x14ac:dyDescent="0.25">
      <c r="A184" s="237"/>
    </row>
    <row r="185" spans="1:1" s="64" customFormat="1" x14ac:dyDescent="0.3">
      <c r="A185" s="158"/>
    </row>
    <row r="186" spans="1:1" s="64" customFormat="1" x14ac:dyDescent="0.3">
      <c r="A186" s="158"/>
    </row>
    <row r="187" spans="1:1" s="102" customFormat="1" ht="12" x14ac:dyDescent="0.25">
      <c r="A187" s="237"/>
    </row>
    <row r="188" spans="1:1" s="102" customFormat="1" ht="12" x14ac:dyDescent="0.25">
      <c r="A188" s="237"/>
    </row>
    <row r="189" spans="1:1" s="64" customFormat="1" x14ac:dyDescent="0.3">
      <c r="A189" s="158"/>
    </row>
    <row r="190" spans="1:1" s="64" customFormat="1" x14ac:dyDescent="0.3">
      <c r="A190" s="158"/>
    </row>
    <row r="191" spans="1:1" s="102" customFormat="1" ht="12" x14ac:dyDescent="0.25">
      <c r="A191" s="237"/>
    </row>
    <row r="192" spans="1:1" s="102" customFormat="1" ht="12" x14ac:dyDescent="0.25">
      <c r="A192" s="237"/>
    </row>
    <row r="193" spans="1:1" s="64" customFormat="1" x14ac:dyDescent="0.3">
      <c r="A193" s="158"/>
    </row>
    <row r="194" spans="1:1" s="64" customFormat="1" x14ac:dyDescent="0.3">
      <c r="A194" s="158"/>
    </row>
    <row r="195" spans="1:1" s="102" customFormat="1" ht="12" x14ac:dyDescent="0.25">
      <c r="A195" s="237"/>
    </row>
    <row r="196" spans="1:1" s="102" customFormat="1" ht="12" x14ac:dyDescent="0.25">
      <c r="A196" s="237"/>
    </row>
    <row r="197" spans="1:1" s="64" customFormat="1" x14ac:dyDescent="0.3">
      <c r="A197" s="158"/>
    </row>
    <row r="198" spans="1:1" s="64" customFormat="1" x14ac:dyDescent="0.3">
      <c r="A198" s="158"/>
    </row>
    <row r="199" spans="1:1" s="102" customFormat="1" ht="12" x14ac:dyDescent="0.25">
      <c r="A199" s="237"/>
    </row>
    <row r="200" spans="1:1" s="102" customFormat="1" ht="12" x14ac:dyDescent="0.25">
      <c r="A200" s="237"/>
    </row>
    <row r="201" spans="1:1" s="64" customFormat="1" x14ac:dyDescent="0.3">
      <c r="A201" s="158"/>
    </row>
    <row r="202" spans="1:1" s="64" customFormat="1" x14ac:dyDescent="0.3">
      <c r="A202" s="158"/>
    </row>
    <row r="203" spans="1:1" s="102" customFormat="1" ht="12" x14ac:dyDescent="0.25">
      <c r="A203" s="237"/>
    </row>
    <row r="204" spans="1:1" s="102" customFormat="1" ht="12" x14ac:dyDescent="0.25">
      <c r="A204" s="237"/>
    </row>
    <row r="205" spans="1:1" s="64" customFormat="1" x14ac:dyDescent="0.3">
      <c r="A205" s="158"/>
    </row>
    <row r="206" spans="1:1" s="64" customFormat="1" x14ac:dyDescent="0.3">
      <c r="A206" s="158"/>
    </row>
    <row r="207" spans="1:1" s="102" customFormat="1" ht="12" x14ac:dyDescent="0.25">
      <c r="A207" s="237"/>
    </row>
    <row r="208" spans="1:1" s="102" customFormat="1" ht="12" x14ac:dyDescent="0.25">
      <c r="A208" s="237"/>
    </row>
    <row r="209" spans="1:1" s="64" customFormat="1" x14ac:dyDescent="0.3">
      <c r="A209" s="158"/>
    </row>
    <row r="210" spans="1:1" s="64" customFormat="1" x14ac:dyDescent="0.3">
      <c r="A210" s="158"/>
    </row>
    <row r="211" spans="1:1" s="102" customFormat="1" ht="12" x14ac:dyDescent="0.25">
      <c r="A211" s="237"/>
    </row>
    <row r="212" spans="1:1" s="102" customFormat="1" ht="12" x14ac:dyDescent="0.25">
      <c r="A212" s="237"/>
    </row>
    <row r="213" spans="1:1" s="64" customFormat="1" x14ac:dyDescent="0.3">
      <c r="A213" s="158"/>
    </row>
    <row r="214" spans="1:1" s="64" customFormat="1" x14ac:dyDescent="0.3">
      <c r="A214" s="158"/>
    </row>
    <row r="215" spans="1:1" s="102" customFormat="1" ht="12" x14ac:dyDescent="0.25">
      <c r="A215" s="237"/>
    </row>
    <row r="216" spans="1:1" s="102" customFormat="1" ht="12" x14ac:dyDescent="0.25">
      <c r="A216" s="237"/>
    </row>
    <row r="217" spans="1:1" s="64" customFormat="1" x14ac:dyDescent="0.3">
      <c r="A217" s="108"/>
    </row>
    <row r="218" spans="1:1" s="64" customFormat="1" x14ac:dyDescent="0.3">
      <c r="A218" s="108"/>
    </row>
  </sheetData>
  <mergeCells count="54">
    <mergeCell ref="A215:A216"/>
    <mergeCell ref="A3:A6"/>
    <mergeCell ref="A195:A196"/>
    <mergeCell ref="A199:A200"/>
    <mergeCell ref="A203:A204"/>
    <mergeCell ref="A207:A208"/>
    <mergeCell ref="A211:A212"/>
    <mergeCell ref="A175:A176"/>
    <mergeCell ref="A179:A180"/>
    <mergeCell ref="A183:A184"/>
    <mergeCell ref="A187:A188"/>
    <mergeCell ref="A191:A192"/>
    <mergeCell ref="A155:A156"/>
    <mergeCell ref="A159:A160"/>
    <mergeCell ref="A163:A164"/>
    <mergeCell ref="A167:A168"/>
    <mergeCell ref="A131:A132"/>
    <mergeCell ref="A171:A172"/>
    <mergeCell ref="A135:A136"/>
    <mergeCell ref="A139:A140"/>
    <mergeCell ref="A143:A144"/>
    <mergeCell ref="A147:A148"/>
    <mergeCell ref="A151:A152"/>
    <mergeCell ref="A111:A112"/>
    <mergeCell ref="A115:A116"/>
    <mergeCell ref="A119:A120"/>
    <mergeCell ref="A123:A124"/>
    <mergeCell ref="A127:A128"/>
    <mergeCell ref="A99:A100"/>
    <mergeCell ref="A103:A104"/>
    <mergeCell ref="A107:A108"/>
    <mergeCell ref="A91:A92"/>
    <mergeCell ref="A87:A88"/>
    <mergeCell ref="A55:A56"/>
    <mergeCell ref="A59:A60"/>
    <mergeCell ref="A63:A64"/>
    <mergeCell ref="A67:A68"/>
    <mergeCell ref="A95:A96"/>
    <mergeCell ref="A1:O1"/>
    <mergeCell ref="A71:A72"/>
    <mergeCell ref="A75:A76"/>
    <mergeCell ref="A79:A80"/>
    <mergeCell ref="A83:A84"/>
    <mergeCell ref="A11:A12"/>
    <mergeCell ref="A15:A16"/>
    <mergeCell ref="A19:A20"/>
    <mergeCell ref="A23:A24"/>
    <mergeCell ref="A27:A28"/>
    <mergeCell ref="A31:A32"/>
    <mergeCell ref="A35:A36"/>
    <mergeCell ref="A39:A40"/>
    <mergeCell ref="A43:A44"/>
    <mergeCell ref="A47:A48"/>
    <mergeCell ref="A51:A5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B35D-2F69-4F8C-B18C-CA636E4712C0}">
  <sheetPr codeName="Sheet21"/>
  <dimension ref="A1:P218"/>
  <sheetViews>
    <sheetView zoomScale="85" zoomScaleNormal="85" workbookViewId="0">
      <pane xSplit="1" ySplit="2" topLeftCell="F3" activePane="bottomRight" state="frozen"/>
      <selection pane="topRight" activeCell="M13" sqref="M13"/>
      <selection pane="bottomLeft" activeCell="M13" sqref="M13"/>
      <selection pane="bottomRight" activeCell="O6" sqref="O6"/>
    </sheetView>
  </sheetViews>
  <sheetFormatPr defaultColWidth="9.109375" defaultRowHeight="14.4" x14ac:dyDescent="0.3"/>
  <cols>
    <col min="1" max="1" width="32.5546875" style="52" customWidth="1"/>
    <col min="2" max="2" width="22.88671875" style="52" bestFit="1" customWidth="1"/>
    <col min="3" max="15" width="13.5546875" style="52" customWidth="1"/>
    <col min="16" max="16" width="9.44140625" style="52" bestFit="1" customWidth="1"/>
    <col min="17" max="16384" width="9.109375" style="52"/>
  </cols>
  <sheetData>
    <row r="1" spans="1:16" ht="24.75" customHeight="1" x14ac:dyDescent="0.6">
      <c r="A1" s="232" t="s">
        <v>420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</row>
    <row r="2" spans="1:16" x14ac:dyDescent="0.3">
      <c r="A2" s="76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69" t="s">
        <v>7</v>
      </c>
      <c r="J2" s="69" t="s">
        <v>8</v>
      </c>
      <c r="K2" s="69" t="s">
        <v>9</v>
      </c>
      <c r="L2" s="69" t="s">
        <v>10</v>
      </c>
      <c r="M2" s="69" t="s">
        <v>11</v>
      </c>
      <c r="N2" s="69" t="s">
        <v>12</v>
      </c>
      <c r="O2" s="69" t="s">
        <v>13</v>
      </c>
    </row>
    <row r="3" spans="1:16" s="102" customFormat="1" ht="14.4" customHeight="1" x14ac:dyDescent="0.25">
      <c r="A3" s="239" t="s">
        <v>15</v>
      </c>
      <c r="B3" s="181" t="s">
        <v>16</v>
      </c>
      <c r="C3" s="182">
        <f>SUMIFS(C$11:C1000,$B$11:$B1000,"Actual 2024")</f>
        <v>0</v>
      </c>
      <c r="D3" s="182">
        <f>SUMIFS(D$11:D1000,$B$11:$B1000,"Actual 2024")</f>
        <v>0</v>
      </c>
      <c r="E3" s="182">
        <f>SUMIFS(E$11:E1000,$B$11:$B1000,"Actual 2024")</f>
        <v>0</v>
      </c>
      <c r="F3" s="182">
        <f>SUMIFS(F$11:F1000,$B$11:$B1000,"Actual 2024")</f>
        <v>23371.3</v>
      </c>
      <c r="G3" s="182">
        <f>SUMIFS(G$11:G1000,$B$11:$B1000,"Actual 2024")</f>
        <v>-405.78999999999996</v>
      </c>
      <c r="H3" s="182">
        <f>SUMIFS(H$11:H1000,$B$11:$B1000,"Actual 2024")</f>
        <v>0</v>
      </c>
      <c r="I3" s="185">
        <f>SUMIFS(I$11:I1000,$B$11:$B1000,"Actual 2024")</f>
        <v>5447.23</v>
      </c>
      <c r="J3" s="185">
        <f>SUMIFS(J$11:J1000,$B$11:$B1000,"Actual 2024")</f>
        <v>0</v>
      </c>
      <c r="K3" s="185">
        <f>SUMIFS(K$11:K1000,$B$11:$B1000,"Actual 2024")</f>
        <v>7345.85</v>
      </c>
      <c r="L3" s="185">
        <f>SUMIFS(L$11:L1000,$B$11:$B1000,"Actual 2024")</f>
        <v>1608.74</v>
      </c>
      <c r="M3" s="185">
        <f>SUMIFS(M$11:M1000,$B$11:$B1000,"Actual 2024")</f>
        <v>1394.43</v>
      </c>
      <c r="N3" s="185">
        <f>SUMIFS(N$11:N1000,$B$11:$B1000,"Actual 2024")</f>
        <v>0</v>
      </c>
      <c r="O3" s="183">
        <f>SUMIFS(O$11:O1000,$B$11:$B1000,"Actual 2024")</f>
        <v>38761.760000000009</v>
      </c>
      <c r="P3" s="126">
        <v>48478.68</v>
      </c>
    </row>
    <row r="4" spans="1:16" s="102" customFormat="1" ht="14.4" customHeight="1" x14ac:dyDescent="0.25">
      <c r="A4" s="240"/>
      <c r="B4" s="184" t="s">
        <v>27</v>
      </c>
      <c r="C4" s="189">
        <f>SUMIFS(C$11:C1000,$B$11:$B1000,"Estimated")</f>
        <v>0</v>
      </c>
      <c r="D4" s="189">
        <f>SUMIFS(D$11:D1000,$B$11:$B1000,"Estimated")</f>
        <v>5170</v>
      </c>
      <c r="E4" s="189">
        <f>SUMIFS(E$11:E1000,$B$11:$B1000,"Estimated")</f>
        <v>300</v>
      </c>
      <c r="F4" s="189">
        <f>SUMIFS(F$11:F1000,$B$11:$B1000,"Estimated")</f>
        <v>0</v>
      </c>
      <c r="G4" s="189">
        <f>SUMIFS(G$11:G1000,$B$11:$B1000,"Estimated")</f>
        <v>17800</v>
      </c>
      <c r="H4" s="189">
        <f>SUMIFS(H$11:H1000,$B$11:$B1000,"Estimated")</f>
        <v>4500</v>
      </c>
      <c r="I4" s="192">
        <f>SUMIFS(I$11:I1000,$B$11:$B1000,"Estimated")</f>
        <v>0</v>
      </c>
      <c r="J4" s="192">
        <f>SUMIFS(J$11:J1000,$B$11:$B1000,"Estimated")</f>
        <v>0</v>
      </c>
      <c r="K4" s="192">
        <f>SUMIFS(K$11:K1000,$B$11:$B1000,"Estimated")</f>
        <v>8000</v>
      </c>
      <c r="L4" s="192">
        <f>SUMIFS(L$11:L1000,$B$11:$B1000,"Estimated")</f>
        <v>0</v>
      </c>
      <c r="M4" s="192">
        <f>SUMIFS(M$11:M1000,$B$11:$B1000,"Estimated")</f>
        <v>7800</v>
      </c>
      <c r="N4" s="192">
        <f>SUMIFS(N$11:N1000,$B$11:$B1000,"Estimated")</f>
        <v>0</v>
      </c>
      <c r="O4" s="191">
        <f>SUMIFS(O$11:O1000,$B$11:$B1000,"Estimated")</f>
        <v>43570</v>
      </c>
    </row>
    <row r="5" spans="1:16" s="166" customFormat="1" ht="14.4" customHeight="1" x14ac:dyDescent="0.3">
      <c r="A5" s="240"/>
      <c r="B5" s="162" t="s">
        <v>18</v>
      </c>
      <c r="C5" s="163">
        <v>0</v>
      </c>
      <c r="D5" s="163">
        <v>6000</v>
      </c>
      <c r="E5" s="163">
        <v>0</v>
      </c>
      <c r="F5" s="163">
        <v>0</v>
      </c>
      <c r="G5" s="163">
        <v>6000</v>
      </c>
      <c r="H5" s="163">
        <v>0</v>
      </c>
      <c r="I5" s="167">
        <v>0</v>
      </c>
      <c r="J5" s="167">
        <v>0</v>
      </c>
      <c r="K5" s="167">
        <v>6000</v>
      </c>
      <c r="L5" s="167">
        <v>0</v>
      </c>
      <c r="M5" s="167">
        <v>6000</v>
      </c>
      <c r="N5" s="167">
        <v>0</v>
      </c>
      <c r="O5" s="164">
        <f t="shared" ref="O5" si="0">SUM(C5:N5)</f>
        <v>24000</v>
      </c>
      <c r="P5" s="166">
        <v>24000</v>
      </c>
    </row>
    <row r="6" spans="1:16" s="166" customFormat="1" ht="15" thickBot="1" x14ac:dyDescent="0.35">
      <c r="A6" s="241"/>
      <c r="B6" s="174" t="s">
        <v>19</v>
      </c>
      <c r="C6" s="175">
        <f>SUMIFS(C$11:C1005,$B$11:$B1005,"Actual")</f>
        <v>0</v>
      </c>
      <c r="D6" s="175">
        <f>SUMIFS(D$11:D1005,$B$11:$B1005,"Actual")</f>
        <v>0</v>
      </c>
      <c r="E6" s="175">
        <f>SUMIFS(E$11:E1005,$B$11:$B1005,"Actual")</f>
        <v>12709.199999999999</v>
      </c>
      <c r="F6" s="175">
        <f>SUMIFS(F$11:F1005,$B$11:$B1005,"Actual")</f>
        <v>2030.4099999999999</v>
      </c>
      <c r="G6" s="175">
        <f>SUMIFS(G$11:G1005,$B$11:$B1005,"Actual")</f>
        <v>12593.92</v>
      </c>
      <c r="H6" s="175">
        <f>SUMIFS(H$11:H1005,$B$11:$B1005,"Actual")</f>
        <v>1175.17</v>
      </c>
      <c r="I6" s="177">
        <f>SUMIFS(I$11:I1005,$B$11:$B1005,"Actual")</f>
        <v>0</v>
      </c>
      <c r="J6" s="177">
        <f>SUMIFS(J$11:J1005,$B$11:$B1005,"Actual")</f>
        <v>478.2</v>
      </c>
      <c r="K6" s="177">
        <f>SUMIFS(K$11:K1005,$B$11:$B1005,"Actual")</f>
        <v>2625.13</v>
      </c>
      <c r="L6" s="177">
        <f>SUMIFS(L$11:L1005,$B$11:$B1005,"Actual")</f>
        <v>0</v>
      </c>
      <c r="M6" s="177">
        <f>SUMIFS(M$11:M1005,$B$11:$B1005,"Actual")</f>
        <v>0</v>
      </c>
      <c r="N6" s="177">
        <f>SUMIFS(N$11:N1005,$B$11:$B1005,"Actual")</f>
        <v>0</v>
      </c>
      <c r="O6" s="176">
        <f>SUMIFS(O$11:O1005,$B$11:$B1005,"Actual")</f>
        <v>31612.030000000002</v>
      </c>
      <c r="P6" s="166">
        <v>35556.29</v>
      </c>
    </row>
    <row r="7" spans="1:16" s="64" customFormat="1" ht="15" thickTop="1" x14ac:dyDescent="0.3">
      <c r="A7" s="133"/>
      <c r="B7" s="70" t="s">
        <v>21</v>
      </c>
      <c r="C7" s="60">
        <f t="shared" ref="C7:I7" si="1">C5-C6</f>
        <v>0</v>
      </c>
      <c r="D7" s="60">
        <f t="shared" si="1"/>
        <v>6000</v>
      </c>
      <c r="E7" s="60">
        <f t="shared" si="1"/>
        <v>-12709.199999999999</v>
      </c>
      <c r="F7" s="60">
        <f t="shared" si="1"/>
        <v>-2030.4099999999999</v>
      </c>
      <c r="G7" s="60">
        <f t="shared" si="1"/>
        <v>-6593.92</v>
      </c>
      <c r="H7" s="60">
        <f t="shared" si="1"/>
        <v>-1175.17</v>
      </c>
      <c r="I7" s="60">
        <f t="shared" si="1"/>
        <v>0</v>
      </c>
      <c r="J7" s="60">
        <f t="shared" ref="J7:N7" si="2">J5-J6</f>
        <v>-478.2</v>
      </c>
      <c r="K7" s="60">
        <f t="shared" si="2"/>
        <v>3374.87</v>
      </c>
      <c r="L7" s="60">
        <f t="shared" si="2"/>
        <v>0</v>
      </c>
      <c r="M7" s="60">
        <f t="shared" si="2"/>
        <v>6000</v>
      </c>
      <c r="N7" s="60">
        <f t="shared" si="2"/>
        <v>0</v>
      </c>
      <c r="O7" s="75">
        <f>O5-O6</f>
        <v>-7612.0300000000025</v>
      </c>
    </row>
    <row r="8" spans="1:16" s="142" customFormat="1" x14ac:dyDescent="0.3">
      <c r="A8" s="147"/>
      <c r="B8" s="139" t="s">
        <v>23</v>
      </c>
      <c r="C8" s="140">
        <f>SUM($C6:C6)</f>
        <v>0</v>
      </c>
      <c r="D8" s="140">
        <f>SUM($C6:D6)</f>
        <v>0</v>
      </c>
      <c r="E8" s="140">
        <f>SUM($C6:E6)</f>
        <v>12709.199999999999</v>
      </c>
      <c r="F8" s="140">
        <f>SUM($C6:F6)</f>
        <v>14739.609999999999</v>
      </c>
      <c r="G8" s="140">
        <f>SUM($C6:G6)</f>
        <v>27333.53</v>
      </c>
      <c r="H8" s="140">
        <f>SUM($C6:H6)</f>
        <v>28508.699999999997</v>
      </c>
      <c r="I8" s="140">
        <f>SUM($C6:I6)</f>
        <v>28508.699999999997</v>
      </c>
      <c r="J8" s="140">
        <f>SUM($C6:J6)</f>
        <v>28986.899999999998</v>
      </c>
      <c r="K8" s="140">
        <f>SUM($C6:K6)</f>
        <v>31612.03</v>
      </c>
      <c r="L8" s="140">
        <f>SUM($C6:L6)</f>
        <v>31612.03</v>
      </c>
      <c r="M8" s="140">
        <f>SUM($C6:M6)</f>
        <v>31612.03</v>
      </c>
      <c r="N8" s="140">
        <f>SUM($C6:N6)</f>
        <v>31612.03</v>
      </c>
      <c r="O8" s="141">
        <f>O6</f>
        <v>31612.030000000002</v>
      </c>
    </row>
    <row r="9" spans="1:16" s="142" customFormat="1" x14ac:dyDescent="0.3">
      <c r="A9" s="148"/>
      <c r="B9" s="144" t="s">
        <v>25</v>
      </c>
      <c r="C9" s="145">
        <f>SUM($C5:C5)-C8</f>
        <v>0</v>
      </c>
      <c r="D9" s="145">
        <f>SUM($C5:D5)-D8</f>
        <v>6000</v>
      </c>
      <c r="E9" s="145">
        <f>SUM($C5:E5)-E8</f>
        <v>-6709.1999999999989</v>
      </c>
      <c r="F9" s="145">
        <f>SUM($C5:F5)-F8</f>
        <v>-8739.6099999999988</v>
      </c>
      <c r="G9" s="145">
        <f>SUM($C5:G5)-G8</f>
        <v>-15333.529999999999</v>
      </c>
      <c r="H9" s="145">
        <f>SUM($C5:H5)-H8</f>
        <v>-16508.699999999997</v>
      </c>
      <c r="I9" s="145">
        <f>SUM($C5:I5)-I8</f>
        <v>-16508.699999999997</v>
      </c>
      <c r="J9" s="145">
        <f>SUM($C5:J5)-J8</f>
        <v>-16986.899999999998</v>
      </c>
      <c r="K9" s="145">
        <f>SUM($C5:K5)-K8</f>
        <v>-13612.029999999999</v>
      </c>
      <c r="L9" s="145">
        <f>SUM($C5:L5)-L8</f>
        <v>-13612.029999999999</v>
      </c>
      <c r="M9" s="145">
        <f>SUM($C5:M5)-M8</f>
        <v>-7612.0299999999988</v>
      </c>
      <c r="N9" s="145">
        <f>SUM($C5:N5)-N8</f>
        <v>-7612.0299999999988</v>
      </c>
      <c r="O9" s="146"/>
    </row>
    <row r="10" spans="1:16" x14ac:dyDescent="0.3"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6" s="102" customFormat="1" ht="12" x14ac:dyDescent="0.25">
      <c r="A11" s="235" t="s">
        <v>421</v>
      </c>
      <c r="B11" s="99" t="s">
        <v>16</v>
      </c>
      <c r="C11" s="100"/>
      <c r="D11" s="100"/>
      <c r="E11" s="100"/>
      <c r="F11" s="100">
        <v>12303.99</v>
      </c>
      <c r="G11" s="100">
        <v>40</v>
      </c>
      <c r="H11" s="100"/>
      <c r="I11" s="100">
        <v>2680.38</v>
      </c>
      <c r="J11" s="100"/>
      <c r="K11" s="100">
        <v>429.52</v>
      </c>
      <c r="L11" s="100">
        <v>1449.05</v>
      </c>
      <c r="M11" s="100"/>
      <c r="N11" s="100"/>
      <c r="O11" s="103">
        <f>SUM(C11:N11)</f>
        <v>16902.939999999999</v>
      </c>
    </row>
    <row r="12" spans="1:16" s="102" customFormat="1" ht="12" x14ac:dyDescent="0.25">
      <c r="A12" s="235"/>
      <c r="B12" s="99" t="s">
        <v>29</v>
      </c>
      <c r="C12" s="100">
        <v>0</v>
      </c>
      <c r="D12" s="100">
        <v>2000</v>
      </c>
      <c r="E12" s="100">
        <v>0</v>
      </c>
      <c r="F12" s="100">
        <v>0</v>
      </c>
      <c r="G12" s="100">
        <v>2000</v>
      </c>
      <c r="H12" s="100">
        <v>0</v>
      </c>
      <c r="I12" s="100">
        <v>0</v>
      </c>
      <c r="J12" s="100">
        <v>0</v>
      </c>
      <c r="K12" s="100">
        <v>2000</v>
      </c>
      <c r="L12" s="100">
        <v>0</v>
      </c>
      <c r="M12" s="100">
        <v>2000</v>
      </c>
      <c r="N12" s="100">
        <v>0</v>
      </c>
      <c r="O12" s="103">
        <f>SUM(C12:N12)</f>
        <v>8000</v>
      </c>
    </row>
    <row r="13" spans="1:16" s="67" customFormat="1" ht="12.6" customHeight="1" x14ac:dyDescent="0.3">
      <c r="A13" s="155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66">
        <f>SUM(C13:N13)</f>
        <v>0</v>
      </c>
    </row>
    <row r="14" spans="1:16" s="67" customFormat="1" ht="12.6" customHeight="1" x14ac:dyDescent="0.3">
      <c r="A14" s="156"/>
      <c r="B14" s="116" t="s">
        <v>32</v>
      </c>
      <c r="C14" s="117"/>
      <c r="D14" s="117"/>
      <c r="E14" s="117">
        <v>226</v>
      </c>
      <c r="F14" s="117">
        <f>943.98+349.6</f>
        <v>1293.58</v>
      </c>
      <c r="G14" s="117">
        <f>40+40+40</f>
        <v>120</v>
      </c>
      <c r="H14" s="117"/>
      <c r="I14" s="117"/>
      <c r="J14" s="117">
        <v>11.2</v>
      </c>
      <c r="K14" s="117"/>
      <c r="L14" s="117"/>
      <c r="M14" s="117"/>
      <c r="N14" s="117"/>
      <c r="O14" s="118">
        <f t="shared" ref="O14" si="3">SUM(C14:N14)</f>
        <v>1650.78</v>
      </c>
    </row>
    <row r="15" spans="1:16" s="102" customFormat="1" ht="12" x14ac:dyDescent="0.25">
      <c r="A15" s="236" t="s">
        <v>422</v>
      </c>
      <c r="B15" s="99" t="s">
        <v>16</v>
      </c>
      <c r="C15" s="100"/>
      <c r="D15" s="100"/>
      <c r="E15" s="100"/>
      <c r="F15" s="100">
        <v>1355.09</v>
      </c>
      <c r="G15" s="100">
        <v>168.35</v>
      </c>
      <c r="H15" s="100"/>
      <c r="I15" s="100"/>
      <c r="J15" s="100"/>
      <c r="K15" s="100">
        <v>238.9</v>
      </c>
      <c r="L15" s="100">
        <v>159.69</v>
      </c>
      <c r="M15" s="100">
        <v>68.959999999999994</v>
      </c>
      <c r="N15" s="100"/>
      <c r="O15" s="103">
        <f>SUM(C15:N15)</f>
        <v>1990.99</v>
      </c>
    </row>
    <row r="16" spans="1:16" s="102" customFormat="1" ht="12" x14ac:dyDescent="0.25">
      <c r="A16" s="235"/>
      <c r="B16" s="99" t="s">
        <v>29</v>
      </c>
      <c r="C16" s="100">
        <v>0</v>
      </c>
      <c r="D16" s="100">
        <v>0</v>
      </c>
      <c r="E16" s="100">
        <v>300</v>
      </c>
      <c r="F16" s="100">
        <v>0</v>
      </c>
      <c r="G16" s="100">
        <v>300</v>
      </c>
      <c r="H16" s="100">
        <v>0</v>
      </c>
      <c r="I16" s="100">
        <v>0</v>
      </c>
      <c r="J16" s="100">
        <v>0</v>
      </c>
      <c r="K16" s="100">
        <v>300</v>
      </c>
      <c r="L16" s="100">
        <v>0</v>
      </c>
      <c r="M16" s="100">
        <v>300</v>
      </c>
      <c r="N16" s="100">
        <v>0</v>
      </c>
      <c r="O16" s="103">
        <f t="shared" ref="O16:O26" si="4">SUM(C16:N16)</f>
        <v>1200</v>
      </c>
    </row>
    <row r="17" spans="1:15" s="67" customFormat="1" ht="12.6" customHeight="1" x14ac:dyDescent="0.3">
      <c r="A17" s="155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>
        <f>SUM(C17:N17)</f>
        <v>0</v>
      </c>
    </row>
    <row r="18" spans="1:15" s="67" customFormat="1" ht="12.6" customHeight="1" x14ac:dyDescent="0.3">
      <c r="A18" s="156"/>
      <c r="B18" s="116" t="s">
        <v>32</v>
      </c>
      <c r="C18" s="117"/>
      <c r="D18" s="117"/>
      <c r="E18" s="117">
        <v>135.35</v>
      </c>
      <c r="F18" s="117">
        <v>416.48</v>
      </c>
      <c r="G18" s="117">
        <f>45.19</f>
        <v>45.19</v>
      </c>
      <c r="H18" s="117"/>
      <c r="I18" s="117"/>
      <c r="J18" s="117"/>
      <c r="K18" s="117"/>
      <c r="L18" s="117"/>
      <c r="M18" s="117"/>
      <c r="N18" s="117"/>
      <c r="O18" s="118">
        <f t="shared" si="4"/>
        <v>597.02</v>
      </c>
    </row>
    <row r="19" spans="1:15" s="102" customFormat="1" ht="12" x14ac:dyDescent="0.25">
      <c r="A19" s="236" t="s">
        <v>423</v>
      </c>
      <c r="B19" s="99" t="s">
        <v>16</v>
      </c>
      <c r="C19" s="100"/>
      <c r="D19" s="100"/>
      <c r="E19" s="100"/>
      <c r="F19" s="100">
        <v>9712.2199999999993</v>
      </c>
      <c r="G19" s="100">
        <v>-614.14</v>
      </c>
      <c r="H19" s="100"/>
      <c r="I19" s="100">
        <v>2740.02</v>
      </c>
      <c r="J19" s="100"/>
      <c r="K19" s="100">
        <v>5561.99</v>
      </c>
      <c r="L19" s="100"/>
      <c r="M19" s="100">
        <v>1325.47</v>
      </c>
      <c r="N19" s="100"/>
      <c r="O19" s="103">
        <f t="shared" si="4"/>
        <v>18725.560000000001</v>
      </c>
    </row>
    <row r="20" spans="1:15" s="102" customFormat="1" ht="12" x14ac:dyDescent="0.25">
      <c r="A20" s="235"/>
      <c r="B20" s="99" t="s">
        <v>29</v>
      </c>
      <c r="C20" s="100">
        <v>0</v>
      </c>
      <c r="D20" s="100">
        <v>3170</v>
      </c>
      <c r="E20" s="100">
        <v>0</v>
      </c>
      <c r="F20" s="100">
        <v>0</v>
      </c>
      <c r="G20" s="100">
        <v>3000</v>
      </c>
      <c r="H20" s="100">
        <v>0</v>
      </c>
      <c r="I20" s="100">
        <v>0</v>
      </c>
      <c r="J20" s="100">
        <v>0</v>
      </c>
      <c r="K20" s="100">
        <v>3000</v>
      </c>
      <c r="L20" s="100">
        <v>0</v>
      </c>
      <c r="M20" s="100">
        <v>3000</v>
      </c>
      <c r="N20" s="100">
        <v>0</v>
      </c>
      <c r="O20" s="103">
        <f>SUM(C20:N20)</f>
        <v>12170</v>
      </c>
    </row>
    <row r="21" spans="1:15" s="67" customFormat="1" ht="12.6" customHeight="1" x14ac:dyDescent="0.3">
      <c r="A21" s="155"/>
      <c r="B21" s="65" t="s">
        <v>31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66">
        <f t="shared" si="4"/>
        <v>0</v>
      </c>
    </row>
    <row r="22" spans="1:15" s="67" customFormat="1" ht="12.6" customHeight="1" x14ac:dyDescent="0.3">
      <c r="A22" s="156"/>
      <c r="B22" s="116" t="s">
        <v>32</v>
      </c>
      <c r="C22" s="117"/>
      <c r="D22" s="117"/>
      <c r="E22" s="117"/>
      <c r="F22" s="117">
        <f>285.29</f>
        <v>285.29000000000002</v>
      </c>
      <c r="G22" s="117">
        <f>960.34+1040.86+2.74+10.97</f>
        <v>2014.9099999999999</v>
      </c>
      <c r="H22" s="117"/>
      <c r="I22" s="117"/>
      <c r="J22" s="117"/>
      <c r="K22" s="117"/>
      <c r="L22" s="117"/>
      <c r="M22" s="117"/>
      <c r="N22" s="117"/>
      <c r="O22" s="118">
        <f t="shared" si="4"/>
        <v>2300.1999999999998</v>
      </c>
    </row>
    <row r="23" spans="1:15" s="102" customFormat="1" ht="12" x14ac:dyDescent="0.25">
      <c r="A23" s="236" t="s">
        <v>424</v>
      </c>
      <c r="B23" s="99" t="s">
        <v>16</v>
      </c>
      <c r="C23" s="100"/>
      <c r="D23" s="100"/>
      <c r="E23" s="100"/>
      <c r="F23" s="100"/>
      <c r="G23" s="100"/>
      <c r="H23" s="100"/>
      <c r="I23" s="100">
        <v>26.83</v>
      </c>
      <c r="J23" s="100"/>
      <c r="K23" s="100"/>
      <c r="L23" s="100"/>
      <c r="M23" s="100"/>
      <c r="N23" s="100"/>
      <c r="O23" s="103">
        <f t="shared" si="4"/>
        <v>26.83</v>
      </c>
    </row>
    <row r="24" spans="1:15" s="102" customFormat="1" ht="12" x14ac:dyDescent="0.25">
      <c r="A24" s="235"/>
      <c r="B24" s="99" t="s">
        <v>29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>
        <v>0</v>
      </c>
      <c r="N24" s="100">
        <v>0</v>
      </c>
      <c r="O24" s="103">
        <f>SUM(C24:N24)</f>
        <v>0</v>
      </c>
    </row>
    <row r="25" spans="1:15" s="67" customFormat="1" ht="12.6" customHeight="1" x14ac:dyDescent="0.3">
      <c r="A25" s="155"/>
      <c r="B25" s="65" t="s">
        <v>31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66">
        <f t="shared" si="4"/>
        <v>0</v>
      </c>
    </row>
    <row r="26" spans="1:15" s="67" customFormat="1" ht="12.6" customHeight="1" x14ac:dyDescent="0.3">
      <c r="A26" s="156"/>
      <c r="B26" s="116" t="s">
        <v>32</v>
      </c>
      <c r="C26" s="117"/>
      <c r="D26" s="117"/>
      <c r="E26" s="117">
        <v>760.64</v>
      </c>
      <c r="F26" s="117"/>
      <c r="G26" s="117"/>
      <c r="H26" s="117"/>
      <c r="I26" s="117"/>
      <c r="J26" s="117"/>
      <c r="K26" s="117"/>
      <c r="L26" s="117"/>
      <c r="M26" s="117"/>
      <c r="N26" s="117"/>
      <c r="O26" s="118">
        <f t="shared" si="4"/>
        <v>760.64</v>
      </c>
    </row>
    <row r="27" spans="1:15" s="102" customFormat="1" ht="12" x14ac:dyDescent="0.25">
      <c r="A27" s="236" t="s">
        <v>425</v>
      </c>
      <c r="B27" s="99" t="s">
        <v>16</v>
      </c>
      <c r="C27" s="100"/>
      <c r="D27" s="100"/>
      <c r="E27" s="100"/>
      <c r="F27" s="100"/>
      <c r="G27" s="100"/>
      <c r="H27" s="100"/>
      <c r="I27" s="100"/>
      <c r="J27" s="100"/>
      <c r="K27" s="100">
        <v>1115.44</v>
      </c>
      <c r="L27" s="100"/>
      <c r="M27" s="100"/>
      <c r="N27" s="100"/>
      <c r="O27" s="103">
        <f t="shared" ref="O27:O58" si="5">SUM(C27:N27)</f>
        <v>1115.44</v>
      </c>
    </row>
    <row r="28" spans="1:15" s="102" customFormat="1" ht="12" x14ac:dyDescent="0.25">
      <c r="A28" s="235"/>
      <c r="B28" s="99" t="s">
        <v>29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100">
        <v>0</v>
      </c>
      <c r="N28" s="100">
        <v>0</v>
      </c>
      <c r="O28" s="103">
        <f>SUM(C28:N28)</f>
        <v>0</v>
      </c>
    </row>
    <row r="29" spans="1:15" s="67" customFormat="1" ht="12.6" customHeight="1" x14ac:dyDescent="0.3">
      <c r="A29" s="155"/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66">
        <f t="shared" si="5"/>
        <v>0</v>
      </c>
    </row>
    <row r="30" spans="1:15" s="67" customFormat="1" ht="12.6" customHeight="1" x14ac:dyDescent="0.3">
      <c r="A30" s="156"/>
      <c r="B30" s="116" t="s">
        <v>32</v>
      </c>
      <c r="C30" s="117"/>
      <c r="D30" s="117"/>
      <c r="E30" s="117"/>
      <c r="F30" s="117">
        <f>20.21+14.85</f>
        <v>35.06</v>
      </c>
      <c r="G30" s="117">
        <f>43.1+14.58+5.05+85.49+258.12+6.17+19.91+40.5+47.8+99.26+38.64+107.18+9.77</f>
        <v>775.56999999999994</v>
      </c>
      <c r="H30" s="117"/>
      <c r="I30" s="117"/>
      <c r="J30" s="117"/>
      <c r="K30" s="117"/>
      <c r="L30" s="117"/>
      <c r="M30" s="117"/>
      <c r="N30" s="117"/>
      <c r="O30" s="118">
        <f t="shared" si="5"/>
        <v>810.62999999999988</v>
      </c>
    </row>
    <row r="31" spans="1:15" s="102" customFormat="1" ht="12" x14ac:dyDescent="0.25">
      <c r="A31" s="236" t="s">
        <v>426</v>
      </c>
      <c r="B31" s="99" t="s">
        <v>16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3">
        <f t="shared" si="5"/>
        <v>0</v>
      </c>
    </row>
    <row r="32" spans="1:15" s="102" customFormat="1" ht="12" x14ac:dyDescent="0.25">
      <c r="A32" s="235"/>
      <c r="B32" s="99" t="s">
        <v>29</v>
      </c>
      <c r="C32" s="100">
        <v>0</v>
      </c>
      <c r="D32" s="100">
        <v>0</v>
      </c>
      <c r="E32" s="100">
        <v>0</v>
      </c>
      <c r="F32" s="100">
        <v>0</v>
      </c>
      <c r="G32" s="100">
        <v>8000</v>
      </c>
      <c r="H32" s="100">
        <v>0</v>
      </c>
      <c r="I32" s="100">
        <v>0</v>
      </c>
      <c r="J32" s="100">
        <v>0</v>
      </c>
      <c r="K32" s="100">
        <v>1000</v>
      </c>
      <c r="L32" s="100">
        <v>0</v>
      </c>
      <c r="M32" s="100">
        <v>0</v>
      </c>
      <c r="N32" s="100">
        <v>0</v>
      </c>
      <c r="O32" s="103">
        <f>SUM(C32:N32)</f>
        <v>9000</v>
      </c>
    </row>
    <row r="33" spans="1:15" s="67" customFormat="1" ht="12.6" customHeight="1" x14ac:dyDescent="0.3">
      <c r="A33" s="155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 t="shared" si="5"/>
        <v>0</v>
      </c>
    </row>
    <row r="34" spans="1:15" s="67" customFormat="1" ht="12.6" customHeight="1" x14ac:dyDescent="0.3">
      <c r="A34" s="156"/>
      <c r="B34" s="116" t="s">
        <v>32</v>
      </c>
      <c r="C34" s="117"/>
      <c r="D34" s="117"/>
      <c r="E34" s="117">
        <v>11587.21</v>
      </c>
      <c r="F34" s="117"/>
      <c r="G34" s="117">
        <f>1359.31+98.55</f>
        <v>1457.86</v>
      </c>
      <c r="H34" s="117"/>
      <c r="I34" s="117"/>
      <c r="J34" s="117">
        <v>467</v>
      </c>
      <c r="K34" s="117">
        <v>680.61</v>
      </c>
      <c r="L34" s="117"/>
      <c r="M34" s="117"/>
      <c r="N34" s="117"/>
      <c r="O34" s="118">
        <f t="shared" si="5"/>
        <v>14192.68</v>
      </c>
    </row>
    <row r="35" spans="1:15" s="102" customFormat="1" ht="12" x14ac:dyDescent="0.25">
      <c r="A35" s="236" t="s">
        <v>427</v>
      </c>
      <c r="B35" s="99" t="s">
        <v>16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3">
        <f t="shared" si="5"/>
        <v>0</v>
      </c>
    </row>
    <row r="36" spans="1:15" s="102" customFormat="1" ht="12" x14ac:dyDescent="0.25">
      <c r="A36" s="235"/>
      <c r="B36" s="99" t="s">
        <v>29</v>
      </c>
      <c r="C36" s="100">
        <v>0</v>
      </c>
      <c r="D36" s="100">
        <v>0</v>
      </c>
      <c r="E36" s="100">
        <v>0</v>
      </c>
      <c r="F36" s="100">
        <v>0</v>
      </c>
      <c r="G36" s="100">
        <v>3000</v>
      </c>
      <c r="H36" s="100">
        <v>0</v>
      </c>
      <c r="I36" s="100">
        <v>0</v>
      </c>
      <c r="J36" s="100">
        <v>0</v>
      </c>
      <c r="K36" s="100">
        <v>1000</v>
      </c>
      <c r="L36" s="100">
        <v>0</v>
      </c>
      <c r="M36" s="100">
        <v>0</v>
      </c>
      <c r="N36" s="100">
        <v>0</v>
      </c>
      <c r="O36" s="103">
        <f>SUM(C36:N36)</f>
        <v>4000</v>
      </c>
    </row>
    <row r="37" spans="1:15" s="67" customFormat="1" ht="12.6" customHeight="1" x14ac:dyDescent="0.3">
      <c r="A37" s="155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 t="shared" si="5"/>
        <v>0</v>
      </c>
    </row>
    <row r="38" spans="1:15" s="67" customFormat="1" ht="12.6" customHeight="1" x14ac:dyDescent="0.3">
      <c r="A38" s="156"/>
      <c r="B38" s="116" t="s">
        <v>32</v>
      </c>
      <c r="C38" s="117"/>
      <c r="D38" s="117"/>
      <c r="E38" s="117"/>
      <c r="F38" s="117"/>
      <c r="G38" s="117">
        <f>1261.45+765.47+4218.41+1081.09</f>
        <v>7326.42</v>
      </c>
      <c r="H38" s="117">
        <f>1042.7</f>
        <v>1042.7</v>
      </c>
      <c r="I38" s="117"/>
      <c r="J38" s="117"/>
      <c r="K38" s="117">
        <f>801.72+864.36</f>
        <v>1666.08</v>
      </c>
      <c r="L38" s="117"/>
      <c r="M38" s="117"/>
      <c r="N38" s="117"/>
      <c r="O38" s="118">
        <f t="shared" si="5"/>
        <v>10035.200000000001</v>
      </c>
    </row>
    <row r="39" spans="1:15" s="102" customFormat="1" ht="12" x14ac:dyDescent="0.25">
      <c r="A39" s="236" t="s">
        <v>428</v>
      </c>
      <c r="B39" s="99" t="s">
        <v>16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3">
        <f t="shared" si="5"/>
        <v>0</v>
      </c>
    </row>
    <row r="40" spans="1:15" s="102" customFormat="1" ht="12" x14ac:dyDescent="0.25">
      <c r="A40" s="235"/>
      <c r="B40" s="99" t="s">
        <v>29</v>
      </c>
      <c r="C40" s="100">
        <v>0</v>
      </c>
      <c r="D40" s="100">
        <v>0</v>
      </c>
      <c r="E40" s="100">
        <v>0</v>
      </c>
      <c r="F40" s="100">
        <v>0</v>
      </c>
      <c r="G40" s="100">
        <v>500</v>
      </c>
      <c r="H40" s="100">
        <v>0</v>
      </c>
      <c r="I40" s="100">
        <v>0</v>
      </c>
      <c r="J40" s="100">
        <v>0</v>
      </c>
      <c r="K40" s="100">
        <v>200</v>
      </c>
      <c r="L40" s="100">
        <v>0</v>
      </c>
      <c r="M40" s="100">
        <v>0</v>
      </c>
      <c r="N40" s="100">
        <v>0</v>
      </c>
      <c r="O40" s="103">
        <f>SUM(C40:N40)</f>
        <v>700</v>
      </c>
    </row>
    <row r="41" spans="1:15" s="64" customFormat="1" ht="12.6" customHeight="1" x14ac:dyDescent="0.3">
      <c r="A41" s="155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 t="shared" si="5"/>
        <v>0</v>
      </c>
    </row>
    <row r="42" spans="1:15" s="64" customFormat="1" ht="12.6" customHeight="1" x14ac:dyDescent="0.3">
      <c r="A42" s="156"/>
      <c r="B42" s="7" t="s">
        <v>32</v>
      </c>
      <c r="C42" s="114"/>
      <c r="D42" s="114"/>
      <c r="E42" s="114"/>
      <c r="F42" s="114"/>
      <c r="G42" s="114">
        <f>69.69+13.03+23.15+13.75+9.4+9.4+9.24+18.5+9.25+84.82</f>
        <v>260.23</v>
      </c>
      <c r="H42" s="114">
        <f>18.79+9.34+9.3</f>
        <v>37.43</v>
      </c>
      <c r="I42" s="114"/>
      <c r="J42" s="114"/>
      <c r="K42" s="114">
        <f>61.48</f>
        <v>61.48</v>
      </c>
      <c r="L42" s="114"/>
      <c r="M42" s="114"/>
      <c r="N42" s="114"/>
      <c r="O42" s="24">
        <f t="shared" si="5"/>
        <v>359.14000000000004</v>
      </c>
    </row>
    <row r="43" spans="1:15" s="102" customFormat="1" ht="12" x14ac:dyDescent="0.25">
      <c r="A43" s="236" t="s">
        <v>429</v>
      </c>
      <c r="B43" s="99" t="s">
        <v>16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3">
        <f t="shared" si="5"/>
        <v>0</v>
      </c>
    </row>
    <row r="44" spans="1:15" s="102" customFormat="1" ht="12" x14ac:dyDescent="0.25">
      <c r="A44" s="235"/>
      <c r="B44" s="99" t="s">
        <v>29</v>
      </c>
      <c r="C44" s="100">
        <v>0</v>
      </c>
      <c r="D44" s="100">
        <v>0</v>
      </c>
      <c r="E44" s="100">
        <v>0</v>
      </c>
      <c r="F44" s="100">
        <v>0</v>
      </c>
      <c r="G44" s="100">
        <v>1000</v>
      </c>
      <c r="H44" s="100">
        <v>0</v>
      </c>
      <c r="I44" s="100">
        <v>0</v>
      </c>
      <c r="J44" s="100">
        <v>0</v>
      </c>
      <c r="K44" s="100">
        <v>500</v>
      </c>
      <c r="L44" s="100">
        <v>0</v>
      </c>
      <c r="M44" s="100">
        <v>0</v>
      </c>
      <c r="N44" s="100">
        <v>0</v>
      </c>
      <c r="O44" s="103">
        <f>SUM(C44:N44)</f>
        <v>1500</v>
      </c>
    </row>
    <row r="45" spans="1:15" s="64" customFormat="1" ht="12.6" customHeight="1" x14ac:dyDescent="0.3">
      <c r="A45" s="155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 t="shared" si="5"/>
        <v>0</v>
      </c>
    </row>
    <row r="46" spans="1:15" s="64" customFormat="1" ht="12.6" customHeight="1" x14ac:dyDescent="0.3">
      <c r="A46" s="156"/>
      <c r="B46" s="7" t="s">
        <v>32</v>
      </c>
      <c r="C46" s="114"/>
      <c r="D46" s="114"/>
      <c r="E46" s="114"/>
      <c r="F46" s="114"/>
      <c r="G46" s="114">
        <f>6.05+6.67+105.08+2.47+120.84+303.75+9.19+10.04+12.03+8.48+9.14</f>
        <v>593.74</v>
      </c>
      <c r="H46" s="114">
        <f>26.03+4.68+2.22+31.7+13.74+12.01+4.66</f>
        <v>95.039999999999992</v>
      </c>
      <c r="I46" s="114"/>
      <c r="J46" s="114"/>
      <c r="K46" s="114">
        <f>50.65+7.21+22.75+136.35</f>
        <v>216.95999999999998</v>
      </c>
      <c r="L46" s="114"/>
      <c r="M46" s="114"/>
      <c r="N46" s="114"/>
      <c r="O46" s="24">
        <f t="shared" si="5"/>
        <v>905.74</v>
      </c>
    </row>
    <row r="47" spans="1:15" s="102" customFormat="1" ht="12" x14ac:dyDescent="0.25">
      <c r="A47" s="236" t="s">
        <v>430</v>
      </c>
      <c r="B47" s="99" t="s">
        <v>16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3">
        <f t="shared" si="5"/>
        <v>0</v>
      </c>
    </row>
    <row r="48" spans="1:15" s="102" customFormat="1" ht="12" x14ac:dyDescent="0.25">
      <c r="A48" s="235"/>
      <c r="B48" s="99" t="s">
        <v>29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4500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3">
        <f>SUM(C48:N48)</f>
        <v>4500</v>
      </c>
    </row>
    <row r="49" spans="1:15" s="64" customFormat="1" ht="12.6" customHeight="1" x14ac:dyDescent="0.3">
      <c r="A49" s="155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 t="shared" si="5"/>
        <v>0</v>
      </c>
    </row>
    <row r="50" spans="1:15" s="64" customFormat="1" ht="12.6" customHeight="1" x14ac:dyDescent="0.3">
      <c r="A50" s="156"/>
      <c r="B50" s="7" t="s">
        <v>32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24">
        <f t="shared" si="5"/>
        <v>0</v>
      </c>
    </row>
    <row r="51" spans="1:15" s="102" customFormat="1" ht="12" x14ac:dyDescent="0.25">
      <c r="A51" s="236" t="s">
        <v>431</v>
      </c>
      <c r="B51" s="99" t="s">
        <v>16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3">
        <f t="shared" si="5"/>
        <v>0</v>
      </c>
    </row>
    <row r="52" spans="1:15" s="102" customFormat="1" ht="12" x14ac:dyDescent="0.25">
      <c r="A52" s="235"/>
      <c r="B52" s="99" t="s">
        <v>29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2500</v>
      </c>
      <c r="N52" s="100">
        <v>0</v>
      </c>
      <c r="O52" s="103">
        <f>SUM(C52:N52)</f>
        <v>2500</v>
      </c>
    </row>
    <row r="53" spans="1:15" s="64" customFormat="1" ht="12.6" customHeight="1" x14ac:dyDescent="0.3">
      <c r="A53" s="155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 t="shared" si="5"/>
        <v>0</v>
      </c>
    </row>
    <row r="54" spans="1:15" s="64" customFormat="1" ht="12.6" customHeight="1" x14ac:dyDescent="0.3">
      <c r="A54" s="156"/>
      <c r="B54" s="7" t="s">
        <v>32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24">
        <f t="shared" si="5"/>
        <v>0</v>
      </c>
    </row>
    <row r="55" spans="1:15" s="102" customFormat="1" ht="12" x14ac:dyDescent="0.25">
      <c r="A55" s="236"/>
      <c r="B55" s="99" t="s">
        <v>16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3">
        <f t="shared" si="5"/>
        <v>0</v>
      </c>
    </row>
    <row r="56" spans="1:15" s="102" customFormat="1" ht="12" x14ac:dyDescent="0.25">
      <c r="A56" s="235"/>
      <c r="B56" s="99" t="s">
        <v>29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3">
        <f>SUM(C56:N56)</f>
        <v>0</v>
      </c>
    </row>
    <row r="57" spans="1:15" s="64" customFormat="1" ht="12.6" customHeight="1" x14ac:dyDescent="0.3">
      <c r="A57" s="155"/>
      <c r="B57" s="5" t="s">
        <v>31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7">
        <f t="shared" si="5"/>
        <v>0</v>
      </c>
    </row>
    <row r="58" spans="1:15" s="64" customFormat="1" ht="12.6" customHeight="1" x14ac:dyDescent="0.3">
      <c r="A58" s="156"/>
      <c r="B58" s="7" t="s">
        <v>32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24">
        <f t="shared" si="5"/>
        <v>0</v>
      </c>
    </row>
    <row r="59" spans="1:15" s="102" customFormat="1" ht="12" x14ac:dyDescent="0.25">
      <c r="A59" s="236"/>
      <c r="B59" s="99" t="s">
        <v>16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3">
        <f t="shared" ref="O59:O90" si="6">SUM(C59:N59)</f>
        <v>0</v>
      </c>
    </row>
    <row r="60" spans="1:15" s="102" customFormat="1" ht="12" x14ac:dyDescent="0.25">
      <c r="A60" s="235"/>
      <c r="B60" s="99" t="s">
        <v>29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3">
        <f>SUM(C60:N60)</f>
        <v>0</v>
      </c>
    </row>
    <row r="61" spans="1:15" s="64" customFormat="1" ht="12.6" customHeight="1" x14ac:dyDescent="0.3">
      <c r="A61" s="155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 t="shared" si="6"/>
        <v>0</v>
      </c>
    </row>
    <row r="62" spans="1:15" s="64" customFormat="1" ht="12.6" customHeight="1" x14ac:dyDescent="0.3">
      <c r="A62" s="156"/>
      <c r="B62" s="7" t="s">
        <v>32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24">
        <f t="shared" si="6"/>
        <v>0</v>
      </c>
    </row>
    <row r="63" spans="1:15" s="102" customFormat="1" ht="12" x14ac:dyDescent="0.25">
      <c r="A63" s="236"/>
      <c r="B63" s="99" t="s">
        <v>16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3">
        <f t="shared" si="6"/>
        <v>0</v>
      </c>
    </row>
    <row r="64" spans="1:15" s="102" customFormat="1" ht="12" x14ac:dyDescent="0.25">
      <c r="A64" s="235"/>
      <c r="B64" s="99" t="s">
        <v>29</v>
      </c>
      <c r="C64" s="100">
        <v>0</v>
      </c>
      <c r="D64" s="100">
        <v>0</v>
      </c>
      <c r="E64" s="100">
        <v>0</v>
      </c>
      <c r="F64" s="100">
        <v>0</v>
      </c>
      <c r="G64" s="100">
        <v>0</v>
      </c>
      <c r="H64" s="100">
        <v>0</v>
      </c>
      <c r="I64" s="100">
        <v>0</v>
      </c>
      <c r="J64" s="100">
        <v>0</v>
      </c>
      <c r="K64" s="100">
        <v>0</v>
      </c>
      <c r="L64" s="100">
        <v>0</v>
      </c>
      <c r="M64" s="100">
        <v>0</v>
      </c>
      <c r="N64" s="100">
        <v>0</v>
      </c>
      <c r="O64" s="103">
        <f>SUM(C64:N64)</f>
        <v>0</v>
      </c>
    </row>
    <row r="65" spans="1:15" s="64" customFormat="1" ht="12.6" customHeight="1" x14ac:dyDescent="0.3">
      <c r="A65" s="155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 t="shared" si="6"/>
        <v>0</v>
      </c>
    </row>
    <row r="66" spans="1:15" s="64" customFormat="1" ht="12.6" customHeight="1" x14ac:dyDescent="0.3">
      <c r="A66" s="156"/>
      <c r="B66" s="7" t="s">
        <v>32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24">
        <f t="shared" si="6"/>
        <v>0</v>
      </c>
    </row>
    <row r="67" spans="1:15" s="102" customFormat="1" ht="12.6" customHeight="1" x14ac:dyDescent="0.25">
      <c r="A67" s="236"/>
      <c r="B67" s="99" t="s">
        <v>16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3">
        <f t="shared" si="6"/>
        <v>0</v>
      </c>
    </row>
    <row r="68" spans="1:15" s="102" customFormat="1" ht="12" x14ac:dyDescent="0.25">
      <c r="A68" s="235"/>
      <c r="B68" s="99" t="s">
        <v>29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3">
        <f>SUM(C68:N68)</f>
        <v>0</v>
      </c>
    </row>
    <row r="69" spans="1:15" s="64" customFormat="1" x14ac:dyDescent="0.3">
      <c r="A69" s="155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 t="shared" si="6"/>
        <v>0</v>
      </c>
    </row>
    <row r="70" spans="1:15" s="64" customFormat="1" x14ac:dyDescent="0.3">
      <c r="A70" s="156"/>
      <c r="B70" s="7" t="s">
        <v>32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24">
        <f t="shared" si="6"/>
        <v>0</v>
      </c>
    </row>
    <row r="71" spans="1:15" s="102" customFormat="1" ht="12" x14ac:dyDescent="0.25">
      <c r="A71" s="236"/>
      <c r="B71" s="99" t="s">
        <v>16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3">
        <f t="shared" si="6"/>
        <v>0</v>
      </c>
    </row>
    <row r="72" spans="1:15" s="102" customFormat="1" ht="12" x14ac:dyDescent="0.25">
      <c r="A72" s="235"/>
      <c r="B72" s="99" t="s">
        <v>29</v>
      </c>
      <c r="C72" s="100">
        <v>0</v>
      </c>
      <c r="D72" s="100">
        <v>0</v>
      </c>
      <c r="E72" s="100">
        <v>0</v>
      </c>
      <c r="F72" s="100">
        <v>0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3">
        <f>SUM(C72:N72)</f>
        <v>0</v>
      </c>
    </row>
    <row r="73" spans="1:15" s="64" customFormat="1" x14ac:dyDescent="0.3">
      <c r="A73" s="155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 t="shared" si="6"/>
        <v>0</v>
      </c>
    </row>
    <row r="74" spans="1:15" s="64" customFormat="1" x14ac:dyDescent="0.3">
      <c r="A74" s="156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24">
        <f t="shared" si="6"/>
        <v>0</v>
      </c>
    </row>
    <row r="75" spans="1:15" s="102" customFormat="1" ht="12" x14ac:dyDescent="0.25">
      <c r="A75" s="236"/>
      <c r="B75" s="99" t="s">
        <v>16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3">
        <f t="shared" si="6"/>
        <v>0</v>
      </c>
    </row>
    <row r="76" spans="1:15" s="102" customFormat="1" ht="12" x14ac:dyDescent="0.25">
      <c r="A76" s="235"/>
      <c r="B76" s="99" t="s">
        <v>29</v>
      </c>
      <c r="C76" s="100">
        <v>0</v>
      </c>
      <c r="D76" s="100">
        <v>0</v>
      </c>
      <c r="E76" s="100">
        <v>0</v>
      </c>
      <c r="F76" s="100">
        <v>0</v>
      </c>
      <c r="G76" s="100">
        <v>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3">
        <f>SUM(C76:N76)</f>
        <v>0</v>
      </c>
    </row>
    <row r="77" spans="1:15" s="64" customFormat="1" x14ac:dyDescent="0.3">
      <c r="A77" s="155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7">
        <f t="shared" si="6"/>
        <v>0</v>
      </c>
    </row>
    <row r="78" spans="1:15" s="64" customFormat="1" x14ac:dyDescent="0.3">
      <c r="A78" s="156"/>
      <c r="B78" s="7" t="s">
        <v>32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24">
        <f t="shared" si="6"/>
        <v>0</v>
      </c>
    </row>
    <row r="79" spans="1:15" s="102" customFormat="1" ht="12" x14ac:dyDescent="0.25">
      <c r="A79" s="236"/>
      <c r="B79" s="99" t="s">
        <v>16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3">
        <f t="shared" si="6"/>
        <v>0</v>
      </c>
    </row>
    <row r="80" spans="1:15" s="102" customFormat="1" ht="12" x14ac:dyDescent="0.25">
      <c r="A80" s="235"/>
      <c r="B80" s="99" t="s">
        <v>29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3">
        <f>SUM(C80:N80)</f>
        <v>0</v>
      </c>
    </row>
    <row r="81" spans="1:15" s="64" customFormat="1" x14ac:dyDescent="0.3">
      <c r="A81" s="155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7">
        <f t="shared" si="6"/>
        <v>0</v>
      </c>
    </row>
    <row r="82" spans="1:15" s="64" customFormat="1" x14ac:dyDescent="0.3">
      <c r="A82" s="156"/>
      <c r="B82" s="7" t="s">
        <v>32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24">
        <f t="shared" si="6"/>
        <v>0</v>
      </c>
    </row>
    <row r="83" spans="1:15" s="102" customFormat="1" ht="12" x14ac:dyDescent="0.25">
      <c r="A83" s="236"/>
      <c r="B83" s="99" t="s">
        <v>16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3">
        <f t="shared" si="6"/>
        <v>0</v>
      </c>
    </row>
    <row r="84" spans="1:15" s="102" customFormat="1" ht="12" x14ac:dyDescent="0.25">
      <c r="A84" s="235"/>
      <c r="B84" s="99" t="s">
        <v>29</v>
      </c>
      <c r="C84" s="100">
        <v>0</v>
      </c>
      <c r="D84" s="100">
        <v>0</v>
      </c>
      <c r="E84" s="100">
        <v>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3">
        <f>SUM(C84:N84)</f>
        <v>0</v>
      </c>
    </row>
    <row r="85" spans="1:15" s="64" customFormat="1" x14ac:dyDescent="0.3">
      <c r="A85" s="155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7">
        <f t="shared" si="6"/>
        <v>0</v>
      </c>
    </row>
    <row r="86" spans="1:15" s="64" customFormat="1" x14ac:dyDescent="0.3">
      <c r="A86" s="156"/>
      <c r="B86" s="7" t="s">
        <v>32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24">
        <f t="shared" si="6"/>
        <v>0</v>
      </c>
    </row>
    <row r="87" spans="1:15" s="102" customFormat="1" ht="12" x14ac:dyDescent="0.25">
      <c r="A87" s="236"/>
      <c r="B87" s="99" t="s">
        <v>16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3">
        <f t="shared" si="6"/>
        <v>0</v>
      </c>
    </row>
    <row r="88" spans="1:15" s="102" customFormat="1" ht="12" x14ac:dyDescent="0.25">
      <c r="A88" s="235"/>
      <c r="B88" s="99" t="s">
        <v>29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3">
        <f>SUM(C88:N88)</f>
        <v>0</v>
      </c>
    </row>
    <row r="89" spans="1:15" s="64" customFormat="1" x14ac:dyDescent="0.3">
      <c r="A89" s="155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7">
        <f t="shared" si="6"/>
        <v>0</v>
      </c>
    </row>
    <row r="90" spans="1:15" s="64" customFormat="1" x14ac:dyDescent="0.3">
      <c r="A90" s="156"/>
      <c r="B90" s="7" t="s">
        <v>32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24">
        <f t="shared" si="6"/>
        <v>0</v>
      </c>
    </row>
    <row r="91" spans="1:15" s="102" customFormat="1" ht="12" x14ac:dyDescent="0.25">
      <c r="A91" s="236"/>
      <c r="B91" s="99" t="s">
        <v>16</v>
      </c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3">
        <f t="shared" ref="O91:O106" si="7">SUM(C91:N91)</f>
        <v>0</v>
      </c>
    </row>
    <row r="92" spans="1:15" s="102" customFormat="1" ht="12" x14ac:dyDescent="0.25">
      <c r="A92" s="235"/>
      <c r="B92" s="99" t="s">
        <v>29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100">
        <v>0</v>
      </c>
      <c r="N92" s="100">
        <v>0</v>
      </c>
      <c r="O92" s="103">
        <f>SUM(C92:N92)</f>
        <v>0</v>
      </c>
    </row>
    <row r="93" spans="1:15" s="64" customFormat="1" x14ac:dyDescent="0.3">
      <c r="A93" s="155"/>
      <c r="B93" s="5" t="s">
        <v>31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7">
        <f t="shared" si="7"/>
        <v>0</v>
      </c>
    </row>
    <row r="94" spans="1:15" s="64" customFormat="1" x14ac:dyDescent="0.3">
      <c r="A94" s="156"/>
      <c r="B94" s="7" t="s">
        <v>32</v>
      </c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24">
        <f t="shared" si="7"/>
        <v>0</v>
      </c>
    </row>
    <row r="95" spans="1:15" s="102" customFormat="1" ht="12" x14ac:dyDescent="0.25">
      <c r="A95" s="236"/>
      <c r="B95" s="99" t="s">
        <v>16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3">
        <f t="shared" si="7"/>
        <v>0</v>
      </c>
    </row>
    <row r="96" spans="1:15" s="102" customFormat="1" ht="12" x14ac:dyDescent="0.25">
      <c r="A96" s="235"/>
      <c r="B96" s="99" t="s">
        <v>29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100">
        <v>0</v>
      </c>
      <c r="N96" s="100">
        <v>0</v>
      </c>
      <c r="O96" s="103">
        <f>SUM(C96:N96)</f>
        <v>0</v>
      </c>
    </row>
    <row r="97" spans="1:15" s="64" customFormat="1" x14ac:dyDescent="0.3">
      <c r="A97" s="155"/>
      <c r="B97" s="5" t="s">
        <v>31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7">
        <f t="shared" si="7"/>
        <v>0</v>
      </c>
    </row>
    <row r="98" spans="1:15" s="64" customFormat="1" x14ac:dyDescent="0.3">
      <c r="A98" s="156"/>
      <c r="B98" s="7" t="s">
        <v>32</v>
      </c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24">
        <f t="shared" si="7"/>
        <v>0</v>
      </c>
    </row>
    <row r="99" spans="1:15" s="102" customFormat="1" ht="12" x14ac:dyDescent="0.25">
      <c r="A99" s="246"/>
      <c r="B99" s="99" t="s">
        <v>16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3">
        <f t="shared" si="7"/>
        <v>0</v>
      </c>
    </row>
    <row r="100" spans="1:15" s="102" customFormat="1" ht="12" x14ac:dyDescent="0.25">
      <c r="A100" s="247"/>
      <c r="B100" s="102" t="s">
        <v>29</v>
      </c>
      <c r="C100" s="102">
        <v>0</v>
      </c>
      <c r="D100" s="102">
        <v>0</v>
      </c>
      <c r="E100" s="102">
        <v>0</v>
      </c>
      <c r="F100" s="102">
        <v>0</v>
      </c>
      <c r="G100" s="102">
        <v>0</v>
      </c>
      <c r="H100" s="102">
        <v>0</v>
      </c>
      <c r="I100" s="102">
        <v>0</v>
      </c>
      <c r="J100" s="102">
        <v>0</v>
      </c>
      <c r="K100" s="102">
        <v>0</v>
      </c>
      <c r="L100" s="102">
        <v>0</v>
      </c>
      <c r="M100" s="102">
        <v>0</v>
      </c>
      <c r="N100" s="102">
        <v>0</v>
      </c>
      <c r="O100" s="102">
        <f>SUM(C100:N100)</f>
        <v>0</v>
      </c>
    </row>
    <row r="101" spans="1:15" s="64" customFormat="1" x14ac:dyDescent="0.3">
      <c r="A101" s="155"/>
      <c r="B101" s="5" t="s">
        <v>31</v>
      </c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7">
        <f t="shared" si="7"/>
        <v>0</v>
      </c>
    </row>
    <row r="102" spans="1:15" s="64" customFormat="1" x14ac:dyDescent="0.3">
      <c r="A102" s="156"/>
      <c r="B102" s="7" t="s">
        <v>32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24">
        <f t="shared" si="7"/>
        <v>0</v>
      </c>
    </row>
    <row r="103" spans="1:15" s="102" customFormat="1" ht="12" x14ac:dyDescent="0.25">
      <c r="A103" s="236"/>
      <c r="B103" s="99" t="s">
        <v>16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3">
        <f t="shared" si="7"/>
        <v>0</v>
      </c>
    </row>
    <row r="104" spans="1:15" s="102" customFormat="1" ht="12" x14ac:dyDescent="0.25">
      <c r="A104" s="235"/>
      <c r="B104" s="99" t="s">
        <v>29</v>
      </c>
      <c r="C104" s="100">
        <v>0</v>
      </c>
      <c r="D104" s="100">
        <v>0</v>
      </c>
      <c r="E104" s="100">
        <v>0</v>
      </c>
      <c r="F104" s="100">
        <v>0</v>
      </c>
      <c r="G104" s="100">
        <v>0</v>
      </c>
      <c r="H104" s="100">
        <v>0</v>
      </c>
      <c r="I104" s="100">
        <v>0</v>
      </c>
      <c r="J104" s="100">
        <v>0</v>
      </c>
      <c r="K104" s="100">
        <v>0</v>
      </c>
      <c r="L104" s="100">
        <v>0</v>
      </c>
      <c r="M104" s="100">
        <v>0</v>
      </c>
      <c r="N104" s="100">
        <v>0</v>
      </c>
      <c r="O104" s="103">
        <f t="shared" si="7"/>
        <v>0</v>
      </c>
    </row>
    <row r="105" spans="1:15" s="64" customFormat="1" x14ac:dyDescent="0.3">
      <c r="A105" s="155"/>
      <c r="B105" s="5" t="s">
        <v>31</v>
      </c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7">
        <f>SUM(C105:N105)</f>
        <v>0</v>
      </c>
    </row>
    <row r="106" spans="1:15" s="64" customFormat="1" x14ac:dyDescent="0.3">
      <c r="A106" s="156"/>
      <c r="B106" s="7" t="s">
        <v>32</v>
      </c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24">
        <f t="shared" si="7"/>
        <v>0</v>
      </c>
    </row>
    <row r="107" spans="1:15" s="102" customFormat="1" ht="12" x14ac:dyDescent="0.25">
      <c r="A107" s="253"/>
    </row>
    <row r="108" spans="1:15" s="102" customFormat="1" ht="12" x14ac:dyDescent="0.25">
      <c r="A108" s="252"/>
    </row>
    <row r="109" spans="1:15" s="64" customFormat="1" x14ac:dyDescent="0.3">
      <c r="A109" s="159"/>
    </row>
    <row r="110" spans="1:15" s="64" customFormat="1" x14ac:dyDescent="0.3">
      <c r="A110" s="159"/>
    </row>
    <row r="111" spans="1:15" s="102" customFormat="1" ht="12" x14ac:dyDescent="0.25">
      <c r="A111" s="252"/>
    </row>
    <row r="112" spans="1:15" s="102" customFormat="1" ht="12" x14ac:dyDescent="0.25">
      <c r="A112" s="252"/>
    </row>
    <row r="113" spans="1:1" s="64" customFormat="1" x14ac:dyDescent="0.3">
      <c r="A113" s="159"/>
    </row>
    <row r="114" spans="1:1" s="64" customFormat="1" x14ac:dyDescent="0.3">
      <c r="A114" s="159"/>
    </row>
    <row r="115" spans="1:1" s="102" customFormat="1" ht="12" x14ac:dyDescent="0.25">
      <c r="A115" s="252"/>
    </row>
    <row r="116" spans="1:1" s="102" customFormat="1" ht="12" x14ac:dyDescent="0.25">
      <c r="A116" s="252"/>
    </row>
    <row r="117" spans="1:1" s="64" customFormat="1" x14ac:dyDescent="0.3">
      <c r="A117" s="159"/>
    </row>
    <row r="118" spans="1:1" s="64" customFormat="1" x14ac:dyDescent="0.3">
      <c r="A118" s="159"/>
    </row>
    <row r="119" spans="1:1" s="102" customFormat="1" ht="12" x14ac:dyDescent="0.25">
      <c r="A119" s="252"/>
    </row>
    <row r="120" spans="1:1" s="102" customFormat="1" ht="12" x14ac:dyDescent="0.25">
      <c r="A120" s="252"/>
    </row>
    <row r="121" spans="1:1" s="64" customFormat="1" x14ac:dyDescent="0.3">
      <c r="A121" s="159"/>
    </row>
    <row r="122" spans="1:1" s="64" customFormat="1" x14ac:dyDescent="0.3">
      <c r="A122" s="159"/>
    </row>
    <row r="123" spans="1:1" s="102" customFormat="1" ht="12" x14ac:dyDescent="0.25">
      <c r="A123" s="252"/>
    </row>
    <row r="124" spans="1:1" s="102" customFormat="1" ht="12" x14ac:dyDescent="0.25">
      <c r="A124" s="252"/>
    </row>
    <row r="125" spans="1:1" s="64" customFormat="1" ht="11.4" customHeight="1" x14ac:dyDescent="0.3">
      <c r="A125" s="159"/>
    </row>
    <row r="126" spans="1:1" s="64" customFormat="1" x14ac:dyDescent="0.3">
      <c r="A126" s="159"/>
    </row>
    <row r="127" spans="1:1" s="102" customFormat="1" ht="12" x14ac:dyDescent="0.25">
      <c r="A127" s="252"/>
    </row>
    <row r="128" spans="1:1" s="102" customFormat="1" ht="12" x14ac:dyDescent="0.25">
      <c r="A128" s="252"/>
    </row>
    <row r="129" spans="1:1" s="64" customFormat="1" x14ac:dyDescent="0.3">
      <c r="A129" s="159"/>
    </row>
    <row r="130" spans="1:1" s="64" customFormat="1" x14ac:dyDescent="0.3">
      <c r="A130" s="159"/>
    </row>
    <row r="131" spans="1:1" s="102" customFormat="1" ht="12" x14ac:dyDescent="0.25">
      <c r="A131" s="252"/>
    </row>
    <row r="132" spans="1:1" s="102" customFormat="1" ht="12" x14ac:dyDescent="0.25">
      <c r="A132" s="252"/>
    </row>
    <row r="133" spans="1:1" s="64" customFormat="1" x14ac:dyDescent="0.3">
      <c r="A133" s="159"/>
    </row>
    <row r="134" spans="1:1" s="64" customFormat="1" x14ac:dyDescent="0.3">
      <c r="A134" s="159"/>
    </row>
    <row r="135" spans="1:1" s="102" customFormat="1" ht="12" x14ac:dyDescent="0.25">
      <c r="A135" s="252"/>
    </row>
    <row r="136" spans="1:1" s="102" customFormat="1" ht="12" x14ac:dyDescent="0.25">
      <c r="A136" s="252"/>
    </row>
    <row r="137" spans="1:1" s="64" customFormat="1" x14ac:dyDescent="0.3">
      <c r="A137" s="159"/>
    </row>
    <row r="138" spans="1:1" s="64" customFormat="1" x14ac:dyDescent="0.3">
      <c r="A138" s="159"/>
    </row>
    <row r="139" spans="1:1" s="102" customFormat="1" ht="12" x14ac:dyDescent="0.25">
      <c r="A139" s="252"/>
    </row>
    <row r="140" spans="1:1" s="102" customFormat="1" ht="12" x14ac:dyDescent="0.25">
      <c r="A140" s="252"/>
    </row>
    <row r="141" spans="1:1" s="64" customFormat="1" x14ac:dyDescent="0.3">
      <c r="A141" s="159"/>
    </row>
    <row r="142" spans="1:1" s="64" customFormat="1" x14ac:dyDescent="0.3">
      <c r="A142" s="159"/>
    </row>
    <row r="143" spans="1:1" s="102" customFormat="1" ht="12" x14ac:dyDescent="0.25">
      <c r="A143" s="252"/>
    </row>
    <row r="144" spans="1:1" s="102" customFormat="1" ht="12" x14ac:dyDescent="0.25">
      <c r="A144" s="252"/>
    </row>
    <row r="145" spans="1:1" s="64" customFormat="1" x14ac:dyDescent="0.3">
      <c r="A145" s="159"/>
    </row>
    <row r="146" spans="1:1" s="64" customFormat="1" x14ac:dyDescent="0.3">
      <c r="A146" s="159"/>
    </row>
    <row r="147" spans="1:1" s="102" customFormat="1" ht="12" x14ac:dyDescent="0.25">
      <c r="A147" s="252"/>
    </row>
    <row r="148" spans="1:1" s="102" customFormat="1" ht="12" x14ac:dyDescent="0.25">
      <c r="A148" s="252"/>
    </row>
    <row r="149" spans="1:1" s="64" customFormat="1" x14ac:dyDescent="0.3">
      <c r="A149" s="159"/>
    </row>
    <row r="150" spans="1:1" s="64" customFormat="1" x14ac:dyDescent="0.3">
      <c r="A150" s="159"/>
    </row>
    <row r="151" spans="1:1" s="102" customFormat="1" ht="12" x14ac:dyDescent="0.25">
      <c r="A151" s="252"/>
    </row>
    <row r="152" spans="1:1" s="102" customFormat="1" ht="12" x14ac:dyDescent="0.25">
      <c r="A152" s="252"/>
    </row>
    <row r="153" spans="1:1" s="64" customFormat="1" x14ac:dyDescent="0.3">
      <c r="A153" s="159"/>
    </row>
    <row r="154" spans="1:1" s="64" customFormat="1" x14ac:dyDescent="0.3">
      <c r="A154" s="159"/>
    </row>
    <row r="155" spans="1:1" s="102" customFormat="1" ht="12" x14ac:dyDescent="0.25">
      <c r="A155" s="252"/>
    </row>
    <row r="156" spans="1:1" s="102" customFormat="1" ht="12" x14ac:dyDescent="0.25">
      <c r="A156" s="252"/>
    </row>
    <row r="157" spans="1:1" s="64" customFormat="1" x14ac:dyDescent="0.3">
      <c r="A157" s="159"/>
    </row>
    <row r="158" spans="1:1" s="64" customFormat="1" x14ac:dyDescent="0.3">
      <c r="A158" s="159"/>
    </row>
    <row r="159" spans="1:1" s="102" customFormat="1" ht="12" x14ac:dyDescent="0.25">
      <c r="A159" s="252"/>
    </row>
    <row r="160" spans="1:1" s="102" customFormat="1" ht="12" x14ac:dyDescent="0.25">
      <c r="A160" s="252"/>
    </row>
    <row r="161" spans="1:1" s="64" customFormat="1" x14ac:dyDescent="0.3">
      <c r="A161" s="159"/>
    </row>
    <row r="162" spans="1:1" s="64" customFormat="1" x14ac:dyDescent="0.3">
      <c r="A162" s="159"/>
    </row>
    <row r="163" spans="1:1" s="102" customFormat="1" ht="12" x14ac:dyDescent="0.25">
      <c r="A163" s="252"/>
    </row>
    <row r="164" spans="1:1" s="102" customFormat="1" ht="12" x14ac:dyDescent="0.25">
      <c r="A164" s="252"/>
    </row>
    <row r="165" spans="1:1" s="64" customFormat="1" x14ac:dyDescent="0.3">
      <c r="A165" s="159"/>
    </row>
    <row r="166" spans="1:1" s="64" customFormat="1" x14ac:dyDescent="0.3">
      <c r="A166" s="159"/>
    </row>
    <row r="167" spans="1:1" s="102" customFormat="1" ht="12" x14ac:dyDescent="0.25">
      <c r="A167" s="252"/>
    </row>
    <row r="168" spans="1:1" s="102" customFormat="1" ht="12" x14ac:dyDescent="0.25">
      <c r="A168" s="252"/>
    </row>
    <row r="169" spans="1:1" s="64" customFormat="1" x14ac:dyDescent="0.3">
      <c r="A169" s="159"/>
    </row>
    <row r="170" spans="1:1" s="64" customFormat="1" x14ac:dyDescent="0.3">
      <c r="A170" s="159"/>
    </row>
    <row r="171" spans="1:1" s="102" customFormat="1" ht="12" x14ac:dyDescent="0.25">
      <c r="A171" s="252"/>
    </row>
    <row r="172" spans="1:1" s="102" customFormat="1" ht="12" x14ac:dyDescent="0.25">
      <c r="A172" s="252"/>
    </row>
    <row r="173" spans="1:1" s="64" customFormat="1" x14ac:dyDescent="0.3">
      <c r="A173" s="159"/>
    </row>
    <row r="174" spans="1:1" s="64" customFormat="1" x14ac:dyDescent="0.3">
      <c r="A174" s="159"/>
    </row>
    <row r="175" spans="1:1" s="102" customFormat="1" ht="12" x14ac:dyDescent="0.25">
      <c r="A175" s="252"/>
    </row>
    <row r="176" spans="1:1" s="102" customFormat="1" ht="12" x14ac:dyDescent="0.25">
      <c r="A176" s="252"/>
    </row>
    <row r="177" spans="1:1" s="64" customFormat="1" x14ac:dyDescent="0.3">
      <c r="A177" s="159"/>
    </row>
    <row r="178" spans="1:1" s="64" customFormat="1" x14ac:dyDescent="0.3">
      <c r="A178" s="159"/>
    </row>
    <row r="179" spans="1:1" s="102" customFormat="1" ht="12" x14ac:dyDescent="0.25">
      <c r="A179" s="252"/>
    </row>
    <row r="180" spans="1:1" s="102" customFormat="1" ht="12" x14ac:dyDescent="0.25">
      <c r="A180" s="252"/>
    </row>
    <row r="181" spans="1:1" s="64" customFormat="1" x14ac:dyDescent="0.3">
      <c r="A181" s="159"/>
    </row>
    <row r="182" spans="1:1" s="64" customFormat="1" x14ac:dyDescent="0.3">
      <c r="A182" s="159"/>
    </row>
    <row r="183" spans="1:1" s="102" customFormat="1" ht="12" x14ac:dyDescent="0.25">
      <c r="A183" s="252"/>
    </row>
    <row r="184" spans="1:1" s="102" customFormat="1" ht="12" x14ac:dyDescent="0.25">
      <c r="A184" s="252"/>
    </row>
    <row r="185" spans="1:1" s="64" customFormat="1" x14ac:dyDescent="0.3">
      <c r="A185" s="159"/>
    </row>
    <row r="186" spans="1:1" s="64" customFormat="1" x14ac:dyDescent="0.3">
      <c r="A186" s="159"/>
    </row>
    <row r="187" spans="1:1" s="102" customFormat="1" ht="12" x14ac:dyDescent="0.25">
      <c r="A187" s="252"/>
    </row>
    <row r="188" spans="1:1" s="102" customFormat="1" ht="12" x14ac:dyDescent="0.25">
      <c r="A188" s="252"/>
    </row>
    <row r="189" spans="1:1" s="64" customFormat="1" x14ac:dyDescent="0.3">
      <c r="A189" s="159"/>
    </row>
    <row r="190" spans="1:1" s="64" customFormat="1" x14ac:dyDescent="0.3">
      <c r="A190" s="159"/>
    </row>
    <row r="191" spans="1:1" s="102" customFormat="1" ht="12" x14ac:dyDescent="0.25">
      <c r="A191" s="252"/>
    </row>
    <row r="192" spans="1:1" s="102" customFormat="1" ht="12" x14ac:dyDescent="0.25">
      <c r="A192" s="252"/>
    </row>
    <row r="193" spans="1:1" s="64" customFormat="1" x14ac:dyDescent="0.3">
      <c r="A193" s="159"/>
    </row>
    <row r="194" spans="1:1" s="64" customFormat="1" x14ac:dyDescent="0.3">
      <c r="A194" s="159"/>
    </row>
    <row r="195" spans="1:1" s="102" customFormat="1" ht="12" x14ac:dyDescent="0.25">
      <c r="A195" s="252"/>
    </row>
    <row r="196" spans="1:1" s="102" customFormat="1" ht="12" x14ac:dyDescent="0.25">
      <c r="A196" s="252"/>
    </row>
    <row r="197" spans="1:1" s="64" customFormat="1" x14ac:dyDescent="0.3">
      <c r="A197" s="159"/>
    </row>
    <row r="198" spans="1:1" s="64" customFormat="1" x14ac:dyDescent="0.3">
      <c r="A198" s="159"/>
    </row>
    <row r="199" spans="1:1" s="102" customFormat="1" ht="12" x14ac:dyDescent="0.25">
      <c r="A199" s="252"/>
    </row>
    <row r="200" spans="1:1" s="102" customFormat="1" ht="12" x14ac:dyDescent="0.25">
      <c r="A200" s="252"/>
    </row>
    <row r="201" spans="1:1" s="64" customFormat="1" x14ac:dyDescent="0.3">
      <c r="A201" s="159"/>
    </row>
    <row r="202" spans="1:1" s="64" customFormat="1" x14ac:dyDescent="0.3">
      <c r="A202" s="159"/>
    </row>
    <row r="203" spans="1:1" s="102" customFormat="1" ht="12" x14ac:dyDescent="0.25">
      <c r="A203" s="252"/>
    </row>
    <row r="204" spans="1:1" s="102" customFormat="1" ht="12" x14ac:dyDescent="0.25">
      <c r="A204" s="252"/>
    </row>
    <row r="205" spans="1:1" s="64" customFormat="1" x14ac:dyDescent="0.3">
      <c r="A205" s="159"/>
    </row>
    <row r="206" spans="1:1" s="64" customFormat="1" x14ac:dyDescent="0.3">
      <c r="A206" s="159"/>
    </row>
    <row r="207" spans="1:1" s="102" customFormat="1" ht="12" x14ac:dyDescent="0.25">
      <c r="A207" s="252"/>
    </row>
    <row r="208" spans="1:1" s="102" customFormat="1" ht="12" x14ac:dyDescent="0.25">
      <c r="A208" s="252"/>
    </row>
    <row r="209" spans="1:1" s="64" customFormat="1" x14ac:dyDescent="0.3">
      <c r="A209" s="159"/>
    </row>
    <row r="210" spans="1:1" s="64" customFormat="1" x14ac:dyDescent="0.3">
      <c r="A210" s="159"/>
    </row>
    <row r="211" spans="1:1" s="102" customFormat="1" ht="12" x14ac:dyDescent="0.25">
      <c r="A211" s="252"/>
    </row>
    <row r="212" spans="1:1" s="102" customFormat="1" ht="12" x14ac:dyDescent="0.25">
      <c r="A212" s="252"/>
    </row>
    <row r="213" spans="1:1" s="64" customFormat="1" x14ac:dyDescent="0.3">
      <c r="A213" s="159"/>
    </row>
    <row r="214" spans="1:1" s="64" customFormat="1" x14ac:dyDescent="0.3">
      <c r="A214" s="159"/>
    </row>
    <row r="215" spans="1:1" s="102" customFormat="1" ht="12" x14ac:dyDescent="0.25">
      <c r="A215" s="252"/>
    </row>
    <row r="216" spans="1:1" s="102" customFormat="1" ht="12" x14ac:dyDescent="0.25">
      <c r="A216" s="252"/>
    </row>
    <row r="217" spans="1:1" s="64" customFormat="1" x14ac:dyDescent="0.3">
      <c r="A217" s="107"/>
    </row>
    <row r="218" spans="1:1" s="64" customFormat="1" x14ac:dyDescent="0.3">
      <c r="A218" s="107"/>
    </row>
  </sheetData>
  <mergeCells count="54">
    <mergeCell ref="A3:A6"/>
    <mergeCell ref="A199:A200"/>
    <mergeCell ref="A203:A204"/>
    <mergeCell ref="A207:A208"/>
    <mergeCell ref="A211:A212"/>
    <mergeCell ref="A159:A160"/>
    <mergeCell ref="A163:A164"/>
    <mergeCell ref="A167:A168"/>
    <mergeCell ref="A171:A172"/>
    <mergeCell ref="A175:A176"/>
    <mergeCell ref="A139:A140"/>
    <mergeCell ref="A143:A144"/>
    <mergeCell ref="A147:A148"/>
    <mergeCell ref="A151:A152"/>
    <mergeCell ref="A155:A156"/>
    <mergeCell ref="A119:A120"/>
    <mergeCell ref="A215:A216"/>
    <mergeCell ref="A179:A180"/>
    <mergeCell ref="A183:A184"/>
    <mergeCell ref="A187:A188"/>
    <mergeCell ref="A191:A192"/>
    <mergeCell ref="A195:A196"/>
    <mergeCell ref="A135:A136"/>
    <mergeCell ref="A99:A100"/>
    <mergeCell ref="A103:A104"/>
    <mergeCell ref="A107:A108"/>
    <mergeCell ref="A111:A112"/>
    <mergeCell ref="A115:A116"/>
    <mergeCell ref="A127:A128"/>
    <mergeCell ref="A131:A132"/>
    <mergeCell ref="A123:A124"/>
    <mergeCell ref="A91:A92"/>
    <mergeCell ref="A95:A96"/>
    <mergeCell ref="A87:A88"/>
    <mergeCell ref="A55:A56"/>
    <mergeCell ref="A59:A60"/>
    <mergeCell ref="A63:A64"/>
    <mergeCell ref="A67:A68"/>
    <mergeCell ref="A1:O1"/>
    <mergeCell ref="A71:A72"/>
    <mergeCell ref="A75:A76"/>
    <mergeCell ref="A79:A80"/>
    <mergeCell ref="A83:A84"/>
    <mergeCell ref="A11:A12"/>
    <mergeCell ref="A15:A16"/>
    <mergeCell ref="A19:A20"/>
    <mergeCell ref="A23:A24"/>
    <mergeCell ref="A27:A28"/>
    <mergeCell ref="A31:A32"/>
    <mergeCell ref="A35:A36"/>
    <mergeCell ref="A39:A40"/>
    <mergeCell ref="A43:A44"/>
    <mergeCell ref="A47:A48"/>
    <mergeCell ref="A51:A52"/>
  </mergeCells>
  <conditionalFormatting sqref="C6:N6">
    <cfRule type="cellIs" dxfId="5" priority="1" operator="greaterThan">
      <formula>C5*1.15</formula>
    </cfRule>
    <cfRule type="cellIs" dxfId="4" priority="2" operator="lessThan">
      <formula>C5*0.85</formula>
    </cfRule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EDC1-2063-4C51-AB8C-841DC2B7E2BA}">
  <sheetPr codeName="Sheet22"/>
  <dimension ref="A1:P218"/>
  <sheetViews>
    <sheetView zoomScale="70" zoomScaleNormal="70" workbookViewId="0">
      <pane xSplit="1" ySplit="2" topLeftCell="B5" activePane="bottomRight" state="frozen"/>
      <selection pane="topRight" activeCell="M13" sqref="M13"/>
      <selection pane="bottomLeft" activeCell="M13" sqref="M13"/>
      <selection pane="bottomRight" activeCell="O7" sqref="O7"/>
    </sheetView>
  </sheetViews>
  <sheetFormatPr defaultColWidth="9.109375" defaultRowHeight="14.4" x14ac:dyDescent="0.3"/>
  <cols>
    <col min="1" max="1" width="25.5546875" style="52" customWidth="1"/>
    <col min="2" max="2" width="22.88671875" style="52" bestFit="1" customWidth="1"/>
    <col min="3" max="15" width="13.5546875" style="52" customWidth="1"/>
    <col min="16" max="16384" width="9.109375" style="52"/>
  </cols>
  <sheetData>
    <row r="1" spans="1:16" ht="28.5" customHeight="1" x14ac:dyDescent="0.6">
      <c r="A1" s="232" t="s">
        <v>432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16" x14ac:dyDescent="0.3">
      <c r="A2" s="76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69" t="s">
        <v>7</v>
      </c>
      <c r="J2" s="69" t="s">
        <v>8</v>
      </c>
      <c r="K2" s="69" t="s">
        <v>9</v>
      </c>
      <c r="L2" s="69" t="s">
        <v>10</v>
      </c>
      <c r="M2" s="69" t="s">
        <v>11</v>
      </c>
      <c r="N2" s="69" t="s">
        <v>12</v>
      </c>
      <c r="O2" s="69" t="s">
        <v>13</v>
      </c>
    </row>
    <row r="3" spans="1:16" s="102" customFormat="1" ht="14.4" customHeight="1" x14ac:dyDescent="0.25">
      <c r="A3" s="239" t="s">
        <v>15</v>
      </c>
      <c r="B3" s="181" t="s">
        <v>16</v>
      </c>
      <c r="C3" s="182">
        <f>SUMIFS(C$11:C983,$B$11:$B983,"Actual 2024")</f>
        <v>0</v>
      </c>
      <c r="D3" s="182">
        <f>SUMIFS(D$11:D983,$B$11:$B983,"Actual 2024")</f>
        <v>335.24</v>
      </c>
      <c r="E3" s="182">
        <f>SUMIFS(E$11:E983,$B$11:$B983,"Actual 2024")</f>
        <v>0</v>
      </c>
      <c r="F3" s="182">
        <f>SUMIFS(F$11:F983,$B$11:$B983,"Actual 2024")</f>
        <v>138.76999999999998</v>
      </c>
      <c r="G3" s="182">
        <f>SUMIFS(G$11:G983,$B$11:$B983,"Actual 2024")</f>
        <v>371.93</v>
      </c>
      <c r="H3" s="182">
        <f>SUMIFS(H$11:H983,$B$11:$B983,"Actual 2024")</f>
        <v>0</v>
      </c>
      <c r="I3" s="185">
        <f>SUMIFS(I$11:I983,$B$11:$B983,"Actual 2024")</f>
        <v>0</v>
      </c>
      <c r="J3" s="185">
        <f>SUMIFS(J$11:J983,$B$11:$B983,"Actual 2024")</f>
        <v>0</v>
      </c>
      <c r="K3" s="185">
        <f>SUMIFS(K$11:K983,$B$11:$B983,"Actual 2024")</f>
        <v>0</v>
      </c>
      <c r="L3" s="185">
        <f>SUMIFS(L$11:L983,$B$11:$B983,"Actual 2024")</f>
        <v>0</v>
      </c>
      <c r="M3" s="185">
        <f>SUMIFS(M$11:M983,$B$11:$B983,"Actual 2024")</f>
        <v>0</v>
      </c>
      <c r="N3" s="185">
        <f>SUMIFS(N$11:N983,$B$11:$B983,"Actual 2024")</f>
        <v>0</v>
      </c>
      <c r="O3" s="183">
        <f>SUMIFS(O$11:O983,$B$11:$B983,"Actual 2024")</f>
        <v>845.94</v>
      </c>
      <c r="P3" s="102">
        <v>5456.21</v>
      </c>
    </row>
    <row r="4" spans="1:16" s="102" customFormat="1" ht="14.4" customHeight="1" x14ac:dyDescent="0.25">
      <c r="A4" s="240"/>
      <c r="B4" s="184" t="s">
        <v>27</v>
      </c>
      <c r="C4" s="189">
        <f>SUMIFS(C$11:C983,$B$11:$B983,"Estimated")</f>
        <v>400</v>
      </c>
      <c r="D4" s="189">
        <f>SUMIFS(D$11:D983,$B$11:$B983,"Estimated")</f>
        <v>400</v>
      </c>
      <c r="E4" s="189">
        <f>SUMIFS(E$11:E983,$B$11:$B983,"Estimated")</f>
        <v>400</v>
      </c>
      <c r="F4" s="189">
        <f>SUMIFS(F$11:F983,$B$11:$B983,"Estimated")</f>
        <v>400</v>
      </c>
      <c r="G4" s="189">
        <f>SUMIFS(G$11:G983,$B$11:$B983,"Estimated")</f>
        <v>400</v>
      </c>
      <c r="H4" s="189">
        <f>SUMIFS(H$11:H983,$B$11:$B983,"Estimated")</f>
        <v>400</v>
      </c>
      <c r="I4" s="192">
        <f>SUMIFS(I$11:I983,$B$11:$B983,"Estimated")</f>
        <v>400</v>
      </c>
      <c r="J4" s="192">
        <f>SUMIFS(J$11:J983,$B$11:$B983,"Estimated")</f>
        <v>400</v>
      </c>
      <c r="K4" s="192">
        <f>SUMIFS(K$11:K983,$B$11:$B983,"Estimated")</f>
        <v>400</v>
      </c>
      <c r="L4" s="192">
        <f>SUMIFS(L$11:L983,$B$11:$B983,"Estimated")</f>
        <v>400</v>
      </c>
      <c r="M4" s="192">
        <f>SUMIFS(M$11:M983,$B$11:$B983,"Estimated")</f>
        <v>400</v>
      </c>
      <c r="N4" s="192">
        <f>SUMIFS(N$11:N983,$B$11:$B983,"Estimated")</f>
        <v>400</v>
      </c>
      <c r="O4" s="191">
        <f>SUMIFS(O$11:O983,$B$11:$B983,"Estimated")</f>
        <v>4800</v>
      </c>
    </row>
    <row r="5" spans="1:16" s="166" customFormat="1" ht="14.4" customHeight="1" x14ac:dyDescent="0.3">
      <c r="A5" s="240"/>
      <c r="B5" s="162" t="s">
        <v>18</v>
      </c>
      <c r="C5" s="163">
        <v>500</v>
      </c>
      <c r="D5" s="169">
        <v>500</v>
      </c>
      <c r="E5" s="169">
        <v>500</v>
      </c>
      <c r="F5" s="169">
        <v>500</v>
      </c>
      <c r="G5" s="163">
        <v>500</v>
      </c>
      <c r="H5" s="163">
        <v>500</v>
      </c>
      <c r="I5" s="167">
        <v>500</v>
      </c>
      <c r="J5" s="167">
        <v>500</v>
      </c>
      <c r="K5" s="167">
        <v>500</v>
      </c>
      <c r="L5" s="167">
        <v>500</v>
      </c>
      <c r="M5" s="167">
        <v>500</v>
      </c>
      <c r="N5" s="167">
        <v>500</v>
      </c>
      <c r="O5" s="164">
        <f t="shared" ref="O5" si="0">SUM(C5:N5)</f>
        <v>6000</v>
      </c>
      <c r="P5" s="166">
        <v>6000</v>
      </c>
    </row>
    <row r="6" spans="1:16" s="166" customFormat="1" ht="15" thickBot="1" x14ac:dyDescent="0.35">
      <c r="A6" s="241"/>
      <c r="B6" s="174" t="s">
        <v>19</v>
      </c>
      <c r="C6" s="175">
        <f>SUMIFS(C$11:C988,$B$11:$B988,"Actual")</f>
        <v>0</v>
      </c>
      <c r="D6" s="175">
        <f>SUMIFS(D$11:D988,$B$11:$B988,"Actual")</f>
        <v>1553.88</v>
      </c>
      <c r="E6" s="175">
        <f>SUMIFS(E$11:E988,$B$11:$B988,"Actual")</f>
        <v>0</v>
      </c>
      <c r="F6" s="175">
        <f>SUMIFS(F$11:F988,$B$11:$B988,"Actual")</f>
        <v>0</v>
      </c>
      <c r="G6" s="175">
        <f>SUMIFS(G$11:G988,$B$11:$B988,"Actual")</f>
        <v>71.64</v>
      </c>
      <c r="H6" s="175">
        <f>SUMIFS(H$11:H988,$B$11:$B988,"Actual")</f>
        <v>98.97</v>
      </c>
      <c r="I6" s="177">
        <f>SUMIFS(I$11:I988,$B$11:$B988,"Actual")</f>
        <v>0</v>
      </c>
      <c r="J6" s="177">
        <f>SUMIFS(J$11:J988,$B$11:$B988,"Actual")</f>
        <v>78.569999999999993</v>
      </c>
      <c r="K6" s="177">
        <f>SUMIFS(K$11:K988,$B$11:$B988,"Actual")</f>
        <v>0</v>
      </c>
      <c r="L6" s="177">
        <f>SUMIFS(L$11:L988,$B$11:$B988,"Actual")</f>
        <v>0</v>
      </c>
      <c r="M6" s="177">
        <f>SUMIFS(M$11:M988,$B$11:$B988,"Actual")</f>
        <v>0</v>
      </c>
      <c r="N6" s="177">
        <f>SUMIFS(N$11:N988,$B$11:$B988,"Actual")</f>
        <v>0</v>
      </c>
      <c r="O6" s="176">
        <f>SUMIFS($O$11:O988,$B$11:$B988,"Actual")</f>
        <v>1803.0600000000002</v>
      </c>
      <c r="P6" s="166">
        <v>1761.14</v>
      </c>
    </row>
    <row r="7" spans="1:16" s="64" customFormat="1" ht="15" thickTop="1" x14ac:dyDescent="0.3">
      <c r="A7" s="133"/>
      <c r="B7" s="70" t="s">
        <v>21</v>
      </c>
      <c r="C7" s="60">
        <f t="shared" ref="C7:I7" si="1">C5-C6</f>
        <v>500</v>
      </c>
      <c r="D7" s="60">
        <f t="shared" si="1"/>
        <v>-1053.8800000000001</v>
      </c>
      <c r="E7" s="60">
        <f t="shared" si="1"/>
        <v>500</v>
      </c>
      <c r="F7" s="60">
        <f t="shared" si="1"/>
        <v>500</v>
      </c>
      <c r="G7" s="60">
        <f t="shared" si="1"/>
        <v>428.36</v>
      </c>
      <c r="H7" s="60">
        <f t="shared" si="1"/>
        <v>401.03</v>
      </c>
      <c r="I7" s="60">
        <f t="shared" si="1"/>
        <v>500</v>
      </c>
      <c r="J7" s="60">
        <f t="shared" ref="J7:N7" si="2">J5-J6</f>
        <v>421.43</v>
      </c>
      <c r="K7" s="60">
        <f t="shared" si="2"/>
        <v>500</v>
      </c>
      <c r="L7" s="60">
        <f t="shared" si="2"/>
        <v>500</v>
      </c>
      <c r="M7" s="60">
        <f t="shared" si="2"/>
        <v>500</v>
      </c>
      <c r="N7" s="60">
        <f t="shared" si="2"/>
        <v>500</v>
      </c>
      <c r="O7" s="75">
        <f>O5-O6</f>
        <v>4196.9399999999996</v>
      </c>
    </row>
    <row r="8" spans="1:16" s="142" customFormat="1" x14ac:dyDescent="0.3">
      <c r="A8" s="147"/>
      <c r="B8" s="139" t="s">
        <v>23</v>
      </c>
      <c r="C8" s="140">
        <f>SUM($C6:C6)</f>
        <v>0</v>
      </c>
      <c r="D8" s="140">
        <f>SUM($C6:D6)</f>
        <v>1553.88</v>
      </c>
      <c r="E8" s="140">
        <f>SUM($C6:E6)</f>
        <v>1553.88</v>
      </c>
      <c r="F8" s="140">
        <f>SUM($C6:F6)</f>
        <v>1553.88</v>
      </c>
      <c r="G8" s="140">
        <f>SUM($C6:G6)</f>
        <v>1625.5200000000002</v>
      </c>
      <c r="H8" s="140">
        <f>SUM($C6:H6)</f>
        <v>1724.4900000000002</v>
      </c>
      <c r="I8" s="140">
        <f>SUM($C6:I6)</f>
        <v>1724.4900000000002</v>
      </c>
      <c r="J8" s="140">
        <f>SUM($C6:J6)</f>
        <v>1803.0600000000002</v>
      </c>
      <c r="K8" s="140">
        <f>SUM($C6:K6)</f>
        <v>1803.0600000000002</v>
      </c>
      <c r="L8" s="140">
        <f>SUM($C6:L6)</f>
        <v>1803.0600000000002</v>
      </c>
      <c r="M8" s="140">
        <f>SUM($C6:M6)</f>
        <v>1803.0600000000002</v>
      </c>
      <c r="N8" s="140">
        <f>SUM($C6:N6)</f>
        <v>1803.0600000000002</v>
      </c>
      <c r="O8" s="141">
        <f>O6</f>
        <v>1803.0600000000002</v>
      </c>
    </row>
    <row r="9" spans="1:16" s="142" customFormat="1" x14ac:dyDescent="0.3">
      <c r="A9" s="148"/>
      <c r="B9" s="144" t="s">
        <v>25</v>
      </c>
      <c r="C9" s="145">
        <f>SUM($C5:C5)-C8</f>
        <v>500</v>
      </c>
      <c r="D9" s="145">
        <f>SUM($C5:D5)-D8</f>
        <v>-553.88000000000011</v>
      </c>
      <c r="E9" s="145">
        <f>SUM($C5:E5)-E8</f>
        <v>-53.880000000000109</v>
      </c>
      <c r="F9" s="145">
        <f>SUM($C5:F5)-F8</f>
        <v>446.11999999999989</v>
      </c>
      <c r="G9" s="145">
        <f>SUM($C5:G5)-G8</f>
        <v>874.47999999999979</v>
      </c>
      <c r="H9" s="145">
        <f>SUM($C5:H5)-H8</f>
        <v>1275.5099999999998</v>
      </c>
      <c r="I9" s="145">
        <f>SUM($C5:I5)-I8</f>
        <v>1775.5099999999998</v>
      </c>
      <c r="J9" s="145">
        <f>SUM($C5:J5)-J8</f>
        <v>2196.9399999999996</v>
      </c>
      <c r="K9" s="145">
        <f>SUM($C5:K5)-K8</f>
        <v>2696.9399999999996</v>
      </c>
      <c r="L9" s="145">
        <f>SUM($C5:L5)-L8</f>
        <v>3196.9399999999996</v>
      </c>
      <c r="M9" s="145">
        <f>SUM($C5:M5)-M8</f>
        <v>3696.9399999999996</v>
      </c>
      <c r="N9" s="145">
        <f>SUM($C5:N5)-N8</f>
        <v>4196.9399999999996</v>
      </c>
      <c r="O9" s="146"/>
    </row>
    <row r="10" spans="1:16" x14ac:dyDescent="0.3"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6" s="102" customFormat="1" ht="12" x14ac:dyDescent="0.25">
      <c r="A11" s="235" t="s">
        <v>433</v>
      </c>
      <c r="B11" s="99" t="s">
        <v>16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3">
        <f t="shared" ref="O11:O74" si="3">SUM(C11:N11)</f>
        <v>0</v>
      </c>
    </row>
    <row r="12" spans="1:16" s="102" customFormat="1" ht="12" x14ac:dyDescent="0.25">
      <c r="A12" s="235"/>
      <c r="B12" s="99" t="s">
        <v>29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3">
        <f>SUM(C12:N12)</f>
        <v>0</v>
      </c>
    </row>
    <row r="13" spans="1:16" s="67" customFormat="1" ht="12.6" customHeight="1" x14ac:dyDescent="0.3">
      <c r="A13" s="155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66">
        <f t="shared" si="3"/>
        <v>0</v>
      </c>
    </row>
    <row r="14" spans="1:16" s="67" customFormat="1" ht="12.6" customHeight="1" x14ac:dyDescent="0.3">
      <c r="A14" s="156"/>
      <c r="B14" s="116" t="s">
        <v>32</v>
      </c>
      <c r="C14" s="117"/>
      <c r="D14" s="117">
        <v>1553.88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8">
        <f>SUM(C14:N14)</f>
        <v>1553.88</v>
      </c>
    </row>
    <row r="15" spans="1:16" s="102" customFormat="1" ht="12" x14ac:dyDescent="0.25">
      <c r="A15" s="236" t="s">
        <v>434</v>
      </c>
      <c r="B15" s="99" t="s">
        <v>16</v>
      </c>
      <c r="C15" s="100"/>
      <c r="D15" s="100"/>
      <c r="E15" s="100"/>
      <c r="F15" s="100">
        <v>20.03</v>
      </c>
      <c r="G15" s="100">
        <v>17.91</v>
      </c>
      <c r="H15" s="100"/>
      <c r="I15" s="100"/>
      <c r="J15" s="100"/>
      <c r="K15" s="100"/>
      <c r="L15" s="100"/>
      <c r="M15" s="100"/>
      <c r="N15" s="100"/>
      <c r="O15" s="103">
        <f t="shared" si="3"/>
        <v>37.94</v>
      </c>
    </row>
    <row r="16" spans="1:16" s="102" customFormat="1" ht="12" x14ac:dyDescent="0.25">
      <c r="A16" s="235"/>
      <c r="B16" s="99" t="s">
        <v>29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3">
        <f>SUM(C16:N16)</f>
        <v>0</v>
      </c>
    </row>
    <row r="17" spans="1:15" s="67" customFormat="1" ht="12.6" customHeight="1" x14ac:dyDescent="0.3">
      <c r="A17" s="155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>
        <f t="shared" si="3"/>
        <v>0</v>
      </c>
    </row>
    <row r="18" spans="1:15" s="67" customFormat="1" ht="12.6" customHeight="1" x14ac:dyDescent="0.3">
      <c r="A18" s="156"/>
      <c r="B18" s="116" t="s">
        <v>32</v>
      </c>
      <c r="C18" s="117"/>
      <c r="D18" s="117"/>
      <c r="E18" s="117"/>
      <c r="F18" s="117"/>
      <c r="G18" s="117">
        <v>71.64</v>
      </c>
      <c r="H18" s="117">
        <f>45.61+45.52+7.84</f>
        <v>98.97</v>
      </c>
      <c r="I18" s="117"/>
      <c r="J18" s="117"/>
      <c r="K18" s="117"/>
      <c r="L18" s="117"/>
      <c r="M18" s="117"/>
      <c r="N18" s="117"/>
      <c r="O18" s="118">
        <f>SUM(C18:N18)</f>
        <v>170.61</v>
      </c>
    </row>
    <row r="19" spans="1:15" s="102" customFormat="1" ht="12" x14ac:dyDescent="0.25">
      <c r="A19" s="236" t="s">
        <v>435</v>
      </c>
      <c r="B19" s="99" t="s">
        <v>16</v>
      </c>
      <c r="C19" s="100"/>
      <c r="D19" s="100">
        <v>335.24</v>
      </c>
      <c r="E19" s="100"/>
      <c r="F19" s="100">
        <v>118.74</v>
      </c>
      <c r="G19" s="100">
        <v>354.02</v>
      </c>
      <c r="H19" s="100"/>
      <c r="I19" s="100"/>
      <c r="J19" s="100"/>
      <c r="K19" s="100"/>
      <c r="L19" s="100"/>
      <c r="M19" s="100"/>
      <c r="N19" s="100"/>
      <c r="O19" s="103">
        <f t="shared" si="3"/>
        <v>808</v>
      </c>
    </row>
    <row r="20" spans="1:15" s="102" customFormat="1" ht="12" x14ac:dyDescent="0.25">
      <c r="A20" s="235"/>
      <c r="B20" s="99" t="s">
        <v>29</v>
      </c>
      <c r="C20" s="100">
        <v>400</v>
      </c>
      <c r="D20" s="100">
        <v>400</v>
      </c>
      <c r="E20" s="100">
        <v>400</v>
      </c>
      <c r="F20" s="100">
        <v>400</v>
      </c>
      <c r="G20" s="100">
        <v>400</v>
      </c>
      <c r="H20" s="100">
        <v>400</v>
      </c>
      <c r="I20" s="100">
        <v>400</v>
      </c>
      <c r="J20" s="100">
        <v>400</v>
      </c>
      <c r="K20" s="100">
        <v>400</v>
      </c>
      <c r="L20" s="100">
        <v>400</v>
      </c>
      <c r="M20" s="100">
        <v>400</v>
      </c>
      <c r="N20" s="100">
        <v>400</v>
      </c>
      <c r="O20" s="103">
        <f t="shared" si="3"/>
        <v>4800</v>
      </c>
    </row>
    <row r="21" spans="1:15" s="67" customFormat="1" ht="12.6" customHeight="1" x14ac:dyDescent="0.3">
      <c r="A21" s="155"/>
      <c r="B21" s="65" t="s">
        <v>31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66">
        <f t="shared" si="3"/>
        <v>0</v>
      </c>
    </row>
    <row r="22" spans="1:15" s="67" customFormat="1" ht="12.6" customHeight="1" x14ac:dyDescent="0.3">
      <c r="A22" s="156"/>
      <c r="B22" s="116" t="s">
        <v>32</v>
      </c>
      <c r="C22" s="117"/>
      <c r="D22" s="117"/>
      <c r="E22" s="117"/>
      <c r="F22" s="117"/>
      <c r="G22" s="117"/>
      <c r="H22" s="117"/>
      <c r="I22" s="117"/>
      <c r="J22" s="117">
        <v>78.569999999999993</v>
      </c>
      <c r="K22" s="117"/>
      <c r="L22" s="117"/>
      <c r="M22" s="117"/>
      <c r="N22" s="117"/>
      <c r="O22" s="118">
        <f t="shared" si="3"/>
        <v>78.569999999999993</v>
      </c>
    </row>
    <row r="23" spans="1:15" s="102" customFormat="1" ht="12" x14ac:dyDescent="0.25">
      <c r="A23" s="236" t="s">
        <v>436</v>
      </c>
      <c r="B23" s="99" t="s">
        <v>16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3">
        <f t="shared" si="3"/>
        <v>0</v>
      </c>
    </row>
    <row r="24" spans="1:15" s="102" customFormat="1" ht="12" x14ac:dyDescent="0.25">
      <c r="A24" s="235"/>
      <c r="B24" s="99" t="s">
        <v>29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>
        <v>0</v>
      </c>
      <c r="N24" s="100">
        <v>0</v>
      </c>
      <c r="O24" s="103">
        <f t="shared" si="3"/>
        <v>0</v>
      </c>
    </row>
    <row r="25" spans="1:15" s="67" customFormat="1" ht="12.6" customHeight="1" x14ac:dyDescent="0.3">
      <c r="A25" s="155"/>
      <c r="B25" s="65" t="s">
        <v>31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66">
        <f t="shared" si="3"/>
        <v>0</v>
      </c>
    </row>
    <row r="26" spans="1:15" s="67" customFormat="1" ht="12.6" customHeight="1" x14ac:dyDescent="0.3">
      <c r="A26" s="156"/>
      <c r="B26" s="116" t="s">
        <v>32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8">
        <f t="shared" si="3"/>
        <v>0</v>
      </c>
    </row>
    <row r="27" spans="1:15" s="102" customFormat="1" ht="12" x14ac:dyDescent="0.25">
      <c r="A27" s="236"/>
      <c r="B27" s="99" t="s">
        <v>16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3">
        <f t="shared" si="3"/>
        <v>0</v>
      </c>
    </row>
    <row r="28" spans="1:15" s="102" customFormat="1" ht="12" x14ac:dyDescent="0.25">
      <c r="A28" s="235"/>
      <c r="B28" s="99" t="s">
        <v>29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100">
        <v>0</v>
      </c>
      <c r="N28" s="100">
        <v>0</v>
      </c>
      <c r="O28" s="103">
        <f t="shared" si="3"/>
        <v>0</v>
      </c>
    </row>
    <row r="29" spans="1:15" s="67" customFormat="1" ht="12.6" customHeight="1" x14ac:dyDescent="0.3">
      <c r="A29" s="155"/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66">
        <f t="shared" si="3"/>
        <v>0</v>
      </c>
    </row>
    <row r="30" spans="1:15" s="67" customFormat="1" ht="12.6" customHeight="1" x14ac:dyDescent="0.3">
      <c r="A30" s="156"/>
      <c r="B30" s="116" t="s">
        <v>32</v>
      </c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8">
        <f t="shared" si="3"/>
        <v>0</v>
      </c>
    </row>
    <row r="31" spans="1:15" s="102" customFormat="1" ht="12" x14ac:dyDescent="0.25">
      <c r="A31" s="236"/>
      <c r="B31" s="99" t="s">
        <v>16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3">
        <f t="shared" si="3"/>
        <v>0</v>
      </c>
    </row>
    <row r="32" spans="1:15" s="102" customFormat="1" ht="12" x14ac:dyDescent="0.25">
      <c r="A32" s="235"/>
      <c r="B32" s="99" t="s">
        <v>29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3">
        <f t="shared" si="3"/>
        <v>0</v>
      </c>
    </row>
    <row r="33" spans="1:15" s="67" customFormat="1" ht="12.6" customHeight="1" x14ac:dyDescent="0.3">
      <c r="A33" s="155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 t="shared" si="3"/>
        <v>0</v>
      </c>
    </row>
    <row r="34" spans="1:15" s="67" customFormat="1" ht="12.6" customHeight="1" x14ac:dyDescent="0.3">
      <c r="A34" s="156"/>
      <c r="B34" s="116" t="s">
        <v>32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8">
        <f t="shared" si="3"/>
        <v>0</v>
      </c>
    </row>
    <row r="35" spans="1:15" s="102" customFormat="1" ht="12" x14ac:dyDescent="0.25">
      <c r="A35" s="236"/>
      <c r="B35" s="99" t="s">
        <v>16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3">
        <f t="shared" si="3"/>
        <v>0</v>
      </c>
    </row>
    <row r="36" spans="1:15" s="102" customFormat="1" ht="12" x14ac:dyDescent="0.25">
      <c r="A36" s="235"/>
      <c r="B36" s="99" t="s">
        <v>29</v>
      </c>
      <c r="C36" s="100">
        <v>0</v>
      </c>
      <c r="D36" s="100">
        <v>0</v>
      </c>
      <c r="E36" s="100">
        <v>0</v>
      </c>
      <c r="F36" s="100">
        <v>0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100">
        <v>0</v>
      </c>
      <c r="N36" s="100">
        <v>0</v>
      </c>
      <c r="O36" s="103">
        <f t="shared" si="3"/>
        <v>0</v>
      </c>
    </row>
    <row r="37" spans="1:15" s="67" customFormat="1" ht="12.6" customHeight="1" x14ac:dyDescent="0.3">
      <c r="A37" s="155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 t="shared" si="3"/>
        <v>0</v>
      </c>
    </row>
    <row r="38" spans="1:15" s="67" customFormat="1" ht="12.6" customHeight="1" x14ac:dyDescent="0.3">
      <c r="A38" s="156"/>
      <c r="B38" s="116" t="s">
        <v>32</v>
      </c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>
        <f t="shared" si="3"/>
        <v>0</v>
      </c>
    </row>
    <row r="39" spans="1:15" s="102" customFormat="1" ht="12" x14ac:dyDescent="0.25">
      <c r="A39" s="236"/>
      <c r="B39" s="99" t="s">
        <v>16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3">
        <f t="shared" si="3"/>
        <v>0</v>
      </c>
    </row>
    <row r="40" spans="1:15" s="102" customFormat="1" ht="12" x14ac:dyDescent="0.25">
      <c r="A40" s="235"/>
      <c r="B40" s="99" t="s">
        <v>29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100">
        <v>0</v>
      </c>
      <c r="N40" s="100">
        <v>0</v>
      </c>
      <c r="O40" s="103">
        <f t="shared" si="3"/>
        <v>0</v>
      </c>
    </row>
    <row r="41" spans="1:15" s="64" customFormat="1" ht="12.6" customHeight="1" x14ac:dyDescent="0.3">
      <c r="A41" s="155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66">
        <f t="shared" si="3"/>
        <v>0</v>
      </c>
    </row>
    <row r="42" spans="1:15" s="64" customFormat="1" ht="12.6" customHeight="1" x14ac:dyDescent="0.3">
      <c r="A42" s="156"/>
      <c r="B42" s="7" t="s">
        <v>32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8">
        <f t="shared" si="3"/>
        <v>0</v>
      </c>
    </row>
    <row r="43" spans="1:15" s="102" customFormat="1" ht="12" x14ac:dyDescent="0.25">
      <c r="A43" s="236"/>
      <c r="B43" s="99" t="s">
        <v>16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3">
        <f t="shared" si="3"/>
        <v>0</v>
      </c>
    </row>
    <row r="44" spans="1:15" s="102" customFormat="1" ht="12" x14ac:dyDescent="0.25">
      <c r="A44" s="235"/>
      <c r="B44" s="99" t="s">
        <v>29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100">
        <v>0</v>
      </c>
      <c r="N44" s="100">
        <v>0</v>
      </c>
      <c r="O44" s="103">
        <f t="shared" si="3"/>
        <v>0</v>
      </c>
    </row>
    <row r="45" spans="1:15" s="64" customFormat="1" ht="12.6" customHeight="1" x14ac:dyDescent="0.3">
      <c r="A45" s="155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66">
        <f t="shared" si="3"/>
        <v>0</v>
      </c>
    </row>
    <row r="46" spans="1:15" s="64" customFormat="1" ht="12.6" customHeight="1" x14ac:dyDescent="0.3">
      <c r="A46" s="156"/>
      <c r="B46" s="7" t="s">
        <v>32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8">
        <f t="shared" si="3"/>
        <v>0</v>
      </c>
    </row>
    <row r="47" spans="1:15" s="102" customFormat="1" ht="12" x14ac:dyDescent="0.25">
      <c r="A47" s="236"/>
      <c r="B47" s="99" t="s">
        <v>16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3">
        <f t="shared" si="3"/>
        <v>0</v>
      </c>
    </row>
    <row r="48" spans="1:15" s="102" customFormat="1" ht="12" x14ac:dyDescent="0.25">
      <c r="A48" s="235"/>
      <c r="B48" s="99" t="s">
        <v>29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3">
        <f t="shared" si="3"/>
        <v>0</v>
      </c>
    </row>
    <row r="49" spans="1:15" s="64" customFormat="1" ht="12.6" customHeight="1" x14ac:dyDescent="0.3">
      <c r="A49" s="155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66">
        <f t="shared" si="3"/>
        <v>0</v>
      </c>
    </row>
    <row r="50" spans="1:15" s="64" customFormat="1" ht="12.6" customHeight="1" x14ac:dyDescent="0.3">
      <c r="A50" s="156"/>
      <c r="B50" s="7" t="s">
        <v>32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8">
        <f t="shared" si="3"/>
        <v>0</v>
      </c>
    </row>
    <row r="51" spans="1:15" s="102" customFormat="1" ht="12" x14ac:dyDescent="0.25">
      <c r="A51" s="236"/>
      <c r="B51" s="99" t="s">
        <v>16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3">
        <f t="shared" si="3"/>
        <v>0</v>
      </c>
    </row>
    <row r="52" spans="1:15" s="102" customFormat="1" ht="12" x14ac:dyDescent="0.25">
      <c r="A52" s="235"/>
      <c r="B52" s="99" t="s">
        <v>29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0</v>
      </c>
      <c r="N52" s="100">
        <v>0</v>
      </c>
      <c r="O52" s="103">
        <f t="shared" si="3"/>
        <v>0</v>
      </c>
    </row>
    <row r="53" spans="1:15" s="64" customFormat="1" ht="12.6" customHeight="1" x14ac:dyDescent="0.3">
      <c r="A53" s="155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66">
        <f t="shared" si="3"/>
        <v>0</v>
      </c>
    </row>
    <row r="54" spans="1:15" s="64" customFormat="1" ht="12.6" customHeight="1" x14ac:dyDescent="0.3">
      <c r="A54" s="156"/>
      <c r="B54" s="7" t="s">
        <v>32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8">
        <f t="shared" si="3"/>
        <v>0</v>
      </c>
    </row>
    <row r="55" spans="1:15" s="102" customFormat="1" ht="12" x14ac:dyDescent="0.25">
      <c r="A55" s="236"/>
      <c r="B55" s="99" t="s">
        <v>16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3">
        <f t="shared" si="3"/>
        <v>0</v>
      </c>
    </row>
    <row r="56" spans="1:15" s="102" customFormat="1" ht="12" x14ac:dyDescent="0.25">
      <c r="A56" s="235"/>
      <c r="B56" s="99" t="s">
        <v>29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3">
        <f t="shared" si="3"/>
        <v>0</v>
      </c>
    </row>
    <row r="57" spans="1:15" s="64" customFormat="1" ht="12.6" customHeight="1" x14ac:dyDescent="0.3">
      <c r="A57" s="155"/>
      <c r="B57" s="5" t="s">
        <v>31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66">
        <f t="shared" si="3"/>
        <v>0</v>
      </c>
    </row>
    <row r="58" spans="1:15" s="64" customFormat="1" ht="12.6" customHeight="1" x14ac:dyDescent="0.3">
      <c r="A58" s="156"/>
      <c r="B58" s="7" t="s">
        <v>32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8">
        <f t="shared" si="3"/>
        <v>0</v>
      </c>
    </row>
    <row r="59" spans="1:15" s="102" customFormat="1" ht="12" x14ac:dyDescent="0.25">
      <c r="A59" s="236"/>
      <c r="B59" s="99" t="s">
        <v>16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3">
        <f t="shared" si="3"/>
        <v>0</v>
      </c>
    </row>
    <row r="60" spans="1:15" s="102" customFormat="1" ht="12" x14ac:dyDescent="0.25">
      <c r="A60" s="235"/>
      <c r="B60" s="99" t="s">
        <v>29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3">
        <f t="shared" si="3"/>
        <v>0</v>
      </c>
    </row>
    <row r="61" spans="1:15" s="64" customFormat="1" ht="12.6" customHeight="1" x14ac:dyDescent="0.3">
      <c r="A61" s="155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66">
        <f t="shared" si="3"/>
        <v>0</v>
      </c>
    </row>
    <row r="62" spans="1:15" s="64" customFormat="1" ht="12.6" customHeight="1" x14ac:dyDescent="0.3">
      <c r="A62" s="156"/>
      <c r="B62" s="7" t="s">
        <v>32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8">
        <f t="shared" si="3"/>
        <v>0</v>
      </c>
    </row>
    <row r="63" spans="1:15" s="102" customFormat="1" ht="12" x14ac:dyDescent="0.25">
      <c r="A63" s="236"/>
      <c r="B63" s="99" t="s">
        <v>16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3">
        <f t="shared" si="3"/>
        <v>0</v>
      </c>
    </row>
    <row r="64" spans="1:15" s="102" customFormat="1" ht="12" x14ac:dyDescent="0.25">
      <c r="A64" s="235"/>
      <c r="B64" s="99" t="s">
        <v>29</v>
      </c>
      <c r="C64" s="100">
        <v>0</v>
      </c>
      <c r="D64" s="100">
        <v>0</v>
      </c>
      <c r="E64" s="100">
        <v>0</v>
      </c>
      <c r="F64" s="100">
        <v>0</v>
      </c>
      <c r="G64" s="100">
        <v>0</v>
      </c>
      <c r="H64" s="100">
        <v>0</v>
      </c>
      <c r="I64" s="100">
        <v>0</v>
      </c>
      <c r="J64" s="100">
        <v>0</v>
      </c>
      <c r="K64" s="100">
        <v>0</v>
      </c>
      <c r="L64" s="100">
        <v>0</v>
      </c>
      <c r="M64" s="100">
        <v>0</v>
      </c>
      <c r="N64" s="100">
        <v>0</v>
      </c>
      <c r="O64" s="103">
        <f t="shared" si="3"/>
        <v>0</v>
      </c>
    </row>
    <row r="65" spans="1:15" s="64" customFormat="1" ht="12.6" customHeight="1" x14ac:dyDescent="0.3">
      <c r="A65" s="155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66">
        <f t="shared" si="3"/>
        <v>0</v>
      </c>
    </row>
    <row r="66" spans="1:15" s="64" customFormat="1" ht="12.6" customHeight="1" x14ac:dyDescent="0.3">
      <c r="A66" s="156"/>
      <c r="B66" s="7" t="s">
        <v>32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8">
        <f t="shared" si="3"/>
        <v>0</v>
      </c>
    </row>
    <row r="67" spans="1:15" s="102" customFormat="1" ht="12.6" customHeight="1" x14ac:dyDescent="0.25">
      <c r="A67" s="236"/>
      <c r="B67" s="99" t="s">
        <v>16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3">
        <f t="shared" si="3"/>
        <v>0</v>
      </c>
    </row>
    <row r="68" spans="1:15" s="102" customFormat="1" ht="12" x14ac:dyDescent="0.25">
      <c r="A68" s="235"/>
      <c r="B68" s="99" t="s">
        <v>29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3">
        <f t="shared" si="3"/>
        <v>0</v>
      </c>
    </row>
    <row r="69" spans="1:15" s="64" customFormat="1" x14ac:dyDescent="0.3">
      <c r="A69" s="155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66">
        <f t="shared" si="3"/>
        <v>0</v>
      </c>
    </row>
    <row r="70" spans="1:15" s="64" customFormat="1" x14ac:dyDescent="0.3">
      <c r="A70" s="156"/>
      <c r="B70" s="7" t="s">
        <v>32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8">
        <f t="shared" si="3"/>
        <v>0</v>
      </c>
    </row>
    <row r="71" spans="1:15" s="102" customFormat="1" ht="12" x14ac:dyDescent="0.25">
      <c r="A71" s="236"/>
      <c r="B71" s="99" t="s">
        <v>16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3">
        <f t="shared" si="3"/>
        <v>0</v>
      </c>
    </row>
    <row r="72" spans="1:15" s="102" customFormat="1" ht="12" x14ac:dyDescent="0.25">
      <c r="A72" s="235"/>
      <c r="B72" s="99" t="s">
        <v>29</v>
      </c>
      <c r="C72" s="100">
        <v>0</v>
      </c>
      <c r="D72" s="100">
        <v>0</v>
      </c>
      <c r="E72" s="100">
        <v>0</v>
      </c>
      <c r="F72" s="100">
        <v>0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3">
        <f t="shared" si="3"/>
        <v>0</v>
      </c>
    </row>
    <row r="73" spans="1:15" s="64" customFormat="1" x14ac:dyDescent="0.3">
      <c r="A73" s="155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66">
        <f t="shared" si="3"/>
        <v>0</v>
      </c>
    </row>
    <row r="74" spans="1:15" s="64" customFormat="1" x14ac:dyDescent="0.3">
      <c r="A74" s="156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8">
        <f t="shared" si="3"/>
        <v>0</v>
      </c>
    </row>
    <row r="75" spans="1:15" s="102" customFormat="1" ht="12" x14ac:dyDescent="0.25">
      <c r="A75" s="236"/>
      <c r="B75" s="99" t="s">
        <v>16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3">
        <f t="shared" ref="O75:O114" si="4">SUM(C75:N75)</f>
        <v>0</v>
      </c>
    </row>
    <row r="76" spans="1:15" s="102" customFormat="1" ht="12" x14ac:dyDescent="0.25">
      <c r="A76" s="235"/>
      <c r="B76" s="99" t="s">
        <v>29</v>
      </c>
      <c r="C76" s="100">
        <v>0</v>
      </c>
      <c r="D76" s="100">
        <v>0</v>
      </c>
      <c r="E76" s="100">
        <v>0</v>
      </c>
      <c r="F76" s="100">
        <v>0</v>
      </c>
      <c r="G76" s="100">
        <v>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3">
        <f t="shared" si="4"/>
        <v>0</v>
      </c>
    </row>
    <row r="77" spans="1:15" s="64" customFormat="1" x14ac:dyDescent="0.3">
      <c r="A77" s="155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66">
        <f t="shared" si="4"/>
        <v>0</v>
      </c>
    </row>
    <row r="78" spans="1:15" s="64" customFormat="1" x14ac:dyDescent="0.3">
      <c r="A78" s="156"/>
      <c r="B78" s="7" t="s">
        <v>32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8">
        <f t="shared" si="4"/>
        <v>0</v>
      </c>
    </row>
    <row r="79" spans="1:15" s="102" customFormat="1" ht="12" x14ac:dyDescent="0.25">
      <c r="A79" s="236"/>
      <c r="B79" s="99" t="s">
        <v>16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3">
        <f t="shared" si="4"/>
        <v>0</v>
      </c>
    </row>
    <row r="80" spans="1:15" s="102" customFormat="1" ht="12" x14ac:dyDescent="0.25">
      <c r="A80" s="235"/>
      <c r="B80" s="99" t="s">
        <v>29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3">
        <f t="shared" si="4"/>
        <v>0</v>
      </c>
    </row>
    <row r="81" spans="1:15" s="64" customFormat="1" x14ac:dyDescent="0.3">
      <c r="A81" s="155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66">
        <f t="shared" si="4"/>
        <v>0</v>
      </c>
    </row>
    <row r="82" spans="1:15" s="64" customFormat="1" x14ac:dyDescent="0.3">
      <c r="A82" s="156"/>
      <c r="B82" s="7" t="s">
        <v>32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8">
        <f t="shared" si="4"/>
        <v>0</v>
      </c>
    </row>
    <row r="83" spans="1:15" s="102" customFormat="1" ht="12" x14ac:dyDescent="0.25">
      <c r="A83" s="236"/>
      <c r="B83" s="99" t="s">
        <v>16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3">
        <f t="shared" si="4"/>
        <v>0</v>
      </c>
    </row>
    <row r="84" spans="1:15" s="102" customFormat="1" ht="12" x14ac:dyDescent="0.25">
      <c r="A84" s="235"/>
      <c r="B84" s="99" t="s">
        <v>29</v>
      </c>
      <c r="C84" s="100">
        <v>0</v>
      </c>
      <c r="D84" s="100">
        <v>0</v>
      </c>
      <c r="E84" s="100">
        <v>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3">
        <f t="shared" si="4"/>
        <v>0</v>
      </c>
    </row>
    <row r="85" spans="1:15" s="64" customFormat="1" x14ac:dyDescent="0.3">
      <c r="A85" s="155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66">
        <f t="shared" si="4"/>
        <v>0</v>
      </c>
    </row>
    <row r="86" spans="1:15" s="64" customFormat="1" x14ac:dyDescent="0.3">
      <c r="A86" s="156"/>
      <c r="B86" s="7" t="s">
        <v>32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8">
        <f t="shared" si="4"/>
        <v>0</v>
      </c>
    </row>
    <row r="87" spans="1:15" s="102" customFormat="1" ht="12" x14ac:dyDescent="0.25">
      <c r="A87" s="236"/>
      <c r="B87" s="99" t="s">
        <v>16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3">
        <f t="shared" si="4"/>
        <v>0</v>
      </c>
    </row>
    <row r="88" spans="1:15" s="102" customFormat="1" ht="12" x14ac:dyDescent="0.25">
      <c r="A88" s="235"/>
      <c r="B88" s="99" t="s">
        <v>29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3">
        <f t="shared" si="4"/>
        <v>0</v>
      </c>
    </row>
    <row r="89" spans="1:15" s="64" customFormat="1" x14ac:dyDescent="0.3">
      <c r="A89" s="155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66">
        <f t="shared" si="4"/>
        <v>0</v>
      </c>
    </row>
    <row r="90" spans="1:15" s="64" customFormat="1" x14ac:dyDescent="0.3">
      <c r="A90" s="156"/>
      <c r="B90" s="7" t="s">
        <v>32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8">
        <f t="shared" si="4"/>
        <v>0</v>
      </c>
    </row>
    <row r="91" spans="1:15" s="102" customFormat="1" ht="12" x14ac:dyDescent="0.25">
      <c r="A91" s="236"/>
      <c r="B91" s="99" t="s">
        <v>16</v>
      </c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3">
        <f t="shared" si="4"/>
        <v>0</v>
      </c>
    </row>
    <row r="92" spans="1:15" s="102" customFormat="1" ht="12" x14ac:dyDescent="0.25">
      <c r="A92" s="235"/>
      <c r="B92" s="99" t="s">
        <v>29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100">
        <v>0</v>
      </c>
      <c r="N92" s="100">
        <v>0</v>
      </c>
      <c r="O92" s="103">
        <f t="shared" si="4"/>
        <v>0</v>
      </c>
    </row>
    <row r="93" spans="1:15" s="64" customFormat="1" x14ac:dyDescent="0.3">
      <c r="A93" s="155"/>
      <c r="B93" s="5" t="s">
        <v>31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66">
        <f t="shared" si="4"/>
        <v>0</v>
      </c>
    </row>
    <row r="94" spans="1:15" s="64" customFormat="1" x14ac:dyDescent="0.3">
      <c r="A94" s="156"/>
      <c r="B94" s="7" t="s">
        <v>32</v>
      </c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8">
        <f t="shared" si="4"/>
        <v>0</v>
      </c>
    </row>
    <row r="95" spans="1:15" s="102" customFormat="1" ht="12" x14ac:dyDescent="0.25">
      <c r="A95" s="236"/>
      <c r="B95" s="99" t="s">
        <v>16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3">
        <f t="shared" si="4"/>
        <v>0</v>
      </c>
    </row>
    <row r="96" spans="1:15" s="102" customFormat="1" ht="12" x14ac:dyDescent="0.25">
      <c r="A96" s="235"/>
      <c r="B96" s="99" t="s">
        <v>29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100">
        <v>0</v>
      </c>
      <c r="N96" s="100">
        <v>0</v>
      </c>
      <c r="O96" s="103">
        <f t="shared" si="4"/>
        <v>0</v>
      </c>
    </row>
    <row r="97" spans="1:15" s="64" customFormat="1" x14ac:dyDescent="0.3">
      <c r="A97" s="155"/>
      <c r="B97" s="5" t="s">
        <v>31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66">
        <f t="shared" si="4"/>
        <v>0</v>
      </c>
    </row>
    <row r="98" spans="1:15" s="64" customFormat="1" x14ac:dyDescent="0.3">
      <c r="A98" s="156"/>
      <c r="B98" s="7" t="s">
        <v>32</v>
      </c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8">
        <f t="shared" si="4"/>
        <v>0</v>
      </c>
    </row>
    <row r="99" spans="1:15" s="102" customFormat="1" ht="12" x14ac:dyDescent="0.25">
      <c r="A99" s="236"/>
      <c r="B99" s="99" t="s">
        <v>16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3">
        <f t="shared" si="4"/>
        <v>0</v>
      </c>
    </row>
    <row r="100" spans="1:15" s="102" customFormat="1" ht="12" x14ac:dyDescent="0.25">
      <c r="A100" s="235"/>
      <c r="B100" s="99" t="s">
        <v>31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3">
        <f t="shared" si="4"/>
        <v>0</v>
      </c>
    </row>
    <row r="101" spans="1:15" s="64" customFormat="1" x14ac:dyDescent="0.3">
      <c r="A101" s="155"/>
      <c r="B101" s="5" t="s">
        <v>29</v>
      </c>
      <c r="C101" s="113">
        <v>0</v>
      </c>
      <c r="D101" s="113">
        <v>0</v>
      </c>
      <c r="E101" s="113">
        <v>0</v>
      </c>
      <c r="F101" s="113">
        <v>0</v>
      </c>
      <c r="G101" s="113">
        <v>0</v>
      </c>
      <c r="H101" s="113">
        <v>0</v>
      </c>
      <c r="I101" s="113">
        <v>0</v>
      </c>
      <c r="J101" s="113">
        <v>0</v>
      </c>
      <c r="K101" s="113">
        <v>0</v>
      </c>
      <c r="L101" s="113">
        <v>0</v>
      </c>
      <c r="M101" s="113">
        <v>0</v>
      </c>
      <c r="N101" s="113">
        <v>0</v>
      </c>
      <c r="O101" s="66">
        <f t="shared" si="4"/>
        <v>0</v>
      </c>
    </row>
    <row r="102" spans="1:15" s="64" customFormat="1" x14ac:dyDescent="0.3">
      <c r="A102" s="156"/>
      <c r="B102" s="7" t="s">
        <v>32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8">
        <f t="shared" si="4"/>
        <v>0</v>
      </c>
    </row>
    <row r="103" spans="1:15" s="102" customFormat="1" ht="12" x14ac:dyDescent="0.25">
      <c r="A103" s="236"/>
      <c r="B103" s="99" t="s">
        <v>16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3">
        <f t="shared" si="4"/>
        <v>0</v>
      </c>
    </row>
    <row r="104" spans="1:15" s="102" customFormat="1" ht="12" x14ac:dyDescent="0.25">
      <c r="A104" s="235"/>
      <c r="B104" s="99" t="s">
        <v>29</v>
      </c>
      <c r="C104" s="100">
        <v>0</v>
      </c>
      <c r="D104" s="100">
        <v>0</v>
      </c>
      <c r="E104" s="100">
        <v>0</v>
      </c>
      <c r="F104" s="100">
        <v>0</v>
      </c>
      <c r="G104" s="100">
        <v>0</v>
      </c>
      <c r="H104" s="100">
        <v>0</v>
      </c>
      <c r="I104" s="100">
        <v>0</v>
      </c>
      <c r="J104" s="100">
        <v>0</v>
      </c>
      <c r="K104" s="100">
        <v>0</v>
      </c>
      <c r="L104" s="100">
        <v>0</v>
      </c>
      <c r="M104" s="100">
        <v>0</v>
      </c>
      <c r="N104" s="100">
        <v>0</v>
      </c>
      <c r="O104" s="103">
        <f t="shared" si="4"/>
        <v>0</v>
      </c>
    </row>
    <row r="105" spans="1:15" s="64" customFormat="1" x14ac:dyDescent="0.3">
      <c r="A105" s="155"/>
      <c r="B105" s="5" t="s">
        <v>31</v>
      </c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66">
        <f t="shared" si="4"/>
        <v>0</v>
      </c>
    </row>
    <row r="106" spans="1:15" s="64" customFormat="1" x14ac:dyDescent="0.3">
      <c r="A106" s="156"/>
      <c r="B106" s="7" t="s">
        <v>32</v>
      </c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8">
        <f t="shared" si="4"/>
        <v>0</v>
      </c>
    </row>
    <row r="107" spans="1:15" s="102" customFormat="1" ht="12" x14ac:dyDescent="0.25">
      <c r="A107" s="236"/>
      <c r="B107" s="99" t="s">
        <v>16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3">
        <f t="shared" si="4"/>
        <v>0</v>
      </c>
    </row>
    <row r="108" spans="1:15" s="102" customFormat="1" ht="12" x14ac:dyDescent="0.25">
      <c r="A108" s="235"/>
      <c r="B108" s="99" t="s">
        <v>29</v>
      </c>
      <c r="C108" s="100">
        <v>0</v>
      </c>
      <c r="D108" s="100">
        <v>0</v>
      </c>
      <c r="E108" s="100">
        <v>0</v>
      </c>
      <c r="F108" s="100">
        <v>0</v>
      </c>
      <c r="G108" s="100">
        <v>0</v>
      </c>
      <c r="H108" s="100">
        <v>0</v>
      </c>
      <c r="I108" s="100">
        <v>0</v>
      </c>
      <c r="J108" s="100">
        <v>0</v>
      </c>
      <c r="K108" s="100">
        <v>0</v>
      </c>
      <c r="L108" s="100">
        <v>0</v>
      </c>
      <c r="M108" s="100">
        <v>0</v>
      </c>
      <c r="N108" s="100">
        <v>0</v>
      </c>
      <c r="O108" s="103">
        <f t="shared" si="4"/>
        <v>0</v>
      </c>
    </row>
    <row r="109" spans="1:15" s="64" customFormat="1" x14ac:dyDescent="0.3">
      <c r="A109" s="155"/>
      <c r="B109" s="5" t="s">
        <v>31</v>
      </c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66">
        <f t="shared" si="4"/>
        <v>0</v>
      </c>
    </row>
    <row r="110" spans="1:15" s="64" customFormat="1" x14ac:dyDescent="0.3">
      <c r="A110" s="156"/>
      <c r="B110" s="7" t="s">
        <v>32</v>
      </c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8">
        <f t="shared" si="4"/>
        <v>0</v>
      </c>
    </row>
    <row r="111" spans="1:15" s="102" customFormat="1" ht="12" x14ac:dyDescent="0.25">
      <c r="A111" s="236"/>
      <c r="B111" s="99" t="s">
        <v>16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3">
        <f t="shared" si="4"/>
        <v>0</v>
      </c>
    </row>
    <row r="112" spans="1:15" s="102" customFormat="1" ht="12" x14ac:dyDescent="0.25">
      <c r="A112" s="235"/>
      <c r="B112" s="99" t="s">
        <v>29</v>
      </c>
      <c r="C112" s="100">
        <v>0</v>
      </c>
      <c r="D112" s="100">
        <v>0</v>
      </c>
      <c r="E112" s="100">
        <v>0</v>
      </c>
      <c r="F112" s="100">
        <v>0</v>
      </c>
      <c r="G112" s="100">
        <v>0</v>
      </c>
      <c r="H112" s="100">
        <v>0</v>
      </c>
      <c r="I112" s="100">
        <v>0</v>
      </c>
      <c r="J112" s="100">
        <v>0</v>
      </c>
      <c r="K112" s="100">
        <v>0</v>
      </c>
      <c r="L112" s="100">
        <v>0</v>
      </c>
      <c r="M112" s="100">
        <v>0</v>
      </c>
      <c r="N112" s="100">
        <v>0</v>
      </c>
      <c r="O112" s="103">
        <f t="shared" si="4"/>
        <v>0</v>
      </c>
    </row>
    <row r="113" spans="1:15" s="64" customFormat="1" x14ac:dyDescent="0.3">
      <c r="A113" s="155"/>
      <c r="B113" s="5" t="s">
        <v>31</v>
      </c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66">
        <f t="shared" si="4"/>
        <v>0</v>
      </c>
    </row>
    <row r="114" spans="1:15" s="64" customFormat="1" x14ac:dyDescent="0.3">
      <c r="A114" s="156"/>
      <c r="B114" s="7" t="s">
        <v>32</v>
      </c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8">
        <f t="shared" si="4"/>
        <v>0</v>
      </c>
    </row>
    <row r="115" spans="1:15" s="102" customFormat="1" ht="12" x14ac:dyDescent="0.25">
      <c r="A115" s="253"/>
    </row>
    <row r="116" spans="1:15" s="102" customFormat="1" ht="12" x14ac:dyDescent="0.25">
      <c r="A116" s="252"/>
    </row>
    <row r="117" spans="1:15" s="64" customFormat="1" x14ac:dyDescent="0.3">
      <c r="A117" s="159"/>
    </row>
    <row r="118" spans="1:15" s="64" customFormat="1" x14ac:dyDescent="0.3">
      <c r="A118" s="159"/>
    </row>
    <row r="119" spans="1:15" s="102" customFormat="1" ht="12" x14ac:dyDescent="0.25">
      <c r="A119" s="252"/>
    </row>
    <row r="120" spans="1:15" s="102" customFormat="1" ht="12" x14ac:dyDescent="0.25">
      <c r="A120" s="252"/>
    </row>
    <row r="121" spans="1:15" s="64" customFormat="1" x14ac:dyDescent="0.3">
      <c r="A121" s="159"/>
    </row>
    <row r="122" spans="1:15" s="64" customFormat="1" x14ac:dyDescent="0.3">
      <c r="A122" s="159"/>
    </row>
    <row r="123" spans="1:15" s="102" customFormat="1" ht="12" x14ac:dyDescent="0.25">
      <c r="A123" s="252"/>
    </row>
    <row r="124" spans="1:15" s="102" customFormat="1" ht="12" x14ac:dyDescent="0.25">
      <c r="A124" s="252"/>
    </row>
    <row r="125" spans="1:15" s="64" customFormat="1" ht="11.4" customHeight="1" x14ac:dyDescent="0.3">
      <c r="A125" s="159"/>
    </row>
    <row r="126" spans="1:15" s="64" customFormat="1" x14ac:dyDescent="0.3">
      <c r="A126" s="159"/>
    </row>
    <row r="127" spans="1:15" s="102" customFormat="1" ht="12" x14ac:dyDescent="0.25">
      <c r="A127" s="252"/>
    </row>
    <row r="128" spans="1:15" s="102" customFormat="1" ht="12" x14ac:dyDescent="0.25">
      <c r="A128" s="252"/>
    </row>
    <row r="129" spans="1:1" s="64" customFormat="1" x14ac:dyDescent="0.3">
      <c r="A129" s="159"/>
    </row>
    <row r="130" spans="1:1" s="64" customFormat="1" x14ac:dyDescent="0.3">
      <c r="A130" s="159"/>
    </row>
    <row r="131" spans="1:1" s="102" customFormat="1" ht="12" x14ac:dyDescent="0.25">
      <c r="A131" s="252"/>
    </row>
    <row r="132" spans="1:1" s="102" customFormat="1" ht="12" x14ac:dyDescent="0.25">
      <c r="A132" s="252"/>
    </row>
    <row r="133" spans="1:1" s="64" customFormat="1" x14ac:dyDescent="0.3">
      <c r="A133" s="159"/>
    </row>
    <row r="134" spans="1:1" s="64" customFormat="1" x14ac:dyDescent="0.3">
      <c r="A134" s="159"/>
    </row>
    <row r="135" spans="1:1" s="102" customFormat="1" ht="12" x14ac:dyDescent="0.25">
      <c r="A135" s="252"/>
    </row>
    <row r="136" spans="1:1" s="102" customFormat="1" ht="12" x14ac:dyDescent="0.25">
      <c r="A136" s="252"/>
    </row>
    <row r="137" spans="1:1" s="64" customFormat="1" x14ac:dyDescent="0.3">
      <c r="A137" s="159"/>
    </row>
    <row r="138" spans="1:1" s="64" customFormat="1" x14ac:dyDescent="0.3">
      <c r="A138" s="159"/>
    </row>
    <row r="139" spans="1:1" s="102" customFormat="1" ht="12" x14ac:dyDescent="0.25">
      <c r="A139" s="252"/>
    </row>
    <row r="140" spans="1:1" s="102" customFormat="1" ht="12" x14ac:dyDescent="0.25">
      <c r="A140" s="252"/>
    </row>
    <row r="141" spans="1:1" s="64" customFormat="1" x14ac:dyDescent="0.3">
      <c r="A141" s="159"/>
    </row>
    <row r="142" spans="1:1" s="64" customFormat="1" x14ac:dyDescent="0.3">
      <c r="A142" s="159"/>
    </row>
    <row r="143" spans="1:1" s="102" customFormat="1" ht="12" x14ac:dyDescent="0.25">
      <c r="A143" s="252"/>
    </row>
    <row r="144" spans="1:1" s="102" customFormat="1" ht="12" x14ac:dyDescent="0.25">
      <c r="A144" s="252"/>
    </row>
    <row r="145" spans="1:1" s="64" customFormat="1" x14ac:dyDescent="0.3">
      <c r="A145" s="159"/>
    </row>
    <row r="146" spans="1:1" s="64" customFormat="1" x14ac:dyDescent="0.3">
      <c r="A146" s="159"/>
    </row>
    <row r="147" spans="1:1" s="102" customFormat="1" ht="12" x14ac:dyDescent="0.25">
      <c r="A147" s="252"/>
    </row>
    <row r="148" spans="1:1" s="102" customFormat="1" ht="12" x14ac:dyDescent="0.25">
      <c r="A148" s="252"/>
    </row>
    <row r="149" spans="1:1" s="64" customFormat="1" x14ac:dyDescent="0.3">
      <c r="A149" s="159"/>
    </row>
    <row r="150" spans="1:1" s="64" customFormat="1" x14ac:dyDescent="0.3">
      <c r="A150" s="159"/>
    </row>
    <row r="151" spans="1:1" s="102" customFormat="1" ht="12" x14ac:dyDescent="0.25">
      <c r="A151" s="252"/>
    </row>
    <row r="152" spans="1:1" s="102" customFormat="1" ht="12" x14ac:dyDescent="0.25">
      <c r="A152" s="252"/>
    </row>
    <row r="153" spans="1:1" s="64" customFormat="1" x14ac:dyDescent="0.3">
      <c r="A153" s="159"/>
    </row>
    <row r="154" spans="1:1" s="64" customFormat="1" x14ac:dyDescent="0.3">
      <c r="A154" s="159"/>
    </row>
    <row r="155" spans="1:1" s="102" customFormat="1" ht="12" x14ac:dyDescent="0.25">
      <c r="A155" s="252"/>
    </row>
    <row r="156" spans="1:1" s="102" customFormat="1" ht="12" x14ac:dyDescent="0.25">
      <c r="A156" s="252"/>
    </row>
    <row r="157" spans="1:1" s="64" customFormat="1" x14ac:dyDescent="0.3">
      <c r="A157" s="159"/>
    </row>
    <row r="158" spans="1:1" s="64" customFormat="1" x14ac:dyDescent="0.3">
      <c r="A158" s="159"/>
    </row>
    <row r="159" spans="1:1" s="102" customFormat="1" ht="12" x14ac:dyDescent="0.25">
      <c r="A159" s="252"/>
    </row>
    <row r="160" spans="1:1" s="102" customFormat="1" ht="12" x14ac:dyDescent="0.25">
      <c r="A160" s="252"/>
    </row>
    <row r="161" spans="1:1" s="64" customFormat="1" x14ac:dyDescent="0.3">
      <c r="A161" s="159"/>
    </row>
    <row r="162" spans="1:1" s="64" customFormat="1" x14ac:dyDescent="0.3">
      <c r="A162" s="159"/>
    </row>
    <row r="163" spans="1:1" s="102" customFormat="1" ht="12" x14ac:dyDescent="0.25">
      <c r="A163" s="252"/>
    </row>
    <row r="164" spans="1:1" s="102" customFormat="1" ht="12" x14ac:dyDescent="0.25">
      <c r="A164" s="252"/>
    </row>
    <row r="165" spans="1:1" s="64" customFormat="1" x14ac:dyDescent="0.3">
      <c r="A165" s="159"/>
    </row>
    <row r="166" spans="1:1" s="64" customFormat="1" x14ac:dyDescent="0.3">
      <c r="A166" s="159"/>
    </row>
    <row r="167" spans="1:1" s="102" customFormat="1" ht="12" x14ac:dyDescent="0.25">
      <c r="A167" s="252"/>
    </row>
    <row r="168" spans="1:1" s="102" customFormat="1" ht="12" x14ac:dyDescent="0.25">
      <c r="A168" s="252"/>
    </row>
    <row r="169" spans="1:1" s="64" customFormat="1" x14ac:dyDescent="0.3">
      <c r="A169" s="159"/>
    </row>
    <row r="170" spans="1:1" s="64" customFormat="1" x14ac:dyDescent="0.3">
      <c r="A170" s="159"/>
    </row>
    <row r="171" spans="1:1" s="102" customFormat="1" ht="12" x14ac:dyDescent="0.25">
      <c r="A171" s="252"/>
    </row>
    <row r="172" spans="1:1" s="102" customFormat="1" ht="12" x14ac:dyDescent="0.25">
      <c r="A172" s="252"/>
    </row>
    <row r="173" spans="1:1" s="64" customFormat="1" x14ac:dyDescent="0.3">
      <c r="A173" s="159"/>
    </row>
    <row r="174" spans="1:1" s="64" customFormat="1" x14ac:dyDescent="0.3">
      <c r="A174" s="159"/>
    </row>
    <row r="175" spans="1:1" s="102" customFormat="1" ht="12" x14ac:dyDescent="0.25">
      <c r="A175" s="252"/>
    </row>
    <row r="176" spans="1:1" s="102" customFormat="1" ht="12" x14ac:dyDescent="0.25">
      <c r="A176" s="252"/>
    </row>
    <row r="177" spans="1:1" s="64" customFormat="1" x14ac:dyDescent="0.3">
      <c r="A177" s="159"/>
    </row>
    <row r="178" spans="1:1" s="64" customFormat="1" x14ac:dyDescent="0.3">
      <c r="A178" s="159"/>
    </row>
    <row r="179" spans="1:1" s="102" customFormat="1" ht="12" x14ac:dyDescent="0.25">
      <c r="A179" s="252"/>
    </row>
    <row r="180" spans="1:1" s="102" customFormat="1" ht="12" x14ac:dyDescent="0.25">
      <c r="A180" s="252"/>
    </row>
    <row r="181" spans="1:1" s="64" customFormat="1" x14ac:dyDescent="0.3">
      <c r="A181" s="159"/>
    </row>
    <row r="182" spans="1:1" s="64" customFormat="1" x14ac:dyDescent="0.3">
      <c r="A182" s="159"/>
    </row>
    <row r="183" spans="1:1" s="102" customFormat="1" ht="12" x14ac:dyDescent="0.25">
      <c r="A183" s="252"/>
    </row>
    <row r="184" spans="1:1" s="102" customFormat="1" ht="12" x14ac:dyDescent="0.25">
      <c r="A184" s="252"/>
    </row>
    <row r="185" spans="1:1" s="64" customFormat="1" x14ac:dyDescent="0.3">
      <c r="A185" s="159"/>
    </row>
    <row r="186" spans="1:1" s="64" customFormat="1" x14ac:dyDescent="0.3">
      <c r="A186" s="159"/>
    </row>
    <row r="187" spans="1:1" s="102" customFormat="1" ht="12" x14ac:dyDescent="0.25">
      <c r="A187" s="252"/>
    </row>
    <row r="188" spans="1:1" s="102" customFormat="1" ht="12" x14ac:dyDescent="0.25">
      <c r="A188" s="252"/>
    </row>
    <row r="189" spans="1:1" s="64" customFormat="1" x14ac:dyDescent="0.3">
      <c r="A189" s="159"/>
    </row>
    <row r="190" spans="1:1" s="64" customFormat="1" x14ac:dyDescent="0.3">
      <c r="A190" s="159"/>
    </row>
    <row r="191" spans="1:1" s="102" customFormat="1" ht="12" x14ac:dyDescent="0.25">
      <c r="A191" s="252"/>
    </row>
    <row r="192" spans="1:1" s="102" customFormat="1" ht="12" x14ac:dyDescent="0.25">
      <c r="A192" s="252"/>
    </row>
    <row r="193" spans="1:1" s="64" customFormat="1" x14ac:dyDescent="0.3">
      <c r="A193" s="159"/>
    </row>
    <row r="194" spans="1:1" s="64" customFormat="1" x14ac:dyDescent="0.3">
      <c r="A194" s="159"/>
    </row>
    <row r="195" spans="1:1" s="102" customFormat="1" ht="12" x14ac:dyDescent="0.25">
      <c r="A195" s="252"/>
    </row>
    <row r="196" spans="1:1" s="102" customFormat="1" ht="12" x14ac:dyDescent="0.25">
      <c r="A196" s="252"/>
    </row>
    <row r="197" spans="1:1" s="64" customFormat="1" x14ac:dyDescent="0.3">
      <c r="A197" s="159"/>
    </row>
    <row r="198" spans="1:1" s="64" customFormat="1" x14ac:dyDescent="0.3">
      <c r="A198" s="159"/>
    </row>
    <row r="199" spans="1:1" s="102" customFormat="1" ht="12" x14ac:dyDescent="0.25">
      <c r="A199" s="252"/>
    </row>
    <row r="200" spans="1:1" s="102" customFormat="1" ht="12" x14ac:dyDescent="0.25">
      <c r="A200" s="252"/>
    </row>
    <row r="201" spans="1:1" s="64" customFormat="1" x14ac:dyDescent="0.3">
      <c r="A201" s="159"/>
    </row>
    <row r="202" spans="1:1" s="64" customFormat="1" x14ac:dyDescent="0.3">
      <c r="A202" s="159"/>
    </row>
    <row r="203" spans="1:1" s="102" customFormat="1" ht="12" x14ac:dyDescent="0.25">
      <c r="A203" s="252"/>
    </row>
    <row r="204" spans="1:1" s="102" customFormat="1" ht="12" x14ac:dyDescent="0.25">
      <c r="A204" s="252"/>
    </row>
    <row r="205" spans="1:1" s="64" customFormat="1" x14ac:dyDescent="0.3">
      <c r="A205" s="159"/>
    </row>
    <row r="206" spans="1:1" s="64" customFormat="1" x14ac:dyDescent="0.3">
      <c r="A206" s="159"/>
    </row>
    <row r="207" spans="1:1" s="102" customFormat="1" ht="12" x14ac:dyDescent="0.25">
      <c r="A207" s="252"/>
    </row>
    <row r="208" spans="1:1" s="102" customFormat="1" ht="12" x14ac:dyDescent="0.25">
      <c r="A208" s="252"/>
    </row>
    <row r="209" spans="1:1" s="64" customFormat="1" x14ac:dyDescent="0.3">
      <c r="A209" s="159"/>
    </row>
    <row r="210" spans="1:1" s="64" customFormat="1" x14ac:dyDescent="0.3">
      <c r="A210" s="159"/>
    </row>
    <row r="211" spans="1:1" s="102" customFormat="1" ht="12" x14ac:dyDescent="0.25">
      <c r="A211" s="252"/>
    </row>
    <row r="212" spans="1:1" s="102" customFormat="1" ht="12" x14ac:dyDescent="0.25">
      <c r="A212" s="252"/>
    </row>
    <row r="213" spans="1:1" s="64" customFormat="1" x14ac:dyDescent="0.3">
      <c r="A213" s="159"/>
    </row>
    <row r="214" spans="1:1" s="64" customFormat="1" x14ac:dyDescent="0.3">
      <c r="A214" s="159"/>
    </row>
    <row r="215" spans="1:1" s="102" customFormat="1" ht="12" x14ac:dyDescent="0.25">
      <c r="A215" s="252"/>
    </row>
    <row r="216" spans="1:1" s="102" customFormat="1" ht="12" x14ac:dyDescent="0.25">
      <c r="A216" s="252"/>
    </row>
    <row r="217" spans="1:1" s="64" customFormat="1" x14ac:dyDescent="0.3">
      <c r="A217" s="107"/>
    </row>
    <row r="218" spans="1:1" s="64" customFormat="1" x14ac:dyDescent="0.3">
      <c r="A218" s="107"/>
    </row>
  </sheetData>
  <mergeCells count="54">
    <mergeCell ref="A207:A208"/>
    <mergeCell ref="A211:A212"/>
    <mergeCell ref="A215:A216"/>
    <mergeCell ref="A3:A6"/>
    <mergeCell ref="A187:A188"/>
    <mergeCell ref="A191:A192"/>
    <mergeCell ref="A195:A196"/>
    <mergeCell ref="A199:A200"/>
    <mergeCell ref="A203:A204"/>
    <mergeCell ref="A167:A168"/>
    <mergeCell ref="A171:A172"/>
    <mergeCell ref="A175:A176"/>
    <mergeCell ref="A179:A180"/>
    <mergeCell ref="A183:A184"/>
    <mergeCell ref="A147:A148"/>
    <mergeCell ref="A151:A152"/>
    <mergeCell ref="A159:A160"/>
    <mergeCell ref="A163:A164"/>
    <mergeCell ref="A127:A128"/>
    <mergeCell ref="A131:A132"/>
    <mergeCell ref="A135:A136"/>
    <mergeCell ref="A139:A140"/>
    <mergeCell ref="A143:A144"/>
    <mergeCell ref="A103:A104"/>
    <mergeCell ref="A107:A108"/>
    <mergeCell ref="A111:A112"/>
    <mergeCell ref="A115:A116"/>
    <mergeCell ref="A155:A156"/>
    <mergeCell ref="A63:A64"/>
    <mergeCell ref="A67:A68"/>
    <mergeCell ref="A99:A100"/>
    <mergeCell ref="A91:A92"/>
    <mergeCell ref="A95:A96"/>
    <mergeCell ref="A43:A44"/>
    <mergeCell ref="A47:A48"/>
    <mergeCell ref="A51:A52"/>
    <mergeCell ref="A55:A56"/>
    <mergeCell ref="A59:A60"/>
    <mergeCell ref="A1:O1"/>
    <mergeCell ref="A119:A120"/>
    <mergeCell ref="A123:A124"/>
    <mergeCell ref="A71:A72"/>
    <mergeCell ref="A75:A76"/>
    <mergeCell ref="A79:A80"/>
    <mergeCell ref="A83:A84"/>
    <mergeCell ref="A87:A88"/>
    <mergeCell ref="A11:A12"/>
    <mergeCell ref="A15:A16"/>
    <mergeCell ref="A19:A20"/>
    <mergeCell ref="A23:A24"/>
    <mergeCell ref="A27:A28"/>
    <mergeCell ref="A31:A32"/>
    <mergeCell ref="A35:A36"/>
    <mergeCell ref="A39:A40"/>
  </mergeCells>
  <conditionalFormatting sqref="C6:N6">
    <cfRule type="cellIs" dxfId="3" priority="1" operator="greaterThan">
      <formula>C5*1.15</formula>
    </cfRule>
    <cfRule type="cellIs" dxfId="2" priority="2" operator="lessThan">
      <formula>C5*0.85</formula>
    </cfRule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0E6C-5E71-4204-A942-2B4EBB65FC9F}">
  <sheetPr codeName="Sheet23"/>
  <dimension ref="A1:P218"/>
  <sheetViews>
    <sheetView zoomScale="85" zoomScaleNormal="85" workbookViewId="0">
      <selection activeCell="L17" sqref="L17"/>
    </sheetView>
  </sheetViews>
  <sheetFormatPr defaultColWidth="9.109375" defaultRowHeight="14.4" x14ac:dyDescent="0.3"/>
  <cols>
    <col min="1" max="1" width="27.109375" style="52" customWidth="1"/>
    <col min="2" max="2" width="22.88671875" style="52" bestFit="1" customWidth="1"/>
    <col min="3" max="15" width="13.44140625" style="52" customWidth="1"/>
    <col min="16" max="16384" width="9.109375" style="52"/>
  </cols>
  <sheetData>
    <row r="1" spans="1:16" ht="25.5" customHeight="1" x14ac:dyDescent="0.6">
      <c r="A1" s="232" t="s">
        <v>437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16" x14ac:dyDescent="0.3">
      <c r="A2" s="76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69" t="s">
        <v>7</v>
      </c>
      <c r="J2" s="69" t="s">
        <v>8</v>
      </c>
      <c r="K2" s="69" t="s">
        <v>9</v>
      </c>
      <c r="L2" s="69" t="s">
        <v>10</v>
      </c>
      <c r="M2" s="69" t="s">
        <v>11</v>
      </c>
      <c r="N2" s="69" t="s">
        <v>12</v>
      </c>
      <c r="O2" s="69" t="s">
        <v>13</v>
      </c>
    </row>
    <row r="3" spans="1:16" s="102" customFormat="1" ht="14.4" customHeight="1" x14ac:dyDescent="0.25">
      <c r="A3" s="239" t="s">
        <v>15</v>
      </c>
      <c r="B3" s="181" t="s">
        <v>16</v>
      </c>
      <c r="C3" s="182">
        <f>SUMIFS(C$11:C1000,$B$11:$B1000,"Actual 2024")</f>
        <v>27.84</v>
      </c>
      <c r="D3" s="182">
        <f>SUMIFS(D$11:D1000,$B$11:$B1000,"Actual 2024")</f>
        <v>0</v>
      </c>
      <c r="E3" s="182">
        <f>SUMIFS(E$11:E1000,$B$11:$B1000,"Actual 2024")</f>
        <v>0</v>
      </c>
      <c r="F3" s="182">
        <f>SUMIFS(F$11:F1000,$B$11:$B1000,"Actual 2024")</f>
        <v>20</v>
      </c>
      <c r="G3" s="182">
        <f>SUMIFS(G$11:G1000,$B$11:$B1000,"Actual 2024")</f>
        <v>0</v>
      </c>
      <c r="H3" s="182">
        <f>SUMIFS(H$11:H1000,$B$11:$B1000,"Actual 2024")</f>
        <v>251.31</v>
      </c>
      <c r="I3" s="185">
        <f>SUMIFS(I$11:I1000,$B$11:$B1000,"Actual 2024")</f>
        <v>0</v>
      </c>
      <c r="J3" s="185">
        <f>SUMIFS(J$11:J1000,$B$11:$B1000,"Actual 2024")</f>
        <v>0</v>
      </c>
      <c r="K3" s="185">
        <f>SUMIFS(K$11:K1000,$B$11:$B1000,"Actual 2024")</f>
        <v>0</v>
      </c>
      <c r="L3" s="185">
        <f>SUMIFS(L$11:L1000,$B$11:$B1000,"Actual 2024")</f>
        <v>0</v>
      </c>
      <c r="M3" s="185">
        <f>SUMIFS(M$11:M1000,$B$11:$B1000,"Actual 2024")</f>
        <v>4.5</v>
      </c>
      <c r="N3" s="185">
        <f>SUMIFS(N$11:N1000,$B$11:$B1000,"Actual 2024")</f>
        <v>0</v>
      </c>
      <c r="O3" s="183">
        <f>SUMIFS(O$11:O1000,$B$11:$B1000,"Actual 2024")</f>
        <v>303.64999999999998</v>
      </c>
      <c r="P3" s="126">
        <v>3544.16</v>
      </c>
    </row>
    <row r="4" spans="1:16" s="102" customFormat="1" ht="14.4" customHeight="1" x14ac:dyDescent="0.25">
      <c r="A4" s="240"/>
      <c r="B4" s="184" t="s">
        <v>27</v>
      </c>
      <c r="C4" s="189">
        <f>SUMIFS(C$11:C1000,$B$11:$B1000,"Estimated")</f>
        <v>150</v>
      </c>
      <c r="D4" s="189">
        <f>SUMIFS(D$11:D1000,$B$11:$B1000,"Estimated")</f>
        <v>150</v>
      </c>
      <c r="E4" s="189">
        <f>SUMIFS(E$11:E1000,$B$11:$B1000,"Estimated")</f>
        <v>150</v>
      </c>
      <c r="F4" s="189">
        <f>SUMIFS(F$11:F1000,$B$11:$B1000,"Estimated")</f>
        <v>150</v>
      </c>
      <c r="G4" s="189">
        <f>SUMIFS(G$11:G1000,$B$11:$B1000,"Estimated")</f>
        <v>150</v>
      </c>
      <c r="H4" s="189">
        <f>SUMIFS(H$11:H1000,$B$11:$B1000,"Estimated")</f>
        <v>150</v>
      </c>
      <c r="I4" s="192">
        <f>SUMIFS(I$11:I1000,$B$11:$B1000,"Estimated")</f>
        <v>155</v>
      </c>
      <c r="J4" s="192">
        <f>SUMIFS(J$11:J1000,$B$11:$B1000,"Estimated")</f>
        <v>173</v>
      </c>
      <c r="K4" s="192">
        <f>SUMIFS(K$11:K1000,$B$11:$B1000,"Estimated")</f>
        <v>164</v>
      </c>
      <c r="L4" s="192">
        <f>SUMIFS(L$11:L1000,$B$11:$B1000,"Estimated")</f>
        <v>150</v>
      </c>
      <c r="M4" s="192">
        <f>SUMIFS(M$11:M1000,$B$11:$B1000,"Estimated")</f>
        <v>150</v>
      </c>
      <c r="N4" s="192">
        <f>SUMIFS(N$11:N1000,$B$11:$B1000,"Estimated")</f>
        <v>150</v>
      </c>
      <c r="O4" s="191">
        <f>SUMIFS(O$11:O1000,$B$11:$B1000,"Estimated")</f>
        <v>1842</v>
      </c>
    </row>
    <row r="5" spans="1:16" s="166" customFormat="1" ht="14.4" customHeight="1" x14ac:dyDescent="0.3">
      <c r="A5" s="240"/>
      <c r="B5" s="162" t="s">
        <v>18</v>
      </c>
      <c r="C5" s="163">
        <v>150</v>
      </c>
      <c r="D5" s="163">
        <v>150</v>
      </c>
      <c r="E5" s="163">
        <v>150</v>
      </c>
      <c r="F5" s="163">
        <v>150</v>
      </c>
      <c r="G5" s="163">
        <v>150</v>
      </c>
      <c r="H5" s="169">
        <v>150</v>
      </c>
      <c r="I5" s="167">
        <v>155</v>
      </c>
      <c r="J5" s="167">
        <v>173</v>
      </c>
      <c r="K5" s="167">
        <v>164</v>
      </c>
      <c r="L5" s="167">
        <v>150</v>
      </c>
      <c r="M5" s="167">
        <v>150</v>
      </c>
      <c r="N5" s="167">
        <v>150</v>
      </c>
      <c r="O5" s="164">
        <f t="shared" ref="O5" si="0">SUM(C5:N5)</f>
        <v>1842</v>
      </c>
      <c r="P5" s="165">
        <v>1842</v>
      </c>
    </row>
    <row r="6" spans="1:16" s="166" customFormat="1" ht="15" thickBot="1" x14ac:dyDescent="0.35">
      <c r="A6" s="241"/>
      <c r="B6" s="174" t="s">
        <v>19</v>
      </c>
      <c r="C6" s="175">
        <f>SUMIFS(C$11:C1005,$B$11:$B1005,"Actual")</f>
        <v>0</v>
      </c>
      <c r="D6" s="175">
        <f>SUMIFS(D$11:D1005,$B$11:$B1005,"Actual")</f>
        <v>3</v>
      </c>
      <c r="E6" s="175">
        <f>SUMIFS(E$11:E1005,$B$11:$B1005,"Actual")</f>
        <v>0</v>
      </c>
      <c r="F6" s="175">
        <f>SUMIFS(F$11:F1005,$B$11:$B1005,"Actual")</f>
        <v>145.35000000000002</v>
      </c>
      <c r="G6" s="175">
        <f>SUMIFS(G$11:G1005,$B$11:$B1005,"Actual")</f>
        <v>0</v>
      </c>
      <c r="H6" s="175">
        <f>SUMIFS(H$11:H1005,$B$11:$B1005,"Actual")</f>
        <v>0</v>
      </c>
      <c r="I6" s="177">
        <f>SUMIFS(I$11:I1005,$B$11:$B1005,"Actual")</f>
        <v>0</v>
      </c>
      <c r="J6" s="177">
        <f>SUMIFS(J$11:J1005,$B$11:$B1005,"Actual")</f>
        <v>95.2</v>
      </c>
      <c r="K6" s="177">
        <f>SUMIFS(K$11:K1005,$B$11:$B1005,"Actual")</f>
        <v>0</v>
      </c>
      <c r="L6" s="177">
        <f>SUMIFS(L$11:L1005,$B$11:$B1005,"Actual")</f>
        <v>0</v>
      </c>
      <c r="M6" s="177">
        <f>SUMIFS(M$11:M1005,$B$11:$B1005,"Actual")</f>
        <v>0</v>
      </c>
      <c r="N6" s="177">
        <f>SUMIFS(N$11:N1005,$B$11:$B1005,"Actual")</f>
        <v>0</v>
      </c>
      <c r="O6" s="176">
        <f>SUMIFS(O$11:O1005,$B$11:$B1005,"Actual")</f>
        <v>243.55</v>
      </c>
      <c r="P6" s="166">
        <v>2040.23</v>
      </c>
    </row>
    <row r="7" spans="1:16" s="64" customFormat="1" ht="15" thickTop="1" x14ac:dyDescent="0.3">
      <c r="A7" s="133"/>
      <c r="B7" s="70" t="s">
        <v>21</v>
      </c>
      <c r="C7" s="60">
        <f t="shared" ref="C7:I7" si="1">C5-C6</f>
        <v>150</v>
      </c>
      <c r="D7" s="60">
        <f t="shared" si="1"/>
        <v>147</v>
      </c>
      <c r="E7" s="60">
        <f t="shared" si="1"/>
        <v>150</v>
      </c>
      <c r="F7" s="60">
        <f t="shared" si="1"/>
        <v>4.6499999999999773</v>
      </c>
      <c r="G7" s="60">
        <f t="shared" si="1"/>
        <v>150</v>
      </c>
      <c r="H7" s="60">
        <f t="shared" si="1"/>
        <v>150</v>
      </c>
      <c r="I7" s="60">
        <f t="shared" si="1"/>
        <v>155</v>
      </c>
      <c r="J7" s="60">
        <f t="shared" ref="J7:N7" si="2">J5-J6</f>
        <v>77.8</v>
      </c>
      <c r="K7" s="60">
        <f t="shared" si="2"/>
        <v>164</v>
      </c>
      <c r="L7" s="60">
        <f t="shared" si="2"/>
        <v>150</v>
      </c>
      <c r="M7" s="60">
        <f t="shared" si="2"/>
        <v>150</v>
      </c>
      <c r="N7" s="60">
        <f t="shared" si="2"/>
        <v>150</v>
      </c>
      <c r="O7" s="75">
        <f>O5-O6</f>
        <v>1598.45</v>
      </c>
    </row>
    <row r="8" spans="1:16" s="142" customFormat="1" x14ac:dyDescent="0.3">
      <c r="A8" s="147"/>
      <c r="B8" s="139" t="s">
        <v>23</v>
      </c>
      <c r="C8" s="140">
        <f>SUM($C6:C6)</f>
        <v>0</v>
      </c>
      <c r="D8" s="140">
        <f>SUM($C6:D6)</f>
        <v>3</v>
      </c>
      <c r="E8" s="140">
        <f>SUM($C6:E6)</f>
        <v>3</v>
      </c>
      <c r="F8" s="140">
        <f>SUM($C6:F6)</f>
        <v>148.35000000000002</v>
      </c>
      <c r="G8" s="140">
        <f>SUM($C6:G6)</f>
        <v>148.35000000000002</v>
      </c>
      <c r="H8" s="140">
        <f>SUM($C6:H6)</f>
        <v>148.35000000000002</v>
      </c>
      <c r="I8" s="140">
        <f>SUM($C6:I6)</f>
        <v>148.35000000000002</v>
      </c>
      <c r="J8" s="140">
        <f>SUM($C6:J6)</f>
        <v>243.55</v>
      </c>
      <c r="K8" s="140">
        <f>SUM($C6:K6)</f>
        <v>243.55</v>
      </c>
      <c r="L8" s="140">
        <f>SUM($C6:L6)</f>
        <v>243.55</v>
      </c>
      <c r="M8" s="140">
        <f>SUM($C6:M6)</f>
        <v>243.55</v>
      </c>
      <c r="N8" s="140">
        <f>SUM($C6:N6)</f>
        <v>243.55</v>
      </c>
      <c r="O8" s="141">
        <f>O6</f>
        <v>243.55</v>
      </c>
    </row>
    <row r="9" spans="1:16" s="142" customFormat="1" x14ac:dyDescent="0.3">
      <c r="A9" s="148"/>
      <c r="B9" s="144" t="s">
        <v>25</v>
      </c>
      <c r="C9" s="145">
        <f>SUM($C5:C5)-C8</f>
        <v>150</v>
      </c>
      <c r="D9" s="145">
        <f>SUM($C5:D5)-D8</f>
        <v>297</v>
      </c>
      <c r="E9" s="145">
        <f>SUM($C5:E5)-E8</f>
        <v>447</v>
      </c>
      <c r="F9" s="145">
        <f>SUM($C5:F5)-F8</f>
        <v>451.65</v>
      </c>
      <c r="G9" s="145">
        <f>SUM($C5:G5)-G8</f>
        <v>601.65</v>
      </c>
      <c r="H9" s="145">
        <f>SUM($C5:H5)-H8</f>
        <v>751.65</v>
      </c>
      <c r="I9" s="145">
        <f>SUM($C5:I5)-I8</f>
        <v>906.65</v>
      </c>
      <c r="J9" s="145">
        <f>SUM($C5:J5)-J8</f>
        <v>984.45</v>
      </c>
      <c r="K9" s="145">
        <f>SUM($C5:K5)-K8</f>
        <v>1148.45</v>
      </c>
      <c r="L9" s="145">
        <f>SUM($C5:L5)-L8</f>
        <v>1298.45</v>
      </c>
      <c r="M9" s="145">
        <f>SUM($C5:M5)-M8</f>
        <v>1448.45</v>
      </c>
      <c r="N9" s="145">
        <f>SUM($C5:N5)-N8</f>
        <v>1598.45</v>
      </c>
      <c r="O9" s="146"/>
    </row>
    <row r="10" spans="1:16" x14ac:dyDescent="0.3"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6" s="102" customFormat="1" ht="12" x14ac:dyDescent="0.25">
      <c r="A11" s="235" t="s">
        <v>438</v>
      </c>
      <c r="B11" s="99" t="s">
        <v>16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3">
        <f t="shared" ref="O11:O26" si="3">SUM(C11:N11)</f>
        <v>0</v>
      </c>
    </row>
    <row r="12" spans="1:16" s="102" customFormat="1" ht="12" x14ac:dyDescent="0.25">
      <c r="A12" s="235"/>
      <c r="B12" s="99" t="s">
        <v>29</v>
      </c>
      <c r="C12" s="100">
        <v>50</v>
      </c>
      <c r="D12" s="100">
        <v>50</v>
      </c>
      <c r="E12" s="100">
        <v>50</v>
      </c>
      <c r="F12" s="100">
        <v>50</v>
      </c>
      <c r="G12" s="100">
        <v>50</v>
      </c>
      <c r="H12" s="100">
        <v>50</v>
      </c>
      <c r="I12" s="100">
        <v>50</v>
      </c>
      <c r="J12" s="100">
        <v>50</v>
      </c>
      <c r="K12" s="100">
        <v>50</v>
      </c>
      <c r="L12" s="100">
        <v>50</v>
      </c>
      <c r="M12" s="100">
        <v>50</v>
      </c>
      <c r="N12" s="100">
        <v>50</v>
      </c>
      <c r="O12" s="103">
        <f>SUM(C12:N12)</f>
        <v>600</v>
      </c>
    </row>
    <row r="13" spans="1:16" s="67" customFormat="1" ht="12.6" customHeight="1" x14ac:dyDescent="0.3">
      <c r="A13" s="155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66">
        <f t="shared" si="3"/>
        <v>0</v>
      </c>
    </row>
    <row r="14" spans="1:16" s="67" customFormat="1" ht="12.6" customHeight="1" x14ac:dyDescent="0.3">
      <c r="A14" s="156"/>
      <c r="B14" s="116" t="s">
        <v>32</v>
      </c>
      <c r="C14" s="117"/>
      <c r="D14" s="117"/>
      <c r="E14" s="117"/>
      <c r="F14" s="117">
        <v>29.4</v>
      </c>
      <c r="G14" s="117"/>
      <c r="H14" s="117"/>
      <c r="I14" s="117"/>
      <c r="J14" s="117">
        <v>95.2</v>
      </c>
      <c r="K14" s="117"/>
      <c r="L14" s="117"/>
      <c r="M14" s="117"/>
      <c r="N14" s="117"/>
      <c r="O14" s="118">
        <f>SUM(C14:N14)</f>
        <v>124.6</v>
      </c>
    </row>
    <row r="15" spans="1:16" s="102" customFormat="1" ht="12" x14ac:dyDescent="0.25">
      <c r="A15" s="236" t="s">
        <v>439</v>
      </c>
      <c r="B15" s="99" t="s">
        <v>16</v>
      </c>
      <c r="C15" s="100">
        <v>27.84</v>
      </c>
      <c r="D15" s="100"/>
      <c r="E15" s="100"/>
      <c r="F15" s="100">
        <v>20</v>
      </c>
      <c r="G15" s="100"/>
      <c r="H15" s="100"/>
      <c r="I15" s="100"/>
      <c r="J15" s="100"/>
      <c r="K15" s="100"/>
      <c r="L15" s="100"/>
      <c r="M15" s="100">
        <v>4.5</v>
      </c>
      <c r="N15" s="100"/>
      <c r="O15" s="103">
        <f t="shared" si="3"/>
        <v>52.34</v>
      </c>
    </row>
    <row r="16" spans="1:16" s="102" customFormat="1" ht="12" x14ac:dyDescent="0.25">
      <c r="A16" s="235"/>
      <c r="B16" s="99" t="s">
        <v>29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5</v>
      </c>
      <c r="J16" s="100">
        <v>23</v>
      </c>
      <c r="K16" s="100">
        <v>14</v>
      </c>
      <c r="L16" s="100">
        <v>0</v>
      </c>
      <c r="M16" s="100">
        <v>0</v>
      </c>
      <c r="N16" s="100">
        <v>0</v>
      </c>
      <c r="O16" s="103">
        <f t="shared" si="3"/>
        <v>42</v>
      </c>
    </row>
    <row r="17" spans="1:15" s="67" customFormat="1" ht="12.6" customHeight="1" x14ac:dyDescent="0.3">
      <c r="A17" s="155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>
        <f>SUM(C17:N17)</f>
        <v>0</v>
      </c>
    </row>
    <row r="18" spans="1:15" s="67" customFormat="1" ht="12.6" customHeight="1" x14ac:dyDescent="0.3">
      <c r="A18" s="156"/>
      <c r="B18" s="116" t="s">
        <v>32</v>
      </c>
      <c r="C18" s="117"/>
      <c r="D18" s="117">
        <v>3</v>
      </c>
      <c r="E18" s="117"/>
      <c r="F18" s="117">
        <v>75</v>
      </c>
      <c r="G18" s="117"/>
      <c r="H18" s="117"/>
      <c r="I18" s="117"/>
      <c r="J18" s="117"/>
      <c r="K18" s="117"/>
      <c r="L18" s="117"/>
      <c r="M18" s="117"/>
      <c r="N18" s="117"/>
      <c r="O18" s="118">
        <f t="shared" si="3"/>
        <v>78</v>
      </c>
    </row>
    <row r="19" spans="1:15" s="102" customFormat="1" ht="12" x14ac:dyDescent="0.25">
      <c r="A19" s="236" t="s">
        <v>440</v>
      </c>
      <c r="B19" s="99" t="s">
        <v>16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3">
        <f t="shared" si="3"/>
        <v>0</v>
      </c>
    </row>
    <row r="20" spans="1:15" s="102" customFormat="1" ht="12" x14ac:dyDescent="0.25">
      <c r="A20" s="235"/>
      <c r="B20" s="99" t="s">
        <v>29</v>
      </c>
      <c r="C20" s="100">
        <v>100</v>
      </c>
      <c r="D20" s="100">
        <v>100</v>
      </c>
      <c r="E20" s="100">
        <v>100</v>
      </c>
      <c r="F20" s="100">
        <v>100</v>
      </c>
      <c r="G20" s="100">
        <v>100</v>
      </c>
      <c r="H20" s="100">
        <v>100</v>
      </c>
      <c r="I20" s="100">
        <v>100</v>
      </c>
      <c r="J20" s="100">
        <v>100</v>
      </c>
      <c r="K20" s="100">
        <v>100</v>
      </c>
      <c r="L20" s="100">
        <v>100</v>
      </c>
      <c r="M20" s="100">
        <v>100</v>
      </c>
      <c r="N20" s="100">
        <v>100</v>
      </c>
      <c r="O20" s="103">
        <f>SUM(C20:N20)</f>
        <v>1200</v>
      </c>
    </row>
    <row r="21" spans="1:15" s="67" customFormat="1" ht="12.6" customHeight="1" x14ac:dyDescent="0.3">
      <c r="A21" s="155"/>
      <c r="B21" s="65" t="s">
        <v>31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66">
        <f t="shared" si="3"/>
        <v>0</v>
      </c>
    </row>
    <row r="22" spans="1:15" s="67" customFormat="1" ht="12.6" customHeight="1" x14ac:dyDescent="0.3">
      <c r="A22" s="156"/>
      <c r="B22" s="116" t="s">
        <v>32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8">
        <f t="shared" si="3"/>
        <v>0</v>
      </c>
    </row>
    <row r="23" spans="1:15" s="102" customFormat="1" ht="12" x14ac:dyDescent="0.25">
      <c r="A23" s="236" t="s">
        <v>441</v>
      </c>
      <c r="B23" s="99" t="s">
        <v>16</v>
      </c>
      <c r="C23" s="100"/>
      <c r="D23" s="100"/>
      <c r="E23" s="100"/>
      <c r="F23" s="100"/>
      <c r="G23" s="100"/>
      <c r="H23" s="100">
        <v>251.31</v>
      </c>
      <c r="I23" s="100"/>
      <c r="J23" s="100"/>
      <c r="K23" s="100"/>
      <c r="L23" s="100"/>
      <c r="M23" s="100"/>
      <c r="N23" s="100"/>
      <c r="O23" s="103">
        <f t="shared" si="3"/>
        <v>251.31</v>
      </c>
    </row>
    <row r="24" spans="1:15" s="102" customFormat="1" ht="12" x14ac:dyDescent="0.25">
      <c r="A24" s="235"/>
      <c r="B24" s="99" t="s">
        <v>29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>
        <v>0</v>
      </c>
      <c r="N24" s="100">
        <v>0</v>
      </c>
      <c r="O24" s="103">
        <f>SUM(C24:N24)</f>
        <v>0</v>
      </c>
    </row>
    <row r="25" spans="1:15" s="67" customFormat="1" ht="12.6" customHeight="1" x14ac:dyDescent="0.3">
      <c r="A25" s="155"/>
      <c r="B25" s="65" t="s">
        <v>31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66">
        <f t="shared" si="3"/>
        <v>0</v>
      </c>
    </row>
    <row r="26" spans="1:15" s="67" customFormat="1" ht="12.6" customHeight="1" x14ac:dyDescent="0.3">
      <c r="A26" s="156"/>
      <c r="B26" s="116" t="s">
        <v>32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8">
        <f t="shared" si="3"/>
        <v>0</v>
      </c>
    </row>
    <row r="27" spans="1:15" s="102" customFormat="1" ht="12" x14ac:dyDescent="0.25">
      <c r="A27" s="256" t="s">
        <v>442</v>
      </c>
      <c r="B27" s="99" t="s">
        <v>16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3">
        <f t="shared" ref="O27:O58" si="4">SUM(C27:N27)</f>
        <v>0</v>
      </c>
    </row>
    <row r="28" spans="1:15" s="102" customFormat="1" ht="12" x14ac:dyDescent="0.25">
      <c r="A28" s="257"/>
      <c r="B28" s="99" t="s">
        <v>29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100">
        <v>0</v>
      </c>
      <c r="N28" s="100">
        <v>0</v>
      </c>
      <c r="O28" s="103">
        <f>SUM(C28:N28)</f>
        <v>0</v>
      </c>
    </row>
    <row r="29" spans="1:15" s="67" customFormat="1" ht="12.6" customHeight="1" x14ac:dyDescent="0.3">
      <c r="A29" s="160"/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66">
        <f t="shared" si="4"/>
        <v>0</v>
      </c>
    </row>
    <row r="30" spans="1:15" s="67" customFormat="1" ht="12.6" customHeight="1" x14ac:dyDescent="0.3">
      <c r="A30" s="161"/>
      <c r="B30" s="116" t="s">
        <v>32</v>
      </c>
      <c r="C30" s="117"/>
      <c r="D30" s="117"/>
      <c r="E30" s="117"/>
      <c r="F30" s="117">
        <v>40.950000000000003</v>
      </c>
      <c r="G30" s="117"/>
      <c r="H30" s="117"/>
      <c r="I30" s="117"/>
      <c r="J30" s="117"/>
      <c r="K30" s="117"/>
      <c r="L30" s="117"/>
      <c r="M30" s="117"/>
      <c r="N30" s="117"/>
      <c r="O30" s="118">
        <f t="shared" si="4"/>
        <v>40.950000000000003</v>
      </c>
    </row>
    <row r="31" spans="1:15" s="102" customFormat="1" ht="12" x14ac:dyDescent="0.25">
      <c r="A31" s="256"/>
      <c r="B31" s="99" t="s">
        <v>16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3">
        <f t="shared" si="4"/>
        <v>0</v>
      </c>
    </row>
    <row r="32" spans="1:15" s="102" customFormat="1" ht="12" x14ac:dyDescent="0.25">
      <c r="A32" s="257"/>
      <c r="B32" s="99" t="s">
        <v>29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3">
        <f>SUM(C32:N32)</f>
        <v>0</v>
      </c>
    </row>
    <row r="33" spans="1:15" s="67" customFormat="1" ht="12.6" customHeight="1" x14ac:dyDescent="0.3">
      <c r="A33" s="160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 t="shared" si="4"/>
        <v>0</v>
      </c>
    </row>
    <row r="34" spans="1:15" s="67" customFormat="1" ht="12.6" customHeight="1" x14ac:dyDescent="0.3">
      <c r="A34" s="161"/>
      <c r="B34" s="116" t="s">
        <v>32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8">
        <f t="shared" si="4"/>
        <v>0</v>
      </c>
    </row>
    <row r="35" spans="1:15" s="102" customFormat="1" ht="12" x14ac:dyDescent="0.25">
      <c r="A35" s="256"/>
      <c r="B35" s="99" t="s">
        <v>16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3">
        <f t="shared" si="4"/>
        <v>0</v>
      </c>
    </row>
    <row r="36" spans="1:15" s="102" customFormat="1" ht="12" x14ac:dyDescent="0.25">
      <c r="A36" s="257"/>
      <c r="B36" s="99" t="s">
        <v>29</v>
      </c>
      <c r="C36" s="100">
        <v>0</v>
      </c>
      <c r="D36" s="100">
        <v>0</v>
      </c>
      <c r="E36" s="100">
        <v>0</v>
      </c>
      <c r="F36" s="100">
        <v>0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100">
        <v>0</v>
      </c>
      <c r="N36" s="100">
        <v>0</v>
      </c>
      <c r="O36" s="103">
        <f>SUM(C36:N36)</f>
        <v>0</v>
      </c>
    </row>
    <row r="37" spans="1:15" s="67" customFormat="1" ht="12.6" customHeight="1" x14ac:dyDescent="0.3">
      <c r="A37" s="160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 t="shared" si="4"/>
        <v>0</v>
      </c>
    </row>
    <row r="38" spans="1:15" s="67" customFormat="1" ht="12.6" customHeight="1" x14ac:dyDescent="0.3">
      <c r="A38" s="161"/>
      <c r="B38" s="116" t="s">
        <v>32</v>
      </c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>
        <f t="shared" si="4"/>
        <v>0</v>
      </c>
    </row>
    <row r="39" spans="1:15" s="102" customFormat="1" ht="12" x14ac:dyDescent="0.25">
      <c r="A39" s="256"/>
      <c r="B39" s="99" t="s">
        <v>16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3">
        <f t="shared" si="4"/>
        <v>0</v>
      </c>
    </row>
    <row r="40" spans="1:15" s="102" customFormat="1" ht="12" x14ac:dyDescent="0.25">
      <c r="A40" s="257"/>
      <c r="B40" s="99" t="s">
        <v>29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100">
        <v>0</v>
      </c>
      <c r="N40" s="100">
        <v>0</v>
      </c>
      <c r="O40" s="103">
        <f>SUM(C40:N40)</f>
        <v>0</v>
      </c>
    </row>
    <row r="41" spans="1:15" s="64" customFormat="1" ht="12.6" customHeight="1" x14ac:dyDescent="0.3">
      <c r="A41" s="160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 t="shared" si="4"/>
        <v>0</v>
      </c>
    </row>
    <row r="42" spans="1:15" s="64" customFormat="1" ht="12.6" customHeight="1" x14ac:dyDescent="0.3">
      <c r="A42" s="161"/>
      <c r="B42" s="7" t="s">
        <v>32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24">
        <f t="shared" si="4"/>
        <v>0</v>
      </c>
    </row>
    <row r="43" spans="1:15" s="102" customFormat="1" ht="12" x14ac:dyDescent="0.25">
      <c r="A43" s="256"/>
      <c r="B43" s="99" t="s">
        <v>16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3">
        <f t="shared" si="4"/>
        <v>0</v>
      </c>
    </row>
    <row r="44" spans="1:15" s="102" customFormat="1" ht="12" x14ac:dyDescent="0.25">
      <c r="A44" s="257"/>
      <c r="B44" s="99" t="s">
        <v>29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100">
        <v>0</v>
      </c>
      <c r="N44" s="100">
        <v>0</v>
      </c>
      <c r="O44" s="103">
        <f>SUM(C44:N44)</f>
        <v>0</v>
      </c>
    </row>
    <row r="45" spans="1:15" s="64" customFormat="1" ht="12.6" customHeight="1" x14ac:dyDescent="0.3">
      <c r="A45" s="160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 t="shared" si="4"/>
        <v>0</v>
      </c>
    </row>
    <row r="46" spans="1:15" s="64" customFormat="1" ht="12.6" customHeight="1" x14ac:dyDescent="0.3">
      <c r="A46" s="161"/>
      <c r="B46" s="7" t="s">
        <v>32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24">
        <f t="shared" si="4"/>
        <v>0</v>
      </c>
    </row>
    <row r="47" spans="1:15" s="102" customFormat="1" ht="12" x14ac:dyDescent="0.25">
      <c r="A47" s="256"/>
      <c r="B47" s="99" t="s">
        <v>16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3">
        <f t="shared" si="4"/>
        <v>0</v>
      </c>
    </row>
    <row r="48" spans="1:15" s="102" customFormat="1" ht="12" x14ac:dyDescent="0.25">
      <c r="A48" s="257"/>
      <c r="B48" s="99" t="s">
        <v>29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3">
        <f>SUM(C48:N48)</f>
        <v>0</v>
      </c>
    </row>
    <row r="49" spans="1:15" s="64" customFormat="1" ht="12.6" customHeight="1" x14ac:dyDescent="0.3">
      <c r="A49" s="160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 t="shared" si="4"/>
        <v>0</v>
      </c>
    </row>
    <row r="50" spans="1:15" s="64" customFormat="1" ht="12.6" customHeight="1" x14ac:dyDescent="0.3">
      <c r="A50" s="161"/>
      <c r="B50" s="7" t="s">
        <v>32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24">
        <f t="shared" si="4"/>
        <v>0</v>
      </c>
    </row>
    <row r="51" spans="1:15" s="102" customFormat="1" ht="12" x14ac:dyDescent="0.25">
      <c r="A51" s="256"/>
      <c r="B51" s="99" t="s">
        <v>16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3">
        <f t="shared" si="4"/>
        <v>0</v>
      </c>
    </row>
    <row r="52" spans="1:15" s="102" customFormat="1" ht="12" x14ac:dyDescent="0.25">
      <c r="A52" s="257"/>
      <c r="B52" s="99" t="s">
        <v>29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0</v>
      </c>
      <c r="N52" s="100">
        <v>0</v>
      </c>
      <c r="O52" s="103">
        <f>SUM(C52:N52)</f>
        <v>0</v>
      </c>
    </row>
    <row r="53" spans="1:15" s="64" customFormat="1" ht="12.6" customHeight="1" x14ac:dyDescent="0.3">
      <c r="A53" s="160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 t="shared" si="4"/>
        <v>0</v>
      </c>
    </row>
    <row r="54" spans="1:15" s="64" customFormat="1" ht="12.6" customHeight="1" x14ac:dyDescent="0.3">
      <c r="A54" s="161"/>
      <c r="B54" s="7" t="s">
        <v>32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24">
        <f t="shared" si="4"/>
        <v>0</v>
      </c>
    </row>
    <row r="55" spans="1:15" s="102" customFormat="1" ht="12" x14ac:dyDescent="0.25">
      <c r="A55" s="256"/>
      <c r="B55" s="99" t="s">
        <v>16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3">
        <f t="shared" si="4"/>
        <v>0</v>
      </c>
    </row>
    <row r="56" spans="1:15" s="102" customFormat="1" ht="12" x14ac:dyDescent="0.25">
      <c r="A56" s="257"/>
      <c r="B56" s="99" t="s">
        <v>29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3">
        <f>SUM(C56:N56)</f>
        <v>0</v>
      </c>
    </row>
    <row r="57" spans="1:15" s="64" customFormat="1" ht="12.6" customHeight="1" x14ac:dyDescent="0.3">
      <c r="A57" s="160"/>
      <c r="B57" s="5" t="s">
        <v>31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7">
        <f t="shared" si="4"/>
        <v>0</v>
      </c>
    </row>
    <row r="58" spans="1:15" s="64" customFormat="1" ht="12.6" customHeight="1" x14ac:dyDescent="0.3">
      <c r="A58" s="161"/>
      <c r="B58" s="7" t="s">
        <v>32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24">
        <f t="shared" si="4"/>
        <v>0</v>
      </c>
    </row>
    <row r="59" spans="1:15" s="102" customFormat="1" ht="12" x14ac:dyDescent="0.25">
      <c r="A59" s="256"/>
      <c r="B59" s="99" t="s">
        <v>16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3">
        <f t="shared" ref="O59:O90" si="5">SUM(C59:N59)</f>
        <v>0</v>
      </c>
    </row>
    <row r="60" spans="1:15" s="102" customFormat="1" ht="12" x14ac:dyDescent="0.25">
      <c r="A60" s="257"/>
      <c r="B60" s="99" t="s">
        <v>29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3">
        <f>SUM(C60:N60)</f>
        <v>0</v>
      </c>
    </row>
    <row r="61" spans="1:15" s="64" customFormat="1" ht="12.6" customHeight="1" x14ac:dyDescent="0.3">
      <c r="A61" s="160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 t="shared" si="5"/>
        <v>0</v>
      </c>
    </row>
    <row r="62" spans="1:15" s="64" customFormat="1" ht="12.6" customHeight="1" x14ac:dyDescent="0.3">
      <c r="A62" s="161"/>
      <c r="B62" s="7" t="s">
        <v>32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24">
        <f t="shared" si="5"/>
        <v>0</v>
      </c>
    </row>
    <row r="63" spans="1:15" s="102" customFormat="1" ht="12" x14ac:dyDescent="0.25">
      <c r="A63" s="256"/>
      <c r="B63" s="99" t="s">
        <v>16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3">
        <f t="shared" si="5"/>
        <v>0</v>
      </c>
    </row>
    <row r="64" spans="1:15" s="102" customFormat="1" ht="12" x14ac:dyDescent="0.25">
      <c r="A64" s="257"/>
      <c r="B64" s="99" t="s">
        <v>29</v>
      </c>
      <c r="C64" s="100">
        <v>0</v>
      </c>
      <c r="D64" s="100">
        <v>0</v>
      </c>
      <c r="E64" s="100">
        <v>0</v>
      </c>
      <c r="F64" s="100">
        <v>0</v>
      </c>
      <c r="G64" s="100">
        <v>0</v>
      </c>
      <c r="H64" s="100">
        <v>0</v>
      </c>
      <c r="I64" s="100">
        <v>0</v>
      </c>
      <c r="J64" s="100">
        <v>0</v>
      </c>
      <c r="K64" s="100">
        <v>0</v>
      </c>
      <c r="L64" s="100">
        <v>0</v>
      </c>
      <c r="M64" s="100">
        <v>0</v>
      </c>
      <c r="N64" s="100">
        <v>0</v>
      </c>
      <c r="O64" s="103">
        <f>SUM(C64:N64)</f>
        <v>0</v>
      </c>
    </row>
    <row r="65" spans="1:15" s="64" customFormat="1" ht="12.6" customHeight="1" x14ac:dyDescent="0.3">
      <c r="A65" s="160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 t="shared" si="5"/>
        <v>0</v>
      </c>
    </row>
    <row r="66" spans="1:15" s="64" customFormat="1" ht="12.6" customHeight="1" x14ac:dyDescent="0.3">
      <c r="A66" s="161"/>
      <c r="B66" s="7" t="s">
        <v>32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24">
        <f t="shared" si="5"/>
        <v>0</v>
      </c>
    </row>
    <row r="67" spans="1:15" s="102" customFormat="1" ht="12.6" customHeight="1" x14ac:dyDescent="0.25">
      <c r="A67" s="256"/>
      <c r="B67" s="99" t="s">
        <v>16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3">
        <f t="shared" si="5"/>
        <v>0</v>
      </c>
    </row>
    <row r="68" spans="1:15" s="102" customFormat="1" ht="12" x14ac:dyDescent="0.25">
      <c r="A68" s="257"/>
      <c r="B68" s="99" t="s">
        <v>29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3">
        <f>SUM(C68:N68)</f>
        <v>0</v>
      </c>
    </row>
    <row r="69" spans="1:15" s="64" customFormat="1" x14ac:dyDescent="0.3">
      <c r="A69" s="160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 t="shared" si="5"/>
        <v>0</v>
      </c>
    </row>
    <row r="70" spans="1:15" s="64" customFormat="1" x14ac:dyDescent="0.3">
      <c r="A70" s="161"/>
      <c r="B70" s="7" t="s">
        <v>32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24">
        <f t="shared" si="5"/>
        <v>0</v>
      </c>
    </row>
    <row r="71" spans="1:15" s="102" customFormat="1" ht="12" x14ac:dyDescent="0.25">
      <c r="A71" s="256"/>
      <c r="B71" s="99" t="s">
        <v>16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3">
        <f t="shared" si="5"/>
        <v>0</v>
      </c>
    </row>
    <row r="72" spans="1:15" s="102" customFormat="1" ht="12" x14ac:dyDescent="0.25">
      <c r="A72" s="257"/>
      <c r="B72" s="99" t="s">
        <v>29</v>
      </c>
      <c r="C72" s="100">
        <v>0</v>
      </c>
      <c r="D72" s="100">
        <v>0</v>
      </c>
      <c r="E72" s="100">
        <v>0</v>
      </c>
      <c r="F72" s="100">
        <v>0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3">
        <f>SUM(C72:N72)</f>
        <v>0</v>
      </c>
    </row>
    <row r="73" spans="1:15" s="64" customFormat="1" x14ac:dyDescent="0.3">
      <c r="A73" s="160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 t="shared" si="5"/>
        <v>0</v>
      </c>
    </row>
    <row r="74" spans="1:15" s="64" customFormat="1" x14ac:dyDescent="0.3">
      <c r="A74" s="161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24">
        <f t="shared" si="5"/>
        <v>0</v>
      </c>
    </row>
    <row r="75" spans="1:15" s="102" customFormat="1" ht="12" x14ac:dyDescent="0.25">
      <c r="A75" s="256"/>
      <c r="B75" s="99" t="s">
        <v>16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3">
        <f t="shared" si="5"/>
        <v>0</v>
      </c>
    </row>
    <row r="76" spans="1:15" s="102" customFormat="1" ht="12" x14ac:dyDescent="0.25">
      <c r="A76" s="257"/>
      <c r="B76" s="99" t="s">
        <v>29</v>
      </c>
      <c r="C76" s="100">
        <v>0</v>
      </c>
      <c r="D76" s="100">
        <v>0</v>
      </c>
      <c r="E76" s="100">
        <v>0</v>
      </c>
      <c r="F76" s="100">
        <v>0</v>
      </c>
      <c r="G76" s="100">
        <v>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3">
        <f>SUM(C76:N76)</f>
        <v>0</v>
      </c>
    </row>
    <row r="77" spans="1:15" s="64" customFormat="1" x14ac:dyDescent="0.3">
      <c r="A77" s="160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7">
        <f t="shared" si="5"/>
        <v>0</v>
      </c>
    </row>
    <row r="78" spans="1:15" s="64" customFormat="1" x14ac:dyDescent="0.3">
      <c r="A78" s="161"/>
      <c r="B78" s="7" t="s">
        <v>32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24">
        <f t="shared" si="5"/>
        <v>0</v>
      </c>
    </row>
    <row r="79" spans="1:15" s="102" customFormat="1" ht="12" x14ac:dyDescent="0.25">
      <c r="A79" s="256"/>
      <c r="B79" s="99" t="s">
        <v>16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3">
        <f t="shared" si="5"/>
        <v>0</v>
      </c>
    </row>
    <row r="80" spans="1:15" s="102" customFormat="1" ht="12" x14ac:dyDescent="0.25">
      <c r="A80" s="257"/>
      <c r="B80" s="99" t="s">
        <v>29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3">
        <f>SUM(C80:N80)</f>
        <v>0</v>
      </c>
    </row>
    <row r="81" spans="1:15" s="64" customFormat="1" x14ac:dyDescent="0.3">
      <c r="A81" s="160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7">
        <f t="shared" si="5"/>
        <v>0</v>
      </c>
    </row>
    <row r="82" spans="1:15" s="64" customFormat="1" x14ac:dyDescent="0.3">
      <c r="A82" s="161"/>
      <c r="B82" s="7" t="s">
        <v>32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24">
        <f t="shared" si="5"/>
        <v>0</v>
      </c>
    </row>
    <row r="83" spans="1:15" s="102" customFormat="1" ht="12" x14ac:dyDescent="0.25">
      <c r="A83" s="256"/>
      <c r="B83" s="99" t="s">
        <v>16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3">
        <f t="shared" si="5"/>
        <v>0</v>
      </c>
    </row>
    <row r="84" spans="1:15" s="102" customFormat="1" ht="12" x14ac:dyDescent="0.25">
      <c r="A84" s="257"/>
      <c r="B84" s="99" t="s">
        <v>29</v>
      </c>
      <c r="C84" s="100">
        <v>0</v>
      </c>
      <c r="D84" s="100">
        <v>0</v>
      </c>
      <c r="E84" s="100">
        <v>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3">
        <f>SUM(C84:N84)</f>
        <v>0</v>
      </c>
    </row>
    <row r="85" spans="1:15" s="64" customFormat="1" x14ac:dyDescent="0.3">
      <c r="A85" s="160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7">
        <f t="shared" si="5"/>
        <v>0</v>
      </c>
    </row>
    <row r="86" spans="1:15" s="64" customFormat="1" x14ac:dyDescent="0.3">
      <c r="A86" s="161"/>
      <c r="B86" s="7" t="s">
        <v>32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24">
        <f t="shared" si="5"/>
        <v>0</v>
      </c>
    </row>
    <row r="87" spans="1:15" s="102" customFormat="1" ht="12" x14ac:dyDescent="0.25">
      <c r="A87" s="256"/>
      <c r="B87" s="99" t="s">
        <v>16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3">
        <f t="shared" si="5"/>
        <v>0</v>
      </c>
    </row>
    <row r="88" spans="1:15" s="102" customFormat="1" ht="12" x14ac:dyDescent="0.25">
      <c r="A88" s="257"/>
      <c r="B88" s="99" t="s">
        <v>29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3">
        <f>SUM(C88:N88)</f>
        <v>0</v>
      </c>
    </row>
    <row r="89" spans="1:15" s="64" customFormat="1" x14ac:dyDescent="0.3">
      <c r="A89" s="160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7">
        <f t="shared" si="5"/>
        <v>0</v>
      </c>
    </row>
    <row r="90" spans="1:15" s="64" customFormat="1" x14ac:dyDescent="0.3">
      <c r="A90" s="161"/>
      <c r="B90" s="7" t="s">
        <v>32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24">
        <f t="shared" si="5"/>
        <v>0</v>
      </c>
    </row>
    <row r="91" spans="1:15" s="102" customFormat="1" ht="12" x14ac:dyDescent="0.25">
      <c r="A91" s="256"/>
      <c r="B91" s="99" t="s">
        <v>16</v>
      </c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3">
        <f t="shared" ref="O91:O106" si="6">SUM(C91:N91)</f>
        <v>0</v>
      </c>
    </row>
    <row r="92" spans="1:15" s="102" customFormat="1" ht="12" x14ac:dyDescent="0.25">
      <c r="A92" s="257"/>
      <c r="B92" s="99" t="s">
        <v>29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100">
        <v>0</v>
      </c>
      <c r="N92" s="100">
        <v>0</v>
      </c>
      <c r="O92" s="103">
        <f>SUM(C92:N92)</f>
        <v>0</v>
      </c>
    </row>
    <row r="93" spans="1:15" s="64" customFormat="1" x14ac:dyDescent="0.3">
      <c r="A93" s="160"/>
      <c r="B93" s="5" t="s">
        <v>31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7">
        <f t="shared" si="6"/>
        <v>0</v>
      </c>
    </row>
    <row r="94" spans="1:15" s="64" customFormat="1" x14ac:dyDescent="0.3">
      <c r="A94" s="161"/>
      <c r="B94" s="7" t="s">
        <v>32</v>
      </c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24">
        <f t="shared" si="6"/>
        <v>0</v>
      </c>
    </row>
    <row r="95" spans="1:15" s="102" customFormat="1" ht="12" x14ac:dyDescent="0.25">
      <c r="A95" s="256"/>
      <c r="B95" s="99" t="s">
        <v>16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3">
        <f t="shared" si="6"/>
        <v>0</v>
      </c>
    </row>
    <row r="96" spans="1:15" s="102" customFormat="1" ht="12" x14ac:dyDescent="0.25">
      <c r="A96" s="257"/>
      <c r="B96" s="99" t="s">
        <v>29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100">
        <v>0</v>
      </c>
      <c r="N96" s="100">
        <v>0</v>
      </c>
      <c r="O96" s="103">
        <f>SUM(C96:N96)</f>
        <v>0</v>
      </c>
    </row>
    <row r="97" spans="1:15" s="64" customFormat="1" x14ac:dyDescent="0.3">
      <c r="A97" s="160"/>
      <c r="B97" s="5" t="s">
        <v>31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7">
        <f t="shared" si="6"/>
        <v>0</v>
      </c>
    </row>
    <row r="98" spans="1:15" s="64" customFormat="1" x14ac:dyDescent="0.3">
      <c r="A98" s="161"/>
      <c r="B98" s="7" t="s">
        <v>32</v>
      </c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24">
        <f t="shared" si="6"/>
        <v>0</v>
      </c>
    </row>
    <row r="99" spans="1:15" s="102" customFormat="1" ht="12" x14ac:dyDescent="0.25">
      <c r="A99" s="256"/>
      <c r="B99" s="99" t="s">
        <v>16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3">
        <f t="shared" si="6"/>
        <v>0</v>
      </c>
    </row>
    <row r="100" spans="1:15" s="102" customFormat="1" ht="12" x14ac:dyDescent="0.25">
      <c r="A100" s="257"/>
      <c r="B100" s="99" t="s">
        <v>29</v>
      </c>
      <c r="C100" s="100">
        <v>0</v>
      </c>
      <c r="D100" s="100">
        <v>0</v>
      </c>
      <c r="E100" s="100">
        <v>0</v>
      </c>
      <c r="F100" s="100">
        <v>0</v>
      </c>
      <c r="G100" s="100">
        <v>0</v>
      </c>
      <c r="H100" s="100">
        <v>0</v>
      </c>
      <c r="I100" s="100">
        <v>0</v>
      </c>
      <c r="J100" s="100">
        <v>0</v>
      </c>
      <c r="K100" s="100">
        <v>0</v>
      </c>
      <c r="L100" s="100">
        <v>0</v>
      </c>
      <c r="M100" s="100">
        <v>0</v>
      </c>
      <c r="N100" s="100">
        <v>0</v>
      </c>
      <c r="O100" s="103">
        <f t="shared" si="6"/>
        <v>0</v>
      </c>
    </row>
    <row r="101" spans="1:15" s="64" customFormat="1" x14ac:dyDescent="0.3">
      <c r="A101" s="160"/>
      <c r="B101" s="5" t="s">
        <v>31</v>
      </c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7">
        <f>SUM(C101:N101)</f>
        <v>0</v>
      </c>
    </row>
    <row r="102" spans="1:15" s="64" customFormat="1" x14ac:dyDescent="0.3">
      <c r="A102" s="161"/>
      <c r="B102" s="7" t="s">
        <v>32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24">
        <f t="shared" si="6"/>
        <v>0</v>
      </c>
    </row>
    <row r="103" spans="1:15" s="102" customFormat="1" ht="12" x14ac:dyDescent="0.25">
      <c r="A103" s="256"/>
      <c r="B103" s="99" t="s">
        <v>16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3">
        <f t="shared" si="6"/>
        <v>0</v>
      </c>
    </row>
    <row r="104" spans="1:15" s="102" customFormat="1" ht="12" x14ac:dyDescent="0.25">
      <c r="A104" s="257"/>
      <c r="B104" s="99" t="s">
        <v>29</v>
      </c>
      <c r="C104" s="100">
        <v>0</v>
      </c>
      <c r="D104" s="100">
        <v>0</v>
      </c>
      <c r="E104" s="100">
        <v>0</v>
      </c>
      <c r="F104" s="100">
        <v>0</v>
      </c>
      <c r="G104" s="100">
        <v>0</v>
      </c>
      <c r="H104" s="100">
        <v>0</v>
      </c>
      <c r="I104" s="100">
        <v>0</v>
      </c>
      <c r="J104" s="100">
        <v>0</v>
      </c>
      <c r="K104" s="100">
        <v>0</v>
      </c>
      <c r="L104" s="100">
        <v>0</v>
      </c>
      <c r="M104" s="100">
        <v>0</v>
      </c>
      <c r="N104" s="100">
        <v>0</v>
      </c>
      <c r="O104" s="103">
        <f t="shared" si="6"/>
        <v>0</v>
      </c>
    </row>
    <row r="105" spans="1:15" s="64" customFormat="1" x14ac:dyDescent="0.3">
      <c r="A105" s="160"/>
      <c r="B105" s="5" t="s">
        <v>31</v>
      </c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7">
        <f>SUM(C105:N105)</f>
        <v>0</v>
      </c>
    </row>
    <row r="106" spans="1:15" s="64" customFormat="1" x14ac:dyDescent="0.3">
      <c r="A106" s="161"/>
      <c r="B106" s="7" t="s">
        <v>32</v>
      </c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24">
        <f t="shared" si="6"/>
        <v>0</v>
      </c>
    </row>
    <row r="107" spans="1:15" s="102" customFormat="1" ht="12" x14ac:dyDescent="0.25">
      <c r="A107" s="253"/>
    </row>
    <row r="108" spans="1:15" s="102" customFormat="1" ht="12" x14ac:dyDescent="0.25">
      <c r="A108" s="252"/>
    </row>
    <row r="109" spans="1:15" s="64" customFormat="1" x14ac:dyDescent="0.3">
      <c r="A109" s="159"/>
    </row>
    <row r="110" spans="1:15" s="64" customFormat="1" x14ac:dyDescent="0.3">
      <c r="A110" s="159"/>
    </row>
    <row r="111" spans="1:15" s="102" customFormat="1" ht="12" x14ac:dyDescent="0.25">
      <c r="A111" s="252"/>
    </row>
    <row r="112" spans="1:15" s="102" customFormat="1" ht="12" x14ac:dyDescent="0.25">
      <c r="A112" s="252"/>
    </row>
    <row r="113" spans="1:1" s="64" customFormat="1" x14ac:dyDescent="0.3">
      <c r="A113" s="159"/>
    </row>
    <row r="114" spans="1:1" s="64" customFormat="1" x14ac:dyDescent="0.3">
      <c r="A114" s="159"/>
    </row>
    <row r="115" spans="1:1" s="102" customFormat="1" ht="12" x14ac:dyDescent="0.25">
      <c r="A115" s="252"/>
    </row>
    <row r="116" spans="1:1" s="102" customFormat="1" ht="12" x14ac:dyDescent="0.25">
      <c r="A116" s="252"/>
    </row>
    <row r="117" spans="1:1" s="64" customFormat="1" x14ac:dyDescent="0.3">
      <c r="A117" s="159"/>
    </row>
    <row r="118" spans="1:1" s="64" customFormat="1" x14ac:dyDescent="0.3">
      <c r="A118" s="159"/>
    </row>
    <row r="119" spans="1:1" s="102" customFormat="1" ht="12" x14ac:dyDescent="0.25">
      <c r="A119" s="252"/>
    </row>
    <row r="120" spans="1:1" s="102" customFormat="1" ht="12" x14ac:dyDescent="0.25">
      <c r="A120" s="252"/>
    </row>
    <row r="121" spans="1:1" s="64" customFormat="1" x14ac:dyDescent="0.3">
      <c r="A121" s="159"/>
    </row>
    <row r="122" spans="1:1" s="64" customFormat="1" x14ac:dyDescent="0.3">
      <c r="A122" s="159"/>
    </row>
    <row r="123" spans="1:1" s="102" customFormat="1" ht="12" x14ac:dyDescent="0.25">
      <c r="A123" s="252"/>
    </row>
    <row r="124" spans="1:1" s="102" customFormat="1" ht="12" x14ac:dyDescent="0.25">
      <c r="A124" s="252"/>
    </row>
    <row r="125" spans="1:1" s="64" customFormat="1" ht="11.4" customHeight="1" x14ac:dyDescent="0.3">
      <c r="A125" s="159"/>
    </row>
    <row r="126" spans="1:1" s="64" customFormat="1" x14ac:dyDescent="0.3">
      <c r="A126" s="159"/>
    </row>
    <row r="127" spans="1:1" s="102" customFormat="1" ht="12" x14ac:dyDescent="0.25">
      <c r="A127" s="252"/>
    </row>
    <row r="128" spans="1:1" s="102" customFormat="1" ht="12" x14ac:dyDescent="0.25">
      <c r="A128" s="252"/>
    </row>
    <row r="129" spans="1:1" s="64" customFormat="1" x14ac:dyDescent="0.3">
      <c r="A129" s="159"/>
    </row>
    <row r="130" spans="1:1" s="64" customFormat="1" x14ac:dyDescent="0.3">
      <c r="A130" s="159"/>
    </row>
    <row r="131" spans="1:1" s="102" customFormat="1" ht="12" x14ac:dyDescent="0.25">
      <c r="A131" s="252"/>
    </row>
    <row r="132" spans="1:1" s="102" customFormat="1" ht="12" x14ac:dyDescent="0.25">
      <c r="A132" s="252"/>
    </row>
    <row r="133" spans="1:1" s="64" customFormat="1" x14ac:dyDescent="0.3">
      <c r="A133" s="159"/>
    </row>
    <row r="134" spans="1:1" s="64" customFormat="1" x14ac:dyDescent="0.3">
      <c r="A134" s="159"/>
    </row>
    <row r="135" spans="1:1" s="102" customFormat="1" ht="12" x14ac:dyDescent="0.25">
      <c r="A135" s="252"/>
    </row>
    <row r="136" spans="1:1" s="102" customFormat="1" ht="12" x14ac:dyDescent="0.25">
      <c r="A136" s="252"/>
    </row>
    <row r="137" spans="1:1" s="64" customFormat="1" x14ac:dyDescent="0.3">
      <c r="A137" s="159"/>
    </row>
    <row r="138" spans="1:1" s="64" customFormat="1" x14ac:dyDescent="0.3">
      <c r="A138" s="159"/>
    </row>
    <row r="139" spans="1:1" s="102" customFormat="1" ht="12" x14ac:dyDescent="0.25">
      <c r="A139" s="252"/>
    </row>
    <row r="140" spans="1:1" s="102" customFormat="1" ht="12" x14ac:dyDescent="0.25">
      <c r="A140" s="252"/>
    </row>
    <row r="141" spans="1:1" s="64" customFormat="1" x14ac:dyDescent="0.3">
      <c r="A141" s="159"/>
    </row>
    <row r="142" spans="1:1" s="64" customFormat="1" x14ac:dyDescent="0.3">
      <c r="A142" s="159"/>
    </row>
    <row r="143" spans="1:1" s="102" customFormat="1" ht="12" x14ac:dyDescent="0.25">
      <c r="A143" s="252"/>
    </row>
    <row r="144" spans="1:1" s="102" customFormat="1" ht="12" x14ac:dyDescent="0.25">
      <c r="A144" s="252"/>
    </row>
    <row r="145" spans="1:1" s="64" customFormat="1" x14ac:dyDescent="0.3">
      <c r="A145" s="159"/>
    </row>
    <row r="146" spans="1:1" s="64" customFormat="1" x14ac:dyDescent="0.3">
      <c r="A146" s="159"/>
    </row>
    <row r="147" spans="1:1" s="102" customFormat="1" ht="12" x14ac:dyDescent="0.25">
      <c r="A147" s="252"/>
    </row>
    <row r="148" spans="1:1" s="102" customFormat="1" ht="12" x14ac:dyDescent="0.25">
      <c r="A148" s="252"/>
    </row>
    <row r="149" spans="1:1" s="64" customFormat="1" x14ac:dyDescent="0.3">
      <c r="A149" s="159"/>
    </row>
    <row r="150" spans="1:1" s="64" customFormat="1" x14ac:dyDescent="0.3">
      <c r="A150" s="159"/>
    </row>
    <row r="151" spans="1:1" s="102" customFormat="1" ht="12" x14ac:dyDescent="0.25">
      <c r="A151" s="252"/>
    </row>
    <row r="152" spans="1:1" s="102" customFormat="1" ht="12" x14ac:dyDescent="0.25">
      <c r="A152" s="252"/>
    </row>
    <row r="153" spans="1:1" s="64" customFormat="1" x14ac:dyDescent="0.3">
      <c r="A153" s="159"/>
    </row>
    <row r="154" spans="1:1" s="64" customFormat="1" x14ac:dyDescent="0.3">
      <c r="A154" s="159"/>
    </row>
    <row r="155" spans="1:1" s="102" customFormat="1" ht="12" x14ac:dyDescent="0.25">
      <c r="A155" s="252"/>
    </row>
    <row r="156" spans="1:1" s="102" customFormat="1" ht="12" x14ac:dyDescent="0.25">
      <c r="A156" s="252"/>
    </row>
    <row r="157" spans="1:1" s="64" customFormat="1" x14ac:dyDescent="0.3">
      <c r="A157" s="159"/>
    </row>
    <row r="158" spans="1:1" s="64" customFormat="1" x14ac:dyDescent="0.3">
      <c r="A158" s="159"/>
    </row>
    <row r="159" spans="1:1" s="102" customFormat="1" ht="12" x14ac:dyDescent="0.25">
      <c r="A159" s="252"/>
    </row>
    <row r="160" spans="1:1" s="102" customFormat="1" ht="12" x14ac:dyDescent="0.25">
      <c r="A160" s="252"/>
    </row>
    <row r="161" spans="1:1" s="64" customFormat="1" x14ac:dyDescent="0.3">
      <c r="A161" s="159"/>
    </row>
    <row r="162" spans="1:1" s="64" customFormat="1" x14ac:dyDescent="0.3">
      <c r="A162" s="159"/>
    </row>
    <row r="163" spans="1:1" s="102" customFormat="1" ht="12" x14ac:dyDescent="0.25">
      <c r="A163" s="252"/>
    </row>
    <row r="164" spans="1:1" s="102" customFormat="1" ht="12" x14ac:dyDescent="0.25">
      <c r="A164" s="252"/>
    </row>
    <row r="165" spans="1:1" s="64" customFormat="1" x14ac:dyDescent="0.3">
      <c r="A165" s="159"/>
    </row>
    <row r="166" spans="1:1" s="64" customFormat="1" x14ac:dyDescent="0.3">
      <c r="A166" s="159"/>
    </row>
    <row r="167" spans="1:1" s="102" customFormat="1" ht="12" x14ac:dyDescent="0.25">
      <c r="A167" s="252"/>
    </row>
    <row r="168" spans="1:1" s="102" customFormat="1" ht="12" x14ac:dyDescent="0.25">
      <c r="A168" s="252"/>
    </row>
    <row r="169" spans="1:1" s="64" customFormat="1" x14ac:dyDescent="0.3">
      <c r="A169" s="159"/>
    </row>
    <row r="170" spans="1:1" s="64" customFormat="1" x14ac:dyDescent="0.3">
      <c r="A170" s="159"/>
    </row>
    <row r="171" spans="1:1" s="102" customFormat="1" ht="12" x14ac:dyDescent="0.25">
      <c r="A171" s="252"/>
    </row>
    <row r="172" spans="1:1" s="102" customFormat="1" ht="12" x14ac:dyDescent="0.25">
      <c r="A172" s="252"/>
    </row>
    <row r="173" spans="1:1" s="64" customFormat="1" x14ac:dyDescent="0.3">
      <c r="A173" s="159"/>
    </row>
    <row r="174" spans="1:1" s="64" customFormat="1" x14ac:dyDescent="0.3">
      <c r="A174" s="159"/>
    </row>
    <row r="175" spans="1:1" s="102" customFormat="1" ht="12" x14ac:dyDescent="0.25">
      <c r="A175" s="252"/>
    </row>
    <row r="176" spans="1:1" s="102" customFormat="1" ht="12" x14ac:dyDescent="0.25">
      <c r="A176" s="252"/>
    </row>
    <row r="177" spans="1:1" s="64" customFormat="1" x14ac:dyDescent="0.3">
      <c r="A177" s="159"/>
    </row>
    <row r="178" spans="1:1" s="64" customFormat="1" x14ac:dyDescent="0.3">
      <c r="A178" s="159"/>
    </row>
    <row r="179" spans="1:1" s="102" customFormat="1" ht="12" x14ac:dyDescent="0.25">
      <c r="A179" s="252"/>
    </row>
    <row r="180" spans="1:1" s="102" customFormat="1" ht="12" x14ac:dyDescent="0.25">
      <c r="A180" s="252"/>
    </row>
    <row r="181" spans="1:1" s="64" customFormat="1" x14ac:dyDescent="0.3">
      <c r="A181" s="159"/>
    </row>
    <row r="182" spans="1:1" s="64" customFormat="1" x14ac:dyDescent="0.3">
      <c r="A182" s="159"/>
    </row>
    <row r="183" spans="1:1" s="102" customFormat="1" ht="12" x14ac:dyDescent="0.25">
      <c r="A183" s="252"/>
    </row>
    <row r="184" spans="1:1" s="102" customFormat="1" ht="12" x14ac:dyDescent="0.25">
      <c r="A184" s="252"/>
    </row>
    <row r="185" spans="1:1" s="64" customFormat="1" x14ac:dyDescent="0.3">
      <c r="A185" s="159"/>
    </row>
    <row r="186" spans="1:1" s="64" customFormat="1" x14ac:dyDescent="0.3">
      <c r="A186" s="159"/>
    </row>
    <row r="187" spans="1:1" s="102" customFormat="1" ht="12" x14ac:dyDescent="0.25">
      <c r="A187" s="252"/>
    </row>
    <row r="188" spans="1:1" s="102" customFormat="1" ht="12" x14ac:dyDescent="0.25">
      <c r="A188" s="252"/>
    </row>
    <row r="189" spans="1:1" s="64" customFormat="1" x14ac:dyDescent="0.3">
      <c r="A189" s="159"/>
    </row>
    <row r="190" spans="1:1" s="64" customFormat="1" x14ac:dyDescent="0.3">
      <c r="A190" s="159"/>
    </row>
    <row r="191" spans="1:1" s="102" customFormat="1" ht="12" x14ac:dyDescent="0.25">
      <c r="A191" s="252"/>
    </row>
    <row r="192" spans="1:1" s="102" customFormat="1" ht="12" x14ac:dyDescent="0.25">
      <c r="A192" s="252"/>
    </row>
    <row r="193" spans="1:1" s="64" customFormat="1" x14ac:dyDescent="0.3">
      <c r="A193" s="159"/>
    </row>
    <row r="194" spans="1:1" s="64" customFormat="1" x14ac:dyDescent="0.3">
      <c r="A194" s="159"/>
    </row>
    <row r="195" spans="1:1" s="102" customFormat="1" ht="12" x14ac:dyDescent="0.25">
      <c r="A195" s="252"/>
    </row>
    <row r="196" spans="1:1" s="102" customFormat="1" ht="12" x14ac:dyDescent="0.25">
      <c r="A196" s="252"/>
    </row>
    <row r="197" spans="1:1" s="64" customFormat="1" x14ac:dyDescent="0.3">
      <c r="A197" s="159"/>
    </row>
    <row r="198" spans="1:1" s="64" customFormat="1" x14ac:dyDescent="0.3">
      <c r="A198" s="159"/>
    </row>
    <row r="199" spans="1:1" s="102" customFormat="1" ht="12" x14ac:dyDescent="0.25">
      <c r="A199" s="252"/>
    </row>
    <row r="200" spans="1:1" s="102" customFormat="1" ht="12" x14ac:dyDescent="0.25">
      <c r="A200" s="252"/>
    </row>
    <row r="201" spans="1:1" s="64" customFormat="1" x14ac:dyDescent="0.3">
      <c r="A201" s="159"/>
    </row>
    <row r="202" spans="1:1" s="64" customFormat="1" x14ac:dyDescent="0.3">
      <c r="A202" s="159"/>
    </row>
    <row r="203" spans="1:1" s="102" customFormat="1" ht="12" x14ac:dyDescent="0.25">
      <c r="A203" s="252"/>
    </row>
    <row r="204" spans="1:1" s="102" customFormat="1" ht="12" x14ac:dyDescent="0.25">
      <c r="A204" s="252"/>
    </row>
    <row r="205" spans="1:1" s="64" customFormat="1" x14ac:dyDescent="0.3">
      <c r="A205" s="159"/>
    </row>
    <row r="206" spans="1:1" s="64" customFormat="1" x14ac:dyDescent="0.3">
      <c r="A206" s="159"/>
    </row>
    <row r="207" spans="1:1" s="102" customFormat="1" ht="12" x14ac:dyDescent="0.25">
      <c r="A207" s="252"/>
    </row>
    <row r="208" spans="1:1" s="102" customFormat="1" ht="12" x14ac:dyDescent="0.25">
      <c r="A208" s="252"/>
    </row>
    <row r="209" spans="1:1" s="64" customFormat="1" x14ac:dyDescent="0.3">
      <c r="A209" s="159"/>
    </row>
    <row r="210" spans="1:1" s="64" customFormat="1" x14ac:dyDescent="0.3">
      <c r="A210" s="159"/>
    </row>
    <row r="211" spans="1:1" s="102" customFormat="1" ht="12" x14ac:dyDescent="0.25">
      <c r="A211" s="252"/>
    </row>
    <row r="212" spans="1:1" s="102" customFormat="1" ht="12" x14ac:dyDescent="0.25">
      <c r="A212" s="252"/>
    </row>
    <row r="213" spans="1:1" s="64" customFormat="1" x14ac:dyDescent="0.3">
      <c r="A213" s="159"/>
    </row>
    <row r="214" spans="1:1" s="64" customFormat="1" x14ac:dyDescent="0.3">
      <c r="A214" s="159"/>
    </row>
    <row r="215" spans="1:1" s="102" customFormat="1" ht="12" x14ac:dyDescent="0.25">
      <c r="A215" s="252"/>
    </row>
    <row r="216" spans="1:1" s="102" customFormat="1" ht="12" x14ac:dyDescent="0.25">
      <c r="A216" s="252"/>
    </row>
    <row r="217" spans="1:1" s="64" customFormat="1" x14ac:dyDescent="0.3">
      <c r="A217" s="107"/>
    </row>
    <row r="218" spans="1:1" s="64" customFormat="1" x14ac:dyDescent="0.3">
      <c r="A218" s="107"/>
    </row>
  </sheetData>
  <mergeCells count="54">
    <mergeCell ref="A3:A6"/>
    <mergeCell ref="A199:A200"/>
    <mergeCell ref="A203:A204"/>
    <mergeCell ref="A207:A208"/>
    <mergeCell ref="A211:A212"/>
    <mergeCell ref="A159:A160"/>
    <mergeCell ref="A163:A164"/>
    <mergeCell ref="A167:A168"/>
    <mergeCell ref="A171:A172"/>
    <mergeCell ref="A175:A176"/>
    <mergeCell ref="A139:A140"/>
    <mergeCell ref="A143:A144"/>
    <mergeCell ref="A147:A148"/>
    <mergeCell ref="A151:A152"/>
    <mergeCell ref="A155:A156"/>
    <mergeCell ref="A119:A120"/>
    <mergeCell ref="A215:A216"/>
    <mergeCell ref="A179:A180"/>
    <mergeCell ref="A183:A184"/>
    <mergeCell ref="A187:A188"/>
    <mergeCell ref="A191:A192"/>
    <mergeCell ref="A195:A196"/>
    <mergeCell ref="A135:A136"/>
    <mergeCell ref="A99:A100"/>
    <mergeCell ref="A103:A104"/>
    <mergeCell ref="A107:A108"/>
    <mergeCell ref="A111:A112"/>
    <mergeCell ref="A115:A116"/>
    <mergeCell ref="A127:A128"/>
    <mergeCell ref="A131:A132"/>
    <mergeCell ref="A123:A124"/>
    <mergeCell ref="A91:A92"/>
    <mergeCell ref="A95:A96"/>
    <mergeCell ref="A87:A88"/>
    <mergeCell ref="A55:A56"/>
    <mergeCell ref="A59:A60"/>
    <mergeCell ref="A63:A64"/>
    <mergeCell ref="A67:A68"/>
    <mergeCell ref="A1:O1"/>
    <mergeCell ref="A71:A72"/>
    <mergeCell ref="A75:A76"/>
    <mergeCell ref="A79:A80"/>
    <mergeCell ref="A83:A84"/>
    <mergeCell ref="A11:A12"/>
    <mergeCell ref="A15:A16"/>
    <mergeCell ref="A19:A20"/>
    <mergeCell ref="A23:A24"/>
    <mergeCell ref="A27:A28"/>
    <mergeCell ref="A31:A32"/>
    <mergeCell ref="A35:A36"/>
    <mergeCell ref="A39:A40"/>
    <mergeCell ref="A43:A44"/>
    <mergeCell ref="A47:A48"/>
    <mergeCell ref="A51:A52"/>
  </mergeCells>
  <conditionalFormatting sqref="C6:N6">
    <cfRule type="cellIs" dxfId="1" priority="1" operator="greaterThan">
      <formula>C5*1.15</formula>
    </cfRule>
    <cfRule type="cellIs" dxfId="0" priority="2" operator="lessThan">
      <formula>C5*0.85</formula>
    </cfRule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9E4E-A18A-46A8-9016-E331FF46891C}">
  <sheetPr codeName="Sheet24"/>
  <dimension ref="A1:O218"/>
  <sheetViews>
    <sheetView zoomScale="75" zoomScaleNormal="75" workbookViewId="0">
      <pane xSplit="1" ySplit="2" topLeftCell="B90" activePane="bottomRight" state="frozen"/>
      <selection pane="topRight" activeCell="M13" sqref="M13"/>
      <selection pane="bottomLeft" activeCell="M13" sqref="M13"/>
      <selection pane="bottomRight" activeCell="M13" sqref="M13"/>
    </sheetView>
  </sheetViews>
  <sheetFormatPr defaultColWidth="9.109375" defaultRowHeight="14.4" x14ac:dyDescent="0.3"/>
  <cols>
    <col min="1" max="1" width="29.44140625" style="52" customWidth="1"/>
    <col min="2" max="2" width="22.88671875" style="52" bestFit="1" customWidth="1"/>
    <col min="3" max="14" width="13" style="52" customWidth="1"/>
    <col min="15" max="15" width="13.109375" style="52" customWidth="1"/>
    <col min="16" max="16384" width="9.109375" style="52"/>
  </cols>
  <sheetData>
    <row r="1" spans="1:15" ht="27.75" customHeight="1" x14ac:dyDescent="0.6">
      <c r="A1" s="232" t="s">
        <v>443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15" x14ac:dyDescent="0.3">
      <c r="A2" s="68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69" t="s">
        <v>7</v>
      </c>
      <c r="J2" s="69" t="s">
        <v>8</v>
      </c>
      <c r="K2" s="69" t="s">
        <v>9</v>
      </c>
      <c r="L2" s="69" t="s">
        <v>10</v>
      </c>
      <c r="M2" s="69" t="s">
        <v>11</v>
      </c>
      <c r="N2" s="69" t="s">
        <v>12</v>
      </c>
      <c r="O2" s="69" t="s">
        <v>13</v>
      </c>
    </row>
    <row r="3" spans="1:15" s="102" customFormat="1" ht="14.4" customHeight="1" x14ac:dyDescent="0.25">
      <c r="A3" s="239" t="s">
        <v>15</v>
      </c>
      <c r="B3" s="181" t="s">
        <v>16</v>
      </c>
      <c r="C3" s="182">
        <f>SUMIFS(C$11:C1000,$B$11:$B1000,"Actual 2024")</f>
        <v>0</v>
      </c>
      <c r="D3" s="182">
        <f>SUMIFS(D$11:D1000,$B$11:$B1000,"Actual 2024")</f>
        <v>0</v>
      </c>
      <c r="E3" s="182">
        <f>SUMIFS(E$11:E1000,$B$11:$B1000,"Actual 2024")</f>
        <v>0</v>
      </c>
      <c r="F3" s="182">
        <f>SUMIFS(F$11:F1000,$B$11:$B1000,"Actual 2024")</f>
        <v>0</v>
      </c>
      <c r="G3" s="182">
        <f>SUMIFS(G$11:G1000,$B$11:$B1000,"Actual 2024")</f>
        <v>0</v>
      </c>
      <c r="H3" s="182">
        <f>SUMIFS(H$11:H1000,$B$11:$B1000,"Actual 2024")</f>
        <v>0</v>
      </c>
      <c r="I3" s="185">
        <f>SUMIFS(I$11:I1000,$B$11:$B1000,"Actual 2024")</f>
        <v>0</v>
      </c>
      <c r="J3" s="185">
        <f>SUMIFS(J$11:J1000,$B$11:$B1000,"Actual 2024")</f>
        <v>0</v>
      </c>
      <c r="K3" s="185">
        <f>SUMIFS(K$11:K1000,$B$11:$B1000,"Actual 2024")</f>
        <v>0</v>
      </c>
      <c r="L3" s="185">
        <f>SUMIFS(L$11:L1000,$B$11:$B1000,"Actual 2024")</f>
        <v>0</v>
      </c>
      <c r="M3" s="185">
        <f>SUMIFS(M$11:M1000,$B$11:$B1000,"Actual 2024")</f>
        <v>0</v>
      </c>
      <c r="N3" s="185">
        <f>SUMIFS(N$11:N1000,$B$11:$B1000,"Actual 2024")</f>
        <v>0</v>
      </c>
      <c r="O3" s="183">
        <f>SUMIFS(O$11:O1000,$B$11:$B1000,"Actual 2024")</f>
        <v>0</v>
      </c>
    </row>
    <row r="4" spans="1:15" s="102" customFormat="1" ht="14.4" customHeight="1" x14ac:dyDescent="0.25">
      <c r="A4" s="240"/>
      <c r="B4" s="184" t="s">
        <v>27</v>
      </c>
      <c r="C4" s="189">
        <f>SUMIFS(C$11:C1000,$B$11:$B1000,"Estimated")</f>
        <v>0</v>
      </c>
      <c r="D4" s="189">
        <f>SUMIFS(D$11:D1000,$B$11:$B1000,"Estimated")</f>
        <v>0</v>
      </c>
      <c r="E4" s="189">
        <f>SUMIFS(E$11:E1000,$B$11:$B1000,"Estimated")</f>
        <v>0</v>
      </c>
      <c r="F4" s="189">
        <f>SUMIFS(F$11:F1000,$B$11:$B1000,"Estimated")</f>
        <v>0</v>
      </c>
      <c r="G4" s="189">
        <f>SUMIFS(G$11:G1000,$B$11:$B1000,"Estimated")</f>
        <v>0</v>
      </c>
      <c r="H4" s="189">
        <f>SUMIFS(H$11:H1000,$B$11:$B1000,"Estimated")</f>
        <v>0</v>
      </c>
      <c r="I4" s="192">
        <f>SUMIFS(I$11:I1000,$B$11:$B1000,"Estimated")</f>
        <v>0</v>
      </c>
      <c r="J4" s="192">
        <f>SUMIFS(J$11:J1000,$B$11:$B1000,"Estimated")</f>
        <v>0</v>
      </c>
      <c r="K4" s="192">
        <f>SUMIFS(K$11:K1000,$B$11:$B1000,"Estimated")</f>
        <v>0</v>
      </c>
      <c r="L4" s="192">
        <f>SUMIFS(L$11:L1000,$B$11:$B1000,"Estimated")</f>
        <v>0</v>
      </c>
      <c r="M4" s="192">
        <f>SUMIFS(M$11:M1000,$B$11:$B1000,"Estimated")</f>
        <v>0</v>
      </c>
      <c r="N4" s="192">
        <f>SUMIFS(N$11:N1000,$B$11:$B1000,"Estimated")</f>
        <v>0</v>
      </c>
      <c r="O4" s="191">
        <f>SUMIFS(O$11:O1000,$B$11:$B1000,"Estimated")</f>
        <v>0</v>
      </c>
    </row>
    <row r="5" spans="1:15" s="166" customFormat="1" ht="14.4" customHeight="1" x14ac:dyDescent="0.3">
      <c r="A5" s="240"/>
      <c r="B5" s="162" t="s">
        <v>18</v>
      </c>
      <c r="C5" s="163">
        <v>0</v>
      </c>
      <c r="D5" s="163">
        <v>0</v>
      </c>
      <c r="E5" s="163">
        <v>0</v>
      </c>
      <c r="F5" s="163">
        <v>0</v>
      </c>
      <c r="G5" s="163">
        <v>0</v>
      </c>
      <c r="H5" s="163">
        <v>0</v>
      </c>
      <c r="I5" s="163">
        <v>0</v>
      </c>
      <c r="J5" s="163">
        <v>0</v>
      </c>
      <c r="K5" s="163">
        <v>0</v>
      </c>
      <c r="L5" s="163">
        <v>0</v>
      </c>
      <c r="M5" s="163">
        <v>0</v>
      </c>
      <c r="N5" s="163">
        <v>0</v>
      </c>
      <c r="O5" s="168">
        <f t="shared" ref="O5" si="0">SUM(C5:N5)</f>
        <v>0</v>
      </c>
    </row>
    <row r="6" spans="1:15" s="166" customFormat="1" ht="15" thickBot="1" x14ac:dyDescent="0.35">
      <c r="A6" s="241"/>
      <c r="B6" s="174" t="s">
        <v>19</v>
      </c>
      <c r="C6" s="175">
        <f>SUMIFS(C$11:C1005,$B$11:$B1005,"Actual")</f>
        <v>0</v>
      </c>
      <c r="D6" s="175">
        <f>SUMIFS(D$11:D1005,$B$11:$B1005,"Actual")</f>
        <v>0</v>
      </c>
      <c r="E6" s="175">
        <f>SUMIFS(E$11:E1005,$B$11:$B1005,"Actual")</f>
        <v>0</v>
      </c>
      <c r="F6" s="175">
        <f>SUMIFS(F$11:F1005,$B$11:$B1005,"Actual")</f>
        <v>0</v>
      </c>
      <c r="G6" s="175">
        <f>SUMIFS(G$11:G1005,$B$11:$B1005,"Actual")</f>
        <v>0</v>
      </c>
      <c r="H6" s="175">
        <f>SUMIFS(H$11:H1005,$B$11:$B1005,"Actual")</f>
        <v>0</v>
      </c>
      <c r="I6" s="177">
        <f>SUMIFS(I$11:I1005,$B$11:$B1005,"Actual")</f>
        <v>0</v>
      </c>
      <c r="J6" s="177">
        <f>SUMIFS(J$11:J1005,$B$11:$B1005,"Actual")</f>
        <v>0</v>
      </c>
      <c r="K6" s="177">
        <f>SUMIFS(K$11:K1005,$B$11:$B1005,"Actual")</f>
        <v>0</v>
      </c>
      <c r="L6" s="177">
        <f>SUMIFS(L$11:L1005,$B$11:$B1005,"Actual")</f>
        <v>0</v>
      </c>
      <c r="M6" s="177">
        <f>SUMIFS(M$11:M1005,$B$11:$B1005,"Actual")</f>
        <v>0</v>
      </c>
      <c r="N6" s="177">
        <f>SUMIFS(N$11:N1005,$B$11:$B1005,"Actual")</f>
        <v>0</v>
      </c>
      <c r="O6" s="176">
        <f>SUMIFS(O$11:O1005,$B$11:$B1005,"Actual")</f>
        <v>0</v>
      </c>
    </row>
    <row r="7" spans="1:15" s="64" customFormat="1" ht="15" thickTop="1" x14ac:dyDescent="0.3">
      <c r="A7" s="134"/>
      <c r="B7" s="70" t="s">
        <v>21</v>
      </c>
      <c r="C7" s="60">
        <f t="shared" ref="C7:I7" si="1">C5-C6</f>
        <v>0</v>
      </c>
      <c r="D7" s="60">
        <f t="shared" si="1"/>
        <v>0</v>
      </c>
      <c r="E7" s="60">
        <f t="shared" si="1"/>
        <v>0</v>
      </c>
      <c r="F7" s="60">
        <f t="shared" si="1"/>
        <v>0</v>
      </c>
      <c r="G7" s="60">
        <f t="shared" si="1"/>
        <v>0</v>
      </c>
      <c r="H7" s="60">
        <f t="shared" si="1"/>
        <v>0</v>
      </c>
      <c r="I7" s="60">
        <f t="shared" si="1"/>
        <v>0</v>
      </c>
      <c r="J7" s="60">
        <f t="shared" ref="J7:N7" si="2">J5-J6</f>
        <v>0</v>
      </c>
      <c r="K7" s="60">
        <f t="shared" si="2"/>
        <v>0</v>
      </c>
      <c r="L7" s="60">
        <f t="shared" si="2"/>
        <v>0</v>
      </c>
      <c r="M7" s="60">
        <f t="shared" si="2"/>
        <v>0</v>
      </c>
      <c r="N7" s="60">
        <f t="shared" si="2"/>
        <v>0</v>
      </c>
      <c r="O7" s="75">
        <f>O5-O6</f>
        <v>0</v>
      </c>
    </row>
    <row r="8" spans="1:15" s="142" customFormat="1" x14ac:dyDescent="0.3">
      <c r="A8" s="138"/>
      <c r="B8" s="139" t="s">
        <v>23</v>
      </c>
      <c r="C8" s="140">
        <f>SUM($C6:C6)</f>
        <v>0</v>
      </c>
      <c r="D8" s="140">
        <f>SUM($C6:D6)</f>
        <v>0</v>
      </c>
      <c r="E8" s="140">
        <f>SUM($C6:E6)</f>
        <v>0</v>
      </c>
      <c r="F8" s="140">
        <f>SUM($C6:F6)</f>
        <v>0</v>
      </c>
      <c r="G8" s="140">
        <f>SUM($C6:G6)</f>
        <v>0</v>
      </c>
      <c r="H8" s="140">
        <f>SUM($C6:H6)</f>
        <v>0</v>
      </c>
      <c r="I8" s="140">
        <f>SUM($C6:I6)</f>
        <v>0</v>
      </c>
      <c r="J8" s="140">
        <f>SUM($C6:J6)</f>
        <v>0</v>
      </c>
      <c r="K8" s="140">
        <f>SUM($C6:K6)</f>
        <v>0</v>
      </c>
      <c r="L8" s="140">
        <f>SUM($C6:L6)</f>
        <v>0</v>
      </c>
      <c r="M8" s="140">
        <f>SUM($C6:M6)</f>
        <v>0</v>
      </c>
      <c r="N8" s="140">
        <f>SUM($C6:N6)</f>
        <v>0</v>
      </c>
      <c r="O8" s="141">
        <f>O6</f>
        <v>0</v>
      </c>
    </row>
    <row r="9" spans="1:15" s="142" customFormat="1" x14ac:dyDescent="0.3">
      <c r="A9" s="143"/>
      <c r="B9" s="144" t="s">
        <v>25</v>
      </c>
      <c r="C9" s="145">
        <f>SUM($C5:C5)-C8</f>
        <v>0</v>
      </c>
      <c r="D9" s="145">
        <f>SUM($C5:D5)-D8</f>
        <v>0</v>
      </c>
      <c r="E9" s="145">
        <f>SUM($C5:E5)-E8</f>
        <v>0</v>
      </c>
      <c r="F9" s="145">
        <f>SUM($C5:F5)-F8</f>
        <v>0</v>
      </c>
      <c r="G9" s="145">
        <f>SUM($C5:G5)-G8</f>
        <v>0</v>
      </c>
      <c r="H9" s="145">
        <f>SUM($C5:H5)-H8</f>
        <v>0</v>
      </c>
      <c r="I9" s="145">
        <f>SUM($C5:I5)-I8</f>
        <v>0</v>
      </c>
      <c r="J9" s="145">
        <f>SUM($C5:J5)-J8</f>
        <v>0</v>
      </c>
      <c r="K9" s="145">
        <f>SUM($C5:K5)-K8</f>
        <v>0</v>
      </c>
      <c r="L9" s="145">
        <f>SUM($C5:L5)-L8</f>
        <v>0</v>
      </c>
      <c r="M9" s="145">
        <f>SUM($C5:M5)-M8</f>
        <v>0</v>
      </c>
      <c r="N9" s="145">
        <f>SUM($C5:N5)-N8</f>
        <v>0</v>
      </c>
      <c r="O9" s="146"/>
    </row>
    <row r="10" spans="1:15" x14ac:dyDescent="0.3">
      <c r="A10" s="54"/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5" s="102" customFormat="1" ht="12" x14ac:dyDescent="0.25">
      <c r="A11" s="252"/>
      <c r="B11" s="99" t="s">
        <v>16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3">
        <f t="shared" ref="O11:O42" si="3">SUM(C11:N11)</f>
        <v>0</v>
      </c>
    </row>
    <row r="12" spans="1:15" s="102" customFormat="1" ht="12" x14ac:dyDescent="0.25">
      <c r="A12" s="252"/>
      <c r="B12" s="99" t="s">
        <v>29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3">
        <f>SUM(C12:N12)</f>
        <v>0</v>
      </c>
    </row>
    <row r="13" spans="1:15" s="67" customFormat="1" ht="12.6" customHeight="1" x14ac:dyDescent="0.3">
      <c r="A13" s="159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66">
        <f t="shared" si="3"/>
        <v>0</v>
      </c>
    </row>
    <row r="14" spans="1:15" s="67" customFormat="1" ht="12.6" customHeight="1" x14ac:dyDescent="0.3">
      <c r="A14" s="159"/>
      <c r="B14" s="116" t="s">
        <v>32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8">
        <f t="shared" si="3"/>
        <v>0</v>
      </c>
    </row>
    <row r="15" spans="1:15" s="102" customFormat="1" ht="12" x14ac:dyDescent="0.25">
      <c r="A15" s="235"/>
      <c r="B15" s="99" t="s">
        <v>16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3">
        <f t="shared" si="3"/>
        <v>0</v>
      </c>
    </row>
    <row r="16" spans="1:15" s="102" customFormat="1" ht="12" x14ac:dyDescent="0.25">
      <c r="A16" s="235"/>
      <c r="B16" s="99" t="s">
        <v>29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3">
        <f t="shared" si="3"/>
        <v>0</v>
      </c>
    </row>
    <row r="17" spans="1:15" s="67" customFormat="1" ht="12.6" customHeight="1" x14ac:dyDescent="0.3">
      <c r="A17" s="155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>
        <f>SUM(C17:N17)</f>
        <v>0</v>
      </c>
    </row>
    <row r="18" spans="1:15" s="67" customFormat="1" ht="12.6" customHeight="1" x14ac:dyDescent="0.3">
      <c r="A18" s="156"/>
      <c r="B18" s="116" t="s">
        <v>32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8">
        <f t="shared" si="3"/>
        <v>0</v>
      </c>
    </row>
    <row r="19" spans="1:15" s="102" customFormat="1" ht="12" x14ac:dyDescent="0.25">
      <c r="A19" s="236"/>
      <c r="B19" s="99" t="s">
        <v>16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3">
        <f t="shared" si="3"/>
        <v>0</v>
      </c>
    </row>
    <row r="20" spans="1:15" s="102" customFormat="1" ht="12" x14ac:dyDescent="0.25">
      <c r="A20" s="235"/>
      <c r="B20" s="99" t="s">
        <v>29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3">
        <f>SUM(C20:N20)</f>
        <v>0</v>
      </c>
    </row>
    <row r="21" spans="1:15" s="67" customFormat="1" ht="12.6" customHeight="1" x14ac:dyDescent="0.3">
      <c r="A21" s="155"/>
      <c r="B21" s="65" t="s">
        <v>31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66">
        <f t="shared" si="3"/>
        <v>0</v>
      </c>
    </row>
    <row r="22" spans="1:15" s="67" customFormat="1" ht="12.6" customHeight="1" x14ac:dyDescent="0.3">
      <c r="A22" s="156"/>
      <c r="B22" s="116" t="s">
        <v>32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8">
        <f t="shared" si="3"/>
        <v>0</v>
      </c>
    </row>
    <row r="23" spans="1:15" s="102" customFormat="1" ht="12" x14ac:dyDescent="0.25">
      <c r="A23" s="236"/>
      <c r="B23" s="99" t="s">
        <v>16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3">
        <f t="shared" si="3"/>
        <v>0</v>
      </c>
    </row>
    <row r="24" spans="1:15" s="102" customFormat="1" ht="12" x14ac:dyDescent="0.25">
      <c r="A24" s="235"/>
      <c r="B24" s="99" t="s">
        <v>29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>
        <v>0</v>
      </c>
      <c r="N24" s="100">
        <v>0</v>
      </c>
      <c r="O24" s="103">
        <f>SUM(C24:N24)</f>
        <v>0</v>
      </c>
    </row>
    <row r="25" spans="1:15" s="67" customFormat="1" ht="12.6" customHeight="1" x14ac:dyDescent="0.3">
      <c r="A25" s="155"/>
      <c r="B25" s="65" t="s">
        <v>31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66">
        <f t="shared" si="3"/>
        <v>0</v>
      </c>
    </row>
    <row r="26" spans="1:15" s="67" customFormat="1" ht="12.6" customHeight="1" x14ac:dyDescent="0.3">
      <c r="A26" s="156"/>
      <c r="B26" s="116" t="s">
        <v>32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8">
        <f t="shared" si="3"/>
        <v>0</v>
      </c>
    </row>
    <row r="27" spans="1:15" s="102" customFormat="1" ht="12" x14ac:dyDescent="0.25">
      <c r="A27" s="236"/>
      <c r="B27" s="99" t="s">
        <v>16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3">
        <f t="shared" si="3"/>
        <v>0</v>
      </c>
    </row>
    <row r="28" spans="1:15" s="102" customFormat="1" ht="12" x14ac:dyDescent="0.25">
      <c r="A28" s="235"/>
      <c r="B28" s="99" t="s">
        <v>29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100">
        <v>0</v>
      </c>
      <c r="N28" s="100">
        <v>0</v>
      </c>
      <c r="O28" s="103">
        <f>SUM(C28:N28)</f>
        <v>0</v>
      </c>
    </row>
    <row r="29" spans="1:15" s="67" customFormat="1" ht="12.6" customHeight="1" x14ac:dyDescent="0.3">
      <c r="A29" s="155"/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66">
        <f t="shared" si="3"/>
        <v>0</v>
      </c>
    </row>
    <row r="30" spans="1:15" s="67" customFormat="1" ht="12.6" customHeight="1" x14ac:dyDescent="0.3">
      <c r="A30" s="156"/>
      <c r="B30" s="116" t="s">
        <v>32</v>
      </c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8">
        <f t="shared" si="3"/>
        <v>0</v>
      </c>
    </row>
    <row r="31" spans="1:15" s="102" customFormat="1" ht="12" x14ac:dyDescent="0.25">
      <c r="A31" s="236"/>
      <c r="B31" s="99" t="s">
        <v>16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3">
        <f t="shared" si="3"/>
        <v>0</v>
      </c>
    </row>
    <row r="32" spans="1:15" s="102" customFormat="1" ht="12" x14ac:dyDescent="0.25">
      <c r="A32" s="235"/>
      <c r="B32" s="99" t="s">
        <v>29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3">
        <f>SUM(C32:N32)</f>
        <v>0</v>
      </c>
    </row>
    <row r="33" spans="1:15" s="67" customFormat="1" ht="12.6" customHeight="1" x14ac:dyDescent="0.3">
      <c r="A33" s="155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 t="shared" si="3"/>
        <v>0</v>
      </c>
    </row>
    <row r="34" spans="1:15" s="67" customFormat="1" ht="12.6" customHeight="1" x14ac:dyDescent="0.3">
      <c r="A34" s="156"/>
      <c r="B34" s="116" t="s">
        <v>32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8">
        <f t="shared" si="3"/>
        <v>0</v>
      </c>
    </row>
    <row r="35" spans="1:15" s="102" customFormat="1" ht="12" x14ac:dyDescent="0.25">
      <c r="A35" s="236"/>
      <c r="B35" s="99" t="s">
        <v>16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3">
        <f t="shared" si="3"/>
        <v>0</v>
      </c>
    </row>
    <row r="36" spans="1:15" s="102" customFormat="1" ht="12" x14ac:dyDescent="0.25">
      <c r="A36" s="235"/>
      <c r="B36" s="99" t="s">
        <v>29</v>
      </c>
      <c r="C36" s="100">
        <v>0</v>
      </c>
      <c r="D36" s="100">
        <v>0</v>
      </c>
      <c r="E36" s="100">
        <v>0</v>
      </c>
      <c r="F36" s="100">
        <v>0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100">
        <v>0</v>
      </c>
      <c r="N36" s="100">
        <v>0</v>
      </c>
      <c r="O36" s="103">
        <f>SUM(C36:N36)</f>
        <v>0</v>
      </c>
    </row>
    <row r="37" spans="1:15" s="67" customFormat="1" ht="12.6" customHeight="1" x14ac:dyDescent="0.3">
      <c r="A37" s="155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 t="shared" si="3"/>
        <v>0</v>
      </c>
    </row>
    <row r="38" spans="1:15" s="67" customFormat="1" ht="12.6" customHeight="1" x14ac:dyDescent="0.3">
      <c r="A38" s="156"/>
      <c r="B38" s="116" t="s">
        <v>32</v>
      </c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>
        <f t="shared" si="3"/>
        <v>0</v>
      </c>
    </row>
    <row r="39" spans="1:15" s="102" customFormat="1" ht="12" x14ac:dyDescent="0.25">
      <c r="A39" s="236"/>
      <c r="B39" s="99" t="s">
        <v>16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3">
        <f t="shared" si="3"/>
        <v>0</v>
      </c>
    </row>
    <row r="40" spans="1:15" s="102" customFormat="1" ht="12" x14ac:dyDescent="0.25">
      <c r="A40" s="235"/>
      <c r="B40" s="99" t="s">
        <v>29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100">
        <v>0</v>
      </c>
      <c r="N40" s="100">
        <v>0</v>
      </c>
      <c r="O40" s="103">
        <f>SUM(C40:N40)</f>
        <v>0</v>
      </c>
    </row>
    <row r="41" spans="1:15" s="64" customFormat="1" ht="12.6" customHeight="1" x14ac:dyDescent="0.3">
      <c r="A41" s="155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 t="shared" si="3"/>
        <v>0</v>
      </c>
    </row>
    <row r="42" spans="1:15" s="64" customFormat="1" ht="12.6" customHeight="1" x14ac:dyDescent="0.3">
      <c r="A42" s="156"/>
      <c r="B42" s="7" t="s">
        <v>32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24">
        <f t="shared" si="3"/>
        <v>0</v>
      </c>
    </row>
    <row r="43" spans="1:15" s="102" customFormat="1" ht="12" x14ac:dyDescent="0.25">
      <c r="A43" s="236"/>
      <c r="B43" s="99" t="s">
        <v>16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3">
        <f t="shared" ref="O43:O74" si="4">SUM(C43:N43)</f>
        <v>0</v>
      </c>
    </row>
    <row r="44" spans="1:15" s="102" customFormat="1" ht="12" x14ac:dyDescent="0.25">
      <c r="A44" s="235"/>
      <c r="B44" s="99" t="s">
        <v>29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100">
        <v>0</v>
      </c>
      <c r="N44" s="100">
        <v>0</v>
      </c>
      <c r="O44" s="103">
        <f>SUM(C44:N44)</f>
        <v>0</v>
      </c>
    </row>
    <row r="45" spans="1:15" s="64" customFormat="1" ht="12.6" customHeight="1" x14ac:dyDescent="0.3">
      <c r="A45" s="155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 t="shared" si="4"/>
        <v>0</v>
      </c>
    </row>
    <row r="46" spans="1:15" s="64" customFormat="1" ht="12.6" customHeight="1" x14ac:dyDescent="0.3">
      <c r="A46" s="156"/>
      <c r="B46" s="7" t="s">
        <v>32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24">
        <f t="shared" si="4"/>
        <v>0</v>
      </c>
    </row>
    <row r="47" spans="1:15" s="102" customFormat="1" ht="12" x14ac:dyDescent="0.25">
      <c r="A47" s="236"/>
      <c r="B47" s="99" t="s">
        <v>16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3">
        <f t="shared" si="4"/>
        <v>0</v>
      </c>
    </row>
    <row r="48" spans="1:15" s="102" customFormat="1" ht="12" x14ac:dyDescent="0.25">
      <c r="A48" s="235"/>
      <c r="B48" s="99" t="s">
        <v>29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3">
        <f>SUM(C48:N48)</f>
        <v>0</v>
      </c>
    </row>
    <row r="49" spans="1:15" s="64" customFormat="1" ht="12.6" customHeight="1" x14ac:dyDescent="0.3">
      <c r="A49" s="155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 t="shared" si="4"/>
        <v>0</v>
      </c>
    </row>
    <row r="50" spans="1:15" s="64" customFormat="1" ht="12.6" customHeight="1" x14ac:dyDescent="0.3">
      <c r="A50" s="156"/>
      <c r="B50" s="7" t="s">
        <v>32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24">
        <f t="shared" si="4"/>
        <v>0</v>
      </c>
    </row>
    <row r="51" spans="1:15" s="102" customFormat="1" ht="12" x14ac:dyDescent="0.25">
      <c r="A51" s="236"/>
      <c r="B51" s="99" t="s">
        <v>16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3">
        <f t="shared" si="4"/>
        <v>0</v>
      </c>
    </row>
    <row r="52" spans="1:15" s="102" customFormat="1" ht="12" x14ac:dyDescent="0.25">
      <c r="A52" s="235"/>
      <c r="B52" s="99" t="s">
        <v>29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0</v>
      </c>
      <c r="N52" s="100">
        <v>0</v>
      </c>
      <c r="O52" s="103">
        <f>SUM(C52:N52)</f>
        <v>0</v>
      </c>
    </row>
    <row r="53" spans="1:15" s="64" customFormat="1" ht="12.6" customHeight="1" x14ac:dyDescent="0.3">
      <c r="A53" s="155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 t="shared" si="4"/>
        <v>0</v>
      </c>
    </row>
    <row r="54" spans="1:15" s="64" customFormat="1" ht="12.6" customHeight="1" x14ac:dyDescent="0.3">
      <c r="A54" s="156"/>
      <c r="B54" s="7" t="s">
        <v>32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24">
        <f t="shared" si="4"/>
        <v>0</v>
      </c>
    </row>
    <row r="55" spans="1:15" s="102" customFormat="1" ht="12" x14ac:dyDescent="0.25">
      <c r="A55" s="236"/>
      <c r="B55" s="99" t="s">
        <v>16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3">
        <f t="shared" si="4"/>
        <v>0</v>
      </c>
    </row>
    <row r="56" spans="1:15" s="102" customFormat="1" ht="12" x14ac:dyDescent="0.25">
      <c r="A56" s="235"/>
      <c r="B56" s="99" t="s">
        <v>29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3">
        <f>SUM(C56:N56)</f>
        <v>0</v>
      </c>
    </row>
    <row r="57" spans="1:15" s="64" customFormat="1" ht="12.6" customHeight="1" x14ac:dyDescent="0.3">
      <c r="A57" s="155"/>
      <c r="B57" s="5" t="s">
        <v>31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7">
        <f t="shared" si="4"/>
        <v>0</v>
      </c>
    </row>
    <row r="58" spans="1:15" s="64" customFormat="1" ht="12.6" customHeight="1" x14ac:dyDescent="0.3">
      <c r="A58" s="156"/>
      <c r="B58" s="7" t="s">
        <v>32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24">
        <f t="shared" si="4"/>
        <v>0</v>
      </c>
    </row>
    <row r="59" spans="1:15" s="102" customFormat="1" ht="12" x14ac:dyDescent="0.25">
      <c r="A59" s="236"/>
      <c r="B59" s="99" t="s">
        <v>16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3">
        <f t="shared" si="4"/>
        <v>0</v>
      </c>
    </row>
    <row r="60" spans="1:15" s="102" customFormat="1" ht="12" x14ac:dyDescent="0.25">
      <c r="A60" s="235"/>
      <c r="B60" s="99" t="s">
        <v>29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3">
        <f>SUM(C60:N60)</f>
        <v>0</v>
      </c>
    </row>
    <row r="61" spans="1:15" s="64" customFormat="1" ht="12.6" customHeight="1" x14ac:dyDescent="0.3">
      <c r="A61" s="155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 t="shared" si="4"/>
        <v>0</v>
      </c>
    </row>
    <row r="62" spans="1:15" s="64" customFormat="1" ht="12.6" customHeight="1" x14ac:dyDescent="0.3">
      <c r="A62" s="156"/>
      <c r="B62" s="7" t="s">
        <v>32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24">
        <f t="shared" si="4"/>
        <v>0</v>
      </c>
    </row>
    <row r="63" spans="1:15" s="102" customFormat="1" ht="12" x14ac:dyDescent="0.25">
      <c r="A63" s="236"/>
      <c r="B63" s="99" t="s">
        <v>16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3">
        <f t="shared" si="4"/>
        <v>0</v>
      </c>
    </row>
    <row r="64" spans="1:15" s="102" customFormat="1" ht="12" x14ac:dyDescent="0.25">
      <c r="A64" s="235"/>
      <c r="B64" s="99" t="s">
        <v>29</v>
      </c>
      <c r="C64" s="100">
        <v>0</v>
      </c>
      <c r="D64" s="100">
        <v>0</v>
      </c>
      <c r="E64" s="100">
        <v>0</v>
      </c>
      <c r="F64" s="100">
        <v>0</v>
      </c>
      <c r="G64" s="100">
        <v>0</v>
      </c>
      <c r="H64" s="100">
        <v>0</v>
      </c>
      <c r="I64" s="100">
        <v>0</v>
      </c>
      <c r="J64" s="100">
        <v>0</v>
      </c>
      <c r="K64" s="100">
        <v>0</v>
      </c>
      <c r="L64" s="100">
        <v>0</v>
      </c>
      <c r="M64" s="100">
        <v>0</v>
      </c>
      <c r="N64" s="100">
        <v>0</v>
      </c>
      <c r="O64" s="103">
        <f>SUM(C64:N64)</f>
        <v>0</v>
      </c>
    </row>
    <row r="65" spans="1:15" s="64" customFormat="1" ht="12.6" customHeight="1" x14ac:dyDescent="0.3">
      <c r="A65" s="155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 t="shared" si="4"/>
        <v>0</v>
      </c>
    </row>
    <row r="66" spans="1:15" s="64" customFormat="1" ht="12.6" customHeight="1" x14ac:dyDescent="0.3">
      <c r="A66" s="156"/>
      <c r="B66" s="7" t="s">
        <v>32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24">
        <f t="shared" si="4"/>
        <v>0</v>
      </c>
    </row>
    <row r="67" spans="1:15" s="102" customFormat="1" ht="12.6" customHeight="1" x14ac:dyDescent="0.25">
      <c r="A67" s="236"/>
      <c r="B67" s="99" t="s">
        <v>16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3">
        <f t="shared" si="4"/>
        <v>0</v>
      </c>
    </row>
    <row r="68" spans="1:15" s="102" customFormat="1" ht="12" x14ac:dyDescent="0.25">
      <c r="A68" s="235"/>
      <c r="B68" s="99" t="s">
        <v>29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3">
        <f>SUM(C68:N68)</f>
        <v>0</v>
      </c>
    </row>
    <row r="69" spans="1:15" s="64" customFormat="1" x14ac:dyDescent="0.3">
      <c r="A69" s="155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 t="shared" si="4"/>
        <v>0</v>
      </c>
    </row>
    <row r="70" spans="1:15" s="64" customFormat="1" x14ac:dyDescent="0.3">
      <c r="A70" s="156"/>
      <c r="B70" s="7" t="s">
        <v>32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24">
        <f t="shared" si="4"/>
        <v>0</v>
      </c>
    </row>
    <row r="71" spans="1:15" s="102" customFormat="1" ht="12" x14ac:dyDescent="0.25">
      <c r="A71" s="236"/>
      <c r="B71" s="99" t="s">
        <v>16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3">
        <f t="shared" si="4"/>
        <v>0</v>
      </c>
    </row>
    <row r="72" spans="1:15" s="102" customFormat="1" ht="12" x14ac:dyDescent="0.25">
      <c r="A72" s="235"/>
      <c r="B72" s="99" t="s">
        <v>29</v>
      </c>
      <c r="C72" s="100">
        <v>0</v>
      </c>
      <c r="D72" s="100">
        <v>0</v>
      </c>
      <c r="E72" s="100">
        <v>0</v>
      </c>
      <c r="F72" s="100">
        <v>0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3">
        <f>SUM(C72:N72)</f>
        <v>0</v>
      </c>
    </row>
    <row r="73" spans="1:15" s="64" customFormat="1" x14ac:dyDescent="0.3">
      <c r="A73" s="155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 t="shared" si="4"/>
        <v>0</v>
      </c>
    </row>
    <row r="74" spans="1:15" s="64" customFormat="1" x14ac:dyDescent="0.3">
      <c r="A74" s="156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24">
        <f t="shared" si="4"/>
        <v>0</v>
      </c>
    </row>
    <row r="75" spans="1:15" s="102" customFormat="1" ht="12" x14ac:dyDescent="0.25">
      <c r="A75" s="236"/>
      <c r="B75" s="99" t="s">
        <v>16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3">
        <f t="shared" ref="O75:O106" si="5">SUM(C75:N75)</f>
        <v>0</v>
      </c>
    </row>
    <row r="76" spans="1:15" s="102" customFormat="1" ht="12" x14ac:dyDescent="0.25">
      <c r="A76" s="235"/>
      <c r="B76" s="99" t="s">
        <v>29</v>
      </c>
      <c r="C76" s="100">
        <v>0</v>
      </c>
      <c r="D76" s="100">
        <v>0</v>
      </c>
      <c r="E76" s="100">
        <v>0</v>
      </c>
      <c r="F76" s="100">
        <v>0</v>
      </c>
      <c r="G76" s="100">
        <v>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3">
        <f>SUM(C76:N76)</f>
        <v>0</v>
      </c>
    </row>
    <row r="77" spans="1:15" s="64" customFormat="1" x14ac:dyDescent="0.3">
      <c r="A77" s="155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7">
        <f t="shared" si="5"/>
        <v>0</v>
      </c>
    </row>
    <row r="78" spans="1:15" s="64" customFormat="1" x14ac:dyDescent="0.3">
      <c r="A78" s="156"/>
      <c r="B78" s="7" t="s">
        <v>32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24">
        <f t="shared" si="5"/>
        <v>0</v>
      </c>
    </row>
    <row r="79" spans="1:15" s="102" customFormat="1" ht="12" x14ac:dyDescent="0.25">
      <c r="A79" s="236"/>
      <c r="B79" s="99" t="s">
        <v>16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3">
        <f t="shared" si="5"/>
        <v>0</v>
      </c>
    </row>
    <row r="80" spans="1:15" s="102" customFormat="1" ht="12" x14ac:dyDescent="0.25">
      <c r="A80" s="235"/>
      <c r="B80" s="99" t="s">
        <v>29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3">
        <f>SUM(C80:N80)</f>
        <v>0</v>
      </c>
    </row>
    <row r="81" spans="1:15" s="64" customFormat="1" x14ac:dyDescent="0.3">
      <c r="A81" s="155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7">
        <f t="shared" si="5"/>
        <v>0</v>
      </c>
    </row>
    <row r="82" spans="1:15" s="64" customFormat="1" x14ac:dyDescent="0.3">
      <c r="A82" s="156"/>
      <c r="B82" s="7" t="s">
        <v>32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24">
        <f t="shared" si="5"/>
        <v>0</v>
      </c>
    </row>
    <row r="83" spans="1:15" s="102" customFormat="1" ht="12" x14ac:dyDescent="0.25">
      <c r="A83" s="236"/>
      <c r="B83" s="99" t="s">
        <v>16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3">
        <f t="shared" si="5"/>
        <v>0</v>
      </c>
    </row>
    <row r="84" spans="1:15" s="102" customFormat="1" ht="12" x14ac:dyDescent="0.25">
      <c r="A84" s="235"/>
      <c r="B84" s="99" t="s">
        <v>29</v>
      </c>
      <c r="C84" s="100">
        <v>0</v>
      </c>
      <c r="D84" s="100">
        <v>0</v>
      </c>
      <c r="E84" s="100">
        <v>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3">
        <f>SUM(C84:N84)</f>
        <v>0</v>
      </c>
    </row>
    <row r="85" spans="1:15" s="64" customFormat="1" x14ac:dyDescent="0.3">
      <c r="A85" s="155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7">
        <f t="shared" si="5"/>
        <v>0</v>
      </c>
    </row>
    <row r="86" spans="1:15" s="64" customFormat="1" x14ac:dyDescent="0.3">
      <c r="A86" s="156"/>
      <c r="B86" s="7" t="s">
        <v>32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24">
        <f t="shared" si="5"/>
        <v>0</v>
      </c>
    </row>
    <row r="87" spans="1:15" s="102" customFormat="1" ht="12" x14ac:dyDescent="0.25">
      <c r="A87" s="236"/>
      <c r="B87" s="99" t="s">
        <v>16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3">
        <f t="shared" si="5"/>
        <v>0</v>
      </c>
    </row>
    <row r="88" spans="1:15" s="102" customFormat="1" ht="12" x14ac:dyDescent="0.25">
      <c r="A88" s="235"/>
      <c r="B88" s="99" t="s">
        <v>29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3">
        <f>SUM(C88:N88)</f>
        <v>0</v>
      </c>
    </row>
    <row r="89" spans="1:15" s="64" customFormat="1" x14ac:dyDescent="0.3">
      <c r="A89" s="155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7">
        <f t="shared" si="5"/>
        <v>0</v>
      </c>
    </row>
    <row r="90" spans="1:15" s="64" customFormat="1" x14ac:dyDescent="0.3">
      <c r="A90" s="156"/>
      <c r="B90" s="7" t="s">
        <v>32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24">
        <f t="shared" si="5"/>
        <v>0</v>
      </c>
    </row>
    <row r="91" spans="1:15" s="102" customFormat="1" ht="12" x14ac:dyDescent="0.25">
      <c r="A91" s="236"/>
      <c r="B91" s="99" t="s">
        <v>16</v>
      </c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3">
        <f t="shared" si="5"/>
        <v>0</v>
      </c>
    </row>
    <row r="92" spans="1:15" s="102" customFormat="1" ht="12" x14ac:dyDescent="0.25">
      <c r="A92" s="235"/>
      <c r="B92" s="99" t="s">
        <v>29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100">
        <v>0</v>
      </c>
      <c r="N92" s="100">
        <v>0</v>
      </c>
      <c r="O92" s="103">
        <f>SUM(C92:N92)</f>
        <v>0</v>
      </c>
    </row>
    <row r="93" spans="1:15" s="64" customFormat="1" x14ac:dyDescent="0.3">
      <c r="A93" s="155"/>
      <c r="B93" s="5" t="s">
        <v>31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7">
        <f t="shared" si="5"/>
        <v>0</v>
      </c>
    </row>
    <row r="94" spans="1:15" s="64" customFormat="1" x14ac:dyDescent="0.3">
      <c r="A94" s="156"/>
      <c r="B94" s="7" t="s">
        <v>32</v>
      </c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24">
        <f t="shared" si="5"/>
        <v>0</v>
      </c>
    </row>
    <row r="95" spans="1:15" s="102" customFormat="1" ht="12" x14ac:dyDescent="0.25">
      <c r="A95" s="236"/>
      <c r="B95" s="99" t="s">
        <v>16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3">
        <f t="shared" si="5"/>
        <v>0</v>
      </c>
    </row>
    <row r="96" spans="1:15" s="102" customFormat="1" ht="12" x14ac:dyDescent="0.25">
      <c r="A96" s="235"/>
      <c r="B96" s="99" t="s">
        <v>29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100">
        <v>0</v>
      </c>
      <c r="N96" s="100">
        <v>0</v>
      </c>
      <c r="O96" s="103">
        <f>SUM(C96:N96)</f>
        <v>0</v>
      </c>
    </row>
    <row r="97" spans="1:15" s="64" customFormat="1" x14ac:dyDescent="0.3">
      <c r="A97" s="155"/>
      <c r="B97" s="5" t="s">
        <v>31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7">
        <f t="shared" si="5"/>
        <v>0</v>
      </c>
    </row>
    <row r="98" spans="1:15" s="64" customFormat="1" x14ac:dyDescent="0.3">
      <c r="A98" s="156"/>
      <c r="B98" s="7" t="s">
        <v>32</v>
      </c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24">
        <f t="shared" si="5"/>
        <v>0</v>
      </c>
    </row>
    <row r="99" spans="1:15" s="102" customFormat="1" ht="12" x14ac:dyDescent="0.25">
      <c r="A99" s="236"/>
      <c r="B99" s="99" t="s">
        <v>16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3">
        <f t="shared" si="5"/>
        <v>0</v>
      </c>
    </row>
    <row r="100" spans="1:15" s="102" customFormat="1" ht="12" x14ac:dyDescent="0.25">
      <c r="A100" s="235"/>
      <c r="B100" s="99" t="s">
        <v>29</v>
      </c>
      <c r="C100" s="100">
        <v>0</v>
      </c>
      <c r="D100" s="100">
        <v>0</v>
      </c>
      <c r="E100" s="100">
        <v>0</v>
      </c>
      <c r="F100" s="100">
        <v>0</v>
      </c>
      <c r="G100" s="100">
        <v>0</v>
      </c>
      <c r="H100" s="100">
        <v>0</v>
      </c>
      <c r="I100" s="100">
        <v>0</v>
      </c>
      <c r="J100" s="100">
        <v>0</v>
      </c>
      <c r="K100" s="100">
        <v>0</v>
      </c>
      <c r="L100" s="100">
        <v>0</v>
      </c>
      <c r="M100" s="100">
        <v>0</v>
      </c>
      <c r="N100" s="100">
        <v>0</v>
      </c>
      <c r="O100" s="103">
        <f>SUM(C100:N100)</f>
        <v>0</v>
      </c>
    </row>
    <row r="101" spans="1:15" s="64" customFormat="1" x14ac:dyDescent="0.3">
      <c r="A101" s="155"/>
      <c r="B101" s="5" t="s">
        <v>31</v>
      </c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7">
        <f t="shared" si="5"/>
        <v>0</v>
      </c>
    </row>
    <row r="102" spans="1:15" s="64" customFormat="1" x14ac:dyDescent="0.3">
      <c r="A102" s="156"/>
      <c r="B102" s="7" t="s">
        <v>32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24">
        <f t="shared" si="5"/>
        <v>0</v>
      </c>
    </row>
    <row r="103" spans="1:15" s="102" customFormat="1" ht="12" x14ac:dyDescent="0.25">
      <c r="A103" s="236"/>
      <c r="B103" s="99" t="s">
        <v>16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3">
        <f t="shared" si="5"/>
        <v>0</v>
      </c>
    </row>
    <row r="104" spans="1:15" s="102" customFormat="1" ht="12" x14ac:dyDescent="0.25">
      <c r="A104" s="235"/>
      <c r="B104" s="99" t="s">
        <v>29</v>
      </c>
      <c r="C104" s="100">
        <v>0</v>
      </c>
      <c r="D104" s="100">
        <v>0</v>
      </c>
      <c r="E104" s="100">
        <v>0</v>
      </c>
      <c r="F104" s="100">
        <v>0</v>
      </c>
      <c r="G104" s="100">
        <v>0</v>
      </c>
      <c r="H104" s="100">
        <v>0</v>
      </c>
      <c r="I104" s="100">
        <v>0</v>
      </c>
      <c r="J104" s="100">
        <v>0</v>
      </c>
      <c r="K104" s="100">
        <v>0</v>
      </c>
      <c r="L104" s="100">
        <v>0</v>
      </c>
      <c r="M104" s="100">
        <v>0</v>
      </c>
      <c r="N104" s="100">
        <v>0</v>
      </c>
      <c r="O104" s="103">
        <f t="shared" si="5"/>
        <v>0</v>
      </c>
    </row>
    <row r="105" spans="1:15" s="64" customFormat="1" x14ac:dyDescent="0.3">
      <c r="A105" s="155"/>
      <c r="B105" s="5" t="s">
        <v>31</v>
      </c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7">
        <f>SUM(C105:N105)</f>
        <v>0</v>
      </c>
    </row>
    <row r="106" spans="1:15" s="64" customFormat="1" x14ac:dyDescent="0.3">
      <c r="A106" s="156"/>
      <c r="B106" s="7" t="s">
        <v>32</v>
      </c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24">
        <f t="shared" si="5"/>
        <v>0</v>
      </c>
    </row>
    <row r="107" spans="1:15" s="102" customFormat="1" ht="12" x14ac:dyDescent="0.25">
      <c r="A107" s="253"/>
    </row>
    <row r="108" spans="1:15" s="102" customFormat="1" ht="12" x14ac:dyDescent="0.25">
      <c r="A108" s="252"/>
    </row>
    <row r="109" spans="1:15" s="64" customFormat="1" x14ac:dyDescent="0.3">
      <c r="A109" s="159"/>
    </row>
    <row r="110" spans="1:15" s="64" customFormat="1" x14ac:dyDescent="0.3">
      <c r="A110" s="159"/>
    </row>
    <row r="111" spans="1:15" s="102" customFormat="1" ht="12" x14ac:dyDescent="0.25">
      <c r="A111" s="252"/>
    </row>
    <row r="112" spans="1:15" s="102" customFormat="1" ht="12" x14ac:dyDescent="0.25">
      <c r="A112" s="252"/>
    </row>
    <row r="113" spans="1:1" s="64" customFormat="1" x14ac:dyDescent="0.3">
      <c r="A113" s="159"/>
    </row>
    <row r="114" spans="1:1" s="64" customFormat="1" x14ac:dyDescent="0.3">
      <c r="A114" s="159"/>
    </row>
    <row r="115" spans="1:1" s="102" customFormat="1" ht="12" x14ac:dyDescent="0.25">
      <c r="A115" s="252"/>
    </row>
    <row r="116" spans="1:1" s="102" customFormat="1" ht="12" x14ac:dyDescent="0.25">
      <c r="A116" s="252"/>
    </row>
    <row r="117" spans="1:1" s="64" customFormat="1" x14ac:dyDescent="0.3">
      <c r="A117" s="159"/>
    </row>
    <row r="118" spans="1:1" s="64" customFormat="1" x14ac:dyDescent="0.3">
      <c r="A118" s="159"/>
    </row>
    <row r="119" spans="1:1" s="102" customFormat="1" ht="12" x14ac:dyDescent="0.25">
      <c r="A119" s="252"/>
    </row>
    <row r="120" spans="1:1" s="102" customFormat="1" ht="12" x14ac:dyDescent="0.25">
      <c r="A120" s="252"/>
    </row>
    <row r="121" spans="1:1" s="64" customFormat="1" x14ac:dyDescent="0.3">
      <c r="A121" s="159"/>
    </row>
    <row r="122" spans="1:1" s="64" customFormat="1" x14ac:dyDescent="0.3">
      <c r="A122" s="159"/>
    </row>
    <row r="123" spans="1:1" s="102" customFormat="1" ht="12" x14ac:dyDescent="0.25">
      <c r="A123" s="252"/>
    </row>
    <row r="124" spans="1:1" s="102" customFormat="1" ht="12" x14ac:dyDescent="0.25">
      <c r="A124" s="252"/>
    </row>
    <row r="125" spans="1:1" s="64" customFormat="1" ht="11.4" customHeight="1" x14ac:dyDescent="0.3">
      <c r="A125" s="159"/>
    </row>
    <row r="126" spans="1:1" s="64" customFormat="1" x14ac:dyDescent="0.3">
      <c r="A126" s="159"/>
    </row>
    <row r="127" spans="1:1" s="102" customFormat="1" ht="12" x14ac:dyDescent="0.25">
      <c r="A127" s="252"/>
    </row>
    <row r="128" spans="1:1" s="102" customFormat="1" ht="12" x14ac:dyDescent="0.25">
      <c r="A128" s="252"/>
    </row>
    <row r="129" spans="1:1" s="64" customFormat="1" x14ac:dyDescent="0.3">
      <c r="A129" s="159"/>
    </row>
    <row r="130" spans="1:1" s="64" customFormat="1" x14ac:dyDescent="0.3">
      <c r="A130" s="159"/>
    </row>
    <row r="131" spans="1:1" s="102" customFormat="1" ht="12" x14ac:dyDescent="0.25">
      <c r="A131" s="252"/>
    </row>
    <row r="132" spans="1:1" s="102" customFormat="1" ht="12" x14ac:dyDescent="0.25">
      <c r="A132" s="252"/>
    </row>
    <row r="133" spans="1:1" s="64" customFormat="1" x14ac:dyDescent="0.3">
      <c r="A133" s="159"/>
    </row>
    <row r="134" spans="1:1" s="64" customFormat="1" x14ac:dyDescent="0.3">
      <c r="A134" s="159"/>
    </row>
    <row r="135" spans="1:1" s="102" customFormat="1" ht="12" x14ac:dyDescent="0.25">
      <c r="A135" s="252"/>
    </row>
    <row r="136" spans="1:1" s="102" customFormat="1" ht="12" x14ac:dyDescent="0.25">
      <c r="A136" s="252"/>
    </row>
    <row r="137" spans="1:1" s="64" customFormat="1" x14ac:dyDescent="0.3">
      <c r="A137" s="159"/>
    </row>
    <row r="138" spans="1:1" s="64" customFormat="1" x14ac:dyDescent="0.3">
      <c r="A138" s="159"/>
    </row>
    <row r="139" spans="1:1" s="102" customFormat="1" ht="12" x14ac:dyDescent="0.25">
      <c r="A139" s="252"/>
    </row>
    <row r="140" spans="1:1" s="102" customFormat="1" ht="12" x14ac:dyDescent="0.25">
      <c r="A140" s="252"/>
    </row>
    <row r="141" spans="1:1" s="64" customFormat="1" x14ac:dyDescent="0.3">
      <c r="A141" s="159"/>
    </row>
    <row r="142" spans="1:1" s="64" customFormat="1" x14ac:dyDescent="0.3">
      <c r="A142" s="159"/>
    </row>
    <row r="143" spans="1:1" s="102" customFormat="1" ht="12" x14ac:dyDescent="0.25">
      <c r="A143" s="252"/>
    </row>
    <row r="144" spans="1:1" s="102" customFormat="1" ht="12" x14ac:dyDescent="0.25">
      <c r="A144" s="252"/>
    </row>
    <row r="145" spans="1:1" s="64" customFormat="1" x14ac:dyDescent="0.3">
      <c r="A145" s="159"/>
    </row>
    <row r="146" spans="1:1" s="64" customFormat="1" x14ac:dyDescent="0.3">
      <c r="A146" s="159"/>
    </row>
    <row r="147" spans="1:1" s="102" customFormat="1" ht="12" x14ac:dyDescent="0.25">
      <c r="A147" s="252"/>
    </row>
    <row r="148" spans="1:1" s="102" customFormat="1" ht="12" x14ac:dyDescent="0.25">
      <c r="A148" s="252"/>
    </row>
    <row r="149" spans="1:1" s="64" customFormat="1" x14ac:dyDescent="0.3">
      <c r="A149" s="159"/>
    </row>
    <row r="150" spans="1:1" s="64" customFormat="1" x14ac:dyDescent="0.3">
      <c r="A150" s="159"/>
    </row>
    <row r="151" spans="1:1" s="102" customFormat="1" ht="12" x14ac:dyDescent="0.25">
      <c r="A151" s="252"/>
    </row>
    <row r="152" spans="1:1" s="102" customFormat="1" ht="12" x14ac:dyDescent="0.25">
      <c r="A152" s="252"/>
    </row>
    <row r="153" spans="1:1" s="64" customFormat="1" x14ac:dyDescent="0.3">
      <c r="A153" s="159"/>
    </row>
    <row r="154" spans="1:1" s="64" customFormat="1" x14ac:dyDescent="0.3">
      <c r="A154" s="159"/>
    </row>
    <row r="155" spans="1:1" s="102" customFormat="1" ht="12" x14ac:dyDescent="0.25">
      <c r="A155" s="252"/>
    </row>
    <row r="156" spans="1:1" s="102" customFormat="1" ht="12" x14ac:dyDescent="0.25">
      <c r="A156" s="252"/>
    </row>
    <row r="157" spans="1:1" s="64" customFormat="1" x14ac:dyDescent="0.3">
      <c r="A157" s="159"/>
    </row>
    <row r="158" spans="1:1" s="64" customFormat="1" x14ac:dyDescent="0.3">
      <c r="A158" s="159"/>
    </row>
    <row r="159" spans="1:1" s="102" customFormat="1" ht="12" x14ac:dyDescent="0.25">
      <c r="A159" s="252"/>
    </row>
    <row r="160" spans="1:1" s="102" customFormat="1" ht="12" x14ac:dyDescent="0.25">
      <c r="A160" s="252"/>
    </row>
    <row r="161" spans="1:1" s="64" customFormat="1" x14ac:dyDescent="0.3">
      <c r="A161" s="159"/>
    </row>
    <row r="162" spans="1:1" s="64" customFormat="1" x14ac:dyDescent="0.3">
      <c r="A162" s="159"/>
    </row>
    <row r="163" spans="1:1" s="102" customFormat="1" ht="12" x14ac:dyDescent="0.25">
      <c r="A163" s="252"/>
    </row>
    <row r="164" spans="1:1" s="102" customFormat="1" ht="12" x14ac:dyDescent="0.25">
      <c r="A164" s="252"/>
    </row>
    <row r="165" spans="1:1" s="64" customFormat="1" x14ac:dyDescent="0.3">
      <c r="A165" s="159"/>
    </row>
    <row r="166" spans="1:1" s="64" customFormat="1" x14ac:dyDescent="0.3">
      <c r="A166" s="159"/>
    </row>
    <row r="167" spans="1:1" s="102" customFormat="1" ht="12" x14ac:dyDescent="0.25">
      <c r="A167" s="252"/>
    </row>
    <row r="168" spans="1:1" s="102" customFormat="1" ht="12" x14ac:dyDescent="0.25">
      <c r="A168" s="252"/>
    </row>
    <row r="169" spans="1:1" s="64" customFormat="1" x14ac:dyDescent="0.3">
      <c r="A169" s="159"/>
    </row>
    <row r="170" spans="1:1" s="64" customFormat="1" x14ac:dyDescent="0.3">
      <c r="A170" s="159"/>
    </row>
    <row r="171" spans="1:1" s="102" customFormat="1" ht="12" x14ac:dyDescent="0.25">
      <c r="A171" s="252"/>
    </row>
    <row r="172" spans="1:1" s="102" customFormat="1" ht="12" x14ac:dyDescent="0.25">
      <c r="A172" s="252"/>
    </row>
    <row r="173" spans="1:1" s="64" customFormat="1" x14ac:dyDescent="0.3">
      <c r="A173" s="159"/>
    </row>
    <row r="174" spans="1:1" s="64" customFormat="1" x14ac:dyDescent="0.3">
      <c r="A174" s="159"/>
    </row>
    <row r="175" spans="1:1" s="102" customFormat="1" ht="12" x14ac:dyDescent="0.25">
      <c r="A175" s="252"/>
    </row>
    <row r="176" spans="1:1" s="102" customFormat="1" ht="12" x14ac:dyDescent="0.25">
      <c r="A176" s="252"/>
    </row>
    <row r="177" spans="1:1" s="64" customFormat="1" x14ac:dyDescent="0.3">
      <c r="A177" s="159"/>
    </row>
    <row r="178" spans="1:1" s="64" customFormat="1" x14ac:dyDescent="0.3">
      <c r="A178" s="159"/>
    </row>
    <row r="179" spans="1:1" s="102" customFormat="1" ht="12" x14ac:dyDescent="0.25">
      <c r="A179" s="252"/>
    </row>
    <row r="180" spans="1:1" s="102" customFormat="1" ht="12" x14ac:dyDescent="0.25">
      <c r="A180" s="252"/>
    </row>
    <row r="181" spans="1:1" s="64" customFormat="1" x14ac:dyDescent="0.3">
      <c r="A181" s="159"/>
    </row>
    <row r="182" spans="1:1" s="64" customFormat="1" x14ac:dyDescent="0.3">
      <c r="A182" s="159"/>
    </row>
    <row r="183" spans="1:1" s="102" customFormat="1" ht="12" x14ac:dyDescent="0.25">
      <c r="A183" s="252"/>
    </row>
    <row r="184" spans="1:1" s="102" customFormat="1" ht="12" x14ac:dyDescent="0.25">
      <c r="A184" s="252"/>
    </row>
    <row r="185" spans="1:1" s="64" customFormat="1" x14ac:dyDescent="0.3">
      <c r="A185" s="159"/>
    </row>
    <row r="186" spans="1:1" s="64" customFormat="1" x14ac:dyDescent="0.3">
      <c r="A186" s="159"/>
    </row>
    <row r="187" spans="1:1" s="102" customFormat="1" ht="12" x14ac:dyDescent="0.25">
      <c r="A187" s="252"/>
    </row>
    <row r="188" spans="1:1" s="102" customFormat="1" ht="12" x14ac:dyDescent="0.25">
      <c r="A188" s="252"/>
    </row>
    <row r="189" spans="1:1" s="64" customFormat="1" x14ac:dyDescent="0.3">
      <c r="A189" s="159"/>
    </row>
    <row r="190" spans="1:1" s="64" customFormat="1" x14ac:dyDescent="0.3">
      <c r="A190" s="159"/>
    </row>
    <row r="191" spans="1:1" s="102" customFormat="1" ht="12" x14ac:dyDescent="0.25">
      <c r="A191" s="252"/>
    </row>
    <row r="192" spans="1:1" s="102" customFormat="1" ht="12" x14ac:dyDescent="0.25">
      <c r="A192" s="252"/>
    </row>
    <row r="193" spans="1:1" s="64" customFormat="1" x14ac:dyDescent="0.3">
      <c r="A193" s="159"/>
    </row>
    <row r="194" spans="1:1" s="64" customFormat="1" x14ac:dyDescent="0.3">
      <c r="A194" s="159"/>
    </row>
    <row r="195" spans="1:1" s="102" customFormat="1" ht="12" x14ac:dyDescent="0.25">
      <c r="A195" s="252"/>
    </row>
    <row r="196" spans="1:1" s="102" customFormat="1" ht="12" x14ac:dyDescent="0.25">
      <c r="A196" s="252"/>
    </row>
    <row r="197" spans="1:1" s="64" customFormat="1" x14ac:dyDescent="0.3">
      <c r="A197" s="159"/>
    </row>
    <row r="198" spans="1:1" s="64" customFormat="1" x14ac:dyDescent="0.3">
      <c r="A198" s="159"/>
    </row>
    <row r="199" spans="1:1" s="102" customFormat="1" ht="12" x14ac:dyDescent="0.25">
      <c r="A199" s="252"/>
    </row>
    <row r="200" spans="1:1" s="102" customFormat="1" ht="12" x14ac:dyDescent="0.25">
      <c r="A200" s="252"/>
    </row>
    <row r="201" spans="1:1" s="64" customFormat="1" x14ac:dyDescent="0.3">
      <c r="A201" s="159"/>
    </row>
    <row r="202" spans="1:1" s="64" customFormat="1" x14ac:dyDescent="0.3">
      <c r="A202" s="159"/>
    </row>
    <row r="203" spans="1:1" s="102" customFormat="1" ht="12" x14ac:dyDescent="0.25">
      <c r="A203" s="252"/>
    </row>
    <row r="204" spans="1:1" s="102" customFormat="1" ht="12" x14ac:dyDescent="0.25">
      <c r="A204" s="252"/>
    </row>
    <row r="205" spans="1:1" s="64" customFormat="1" x14ac:dyDescent="0.3">
      <c r="A205" s="159"/>
    </row>
    <row r="206" spans="1:1" s="64" customFormat="1" x14ac:dyDescent="0.3">
      <c r="A206" s="159"/>
    </row>
    <row r="207" spans="1:1" s="102" customFormat="1" ht="12" x14ac:dyDescent="0.25">
      <c r="A207" s="252"/>
    </row>
    <row r="208" spans="1:1" s="102" customFormat="1" ht="12" x14ac:dyDescent="0.25">
      <c r="A208" s="252"/>
    </row>
    <row r="209" spans="1:1" s="64" customFormat="1" x14ac:dyDescent="0.3">
      <c r="A209" s="159"/>
    </row>
    <row r="210" spans="1:1" s="64" customFormat="1" x14ac:dyDescent="0.3">
      <c r="A210" s="159"/>
    </row>
    <row r="211" spans="1:1" s="102" customFormat="1" ht="12" x14ac:dyDescent="0.25">
      <c r="A211" s="252"/>
    </row>
    <row r="212" spans="1:1" s="102" customFormat="1" ht="12" x14ac:dyDescent="0.25">
      <c r="A212" s="252"/>
    </row>
    <row r="213" spans="1:1" s="64" customFormat="1" x14ac:dyDescent="0.3">
      <c r="A213" s="159"/>
    </row>
    <row r="214" spans="1:1" s="64" customFormat="1" x14ac:dyDescent="0.3">
      <c r="A214" s="159"/>
    </row>
    <row r="215" spans="1:1" s="102" customFormat="1" ht="12" x14ac:dyDescent="0.25">
      <c r="A215" s="252"/>
    </row>
    <row r="216" spans="1:1" s="102" customFormat="1" ht="12" x14ac:dyDescent="0.25">
      <c r="A216" s="252"/>
    </row>
    <row r="217" spans="1:1" s="64" customFormat="1" x14ac:dyDescent="0.3">
      <c r="A217" s="107"/>
    </row>
    <row r="218" spans="1:1" s="64" customFormat="1" x14ac:dyDescent="0.3">
      <c r="A218" s="107"/>
    </row>
  </sheetData>
  <mergeCells count="54">
    <mergeCell ref="A215:A216"/>
    <mergeCell ref="A3:A6"/>
    <mergeCell ref="A195:A196"/>
    <mergeCell ref="A199:A200"/>
    <mergeCell ref="A203:A204"/>
    <mergeCell ref="A207:A208"/>
    <mergeCell ref="A211:A212"/>
    <mergeCell ref="A175:A176"/>
    <mergeCell ref="A179:A180"/>
    <mergeCell ref="A183:A184"/>
    <mergeCell ref="A187:A188"/>
    <mergeCell ref="A191:A192"/>
    <mergeCell ref="A155:A156"/>
    <mergeCell ref="A159:A160"/>
    <mergeCell ref="A163:A164"/>
    <mergeCell ref="A167:A168"/>
    <mergeCell ref="A171:A172"/>
    <mergeCell ref="A135:A136"/>
    <mergeCell ref="A139:A140"/>
    <mergeCell ref="A143:A144"/>
    <mergeCell ref="A147:A148"/>
    <mergeCell ref="A151:A152"/>
    <mergeCell ref="A115:A116"/>
    <mergeCell ref="A119:A120"/>
    <mergeCell ref="A123:A124"/>
    <mergeCell ref="A127:A128"/>
    <mergeCell ref="A131:A132"/>
    <mergeCell ref="A1:O1"/>
    <mergeCell ref="A11:A12"/>
    <mergeCell ref="A15:A16"/>
    <mergeCell ref="A19:A20"/>
    <mergeCell ref="A23:A24"/>
    <mergeCell ref="A27:A28"/>
    <mergeCell ref="A71:A72"/>
    <mergeCell ref="A75:A76"/>
    <mergeCell ref="A79:A80"/>
    <mergeCell ref="A83:A84"/>
    <mergeCell ref="A31:A32"/>
    <mergeCell ref="A35:A36"/>
    <mergeCell ref="A39:A40"/>
    <mergeCell ref="A43:A44"/>
    <mergeCell ref="A47:A48"/>
    <mergeCell ref="A51:A52"/>
    <mergeCell ref="A55:A56"/>
    <mergeCell ref="A59:A60"/>
    <mergeCell ref="A63:A64"/>
    <mergeCell ref="A67:A68"/>
    <mergeCell ref="A107:A108"/>
    <mergeCell ref="A111:A112"/>
    <mergeCell ref="A87:A88"/>
    <mergeCell ref="A91:A92"/>
    <mergeCell ref="A95:A96"/>
    <mergeCell ref="A99:A100"/>
    <mergeCell ref="A103:A10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6937-95FA-4EC5-A89F-30521226BF90}">
  <sheetPr codeName="Sheet25"/>
  <dimension ref="A1:P218"/>
  <sheetViews>
    <sheetView zoomScale="75" zoomScaleNormal="75" workbookViewId="0">
      <pane xSplit="1" ySplit="2" topLeftCell="B3" activePane="bottomRight" state="frozen"/>
      <selection pane="topRight" activeCell="M13" sqref="M13"/>
      <selection pane="bottomLeft" activeCell="M13" sqref="M13"/>
      <selection pane="bottomRight" activeCell="M9" sqref="M9"/>
    </sheetView>
  </sheetViews>
  <sheetFormatPr defaultColWidth="9.109375" defaultRowHeight="14.4" x14ac:dyDescent="0.3"/>
  <cols>
    <col min="1" max="1" width="29.44140625" style="52" customWidth="1"/>
    <col min="2" max="2" width="22.88671875" style="52" bestFit="1" customWidth="1"/>
    <col min="3" max="14" width="13" style="52" customWidth="1"/>
    <col min="15" max="15" width="13.109375" style="52" customWidth="1"/>
    <col min="16" max="16" width="9.44140625" style="52" bestFit="1" customWidth="1"/>
    <col min="17" max="16384" width="9.109375" style="52"/>
  </cols>
  <sheetData>
    <row r="1" spans="1:16" ht="27.75" customHeight="1" x14ac:dyDescent="0.6">
      <c r="A1" s="232" t="s">
        <v>444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16" x14ac:dyDescent="0.3">
      <c r="A2" s="68"/>
      <c r="B2" s="69"/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  <c r="I2" s="69" t="s">
        <v>7</v>
      </c>
      <c r="J2" s="69" t="s">
        <v>8</v>
      </c>
      <c r="K2" s="69" t="s">
        <v>9</v>
      </c>
      <c r="L2" s="69" t="s">
        <v>10</v>
      </c>
      <c r="M2" s="69" t="s">
        <v>11</v>
      </c>
      <c r="N2" s="69" t="s">
        <v>12</v>
      </c>
      <c r="O2" s="69" t="s">
        <v>13</v>
      </c>
    </row>
    <row r="3" spans="1:16" s="102" customFormat="1" ht="14.4" customHeight="1" x14ac:dyDescent="0.25">
      <c r="A3" s="239" t="s">
        <v>15</v>
      </c>
      <c r="B3" s="181" t="s">
        <v>16</v>
      </c>
      <c r="C3" s="182">
        <f>SUMIFS(C$11:C1000,$B$11:$B1000,"Actual 2024")</f>
        <v>0</v>
      </c>
      <c r="D3" s="182">
        <f>SUMIFS(D$11:D1000,$B$11:$B1000,"Actual 2024")</f>
        <v>0</v>
      </c>
      <c r="E3" s="182">
        <f>SUMIFS(E$11:E1000,$B$11:$B1000,"Actual 2024")</f>
        <v>0</v>
      </c>
      <c r="F3" s="182">
        <f>SUMIFS(F$11:F1000,$B$11:$B1000,"Actual 2024")</f>
        <v>0</v>
      </c>
      <c r="G3" s="182">
        <f>SUMIFS(G$11:G1000,$B$11:$B1000,"Actual 2024")</f>
        <v>0</v>
      </c>
      <c r="H3" s="182">
        <f>SUMIFS(H$11:H1000,$B$11:$B1000,"Actual 2024")</f>
        <v>0</v>
      </c>
      <c r="I3" s="185">
        <f>SUMIFS(I$11:I1000,$B$11:$B1000,"Actual 2024")</f>
        <v>0</v>
      </c>
      <c r="J3" s="185">
        <f>SUMIFS(J$11:J1000,$B$11:$B1000,"Actual 2024")</f>
        <v>0</v>
      </c>
      <c r="K3" s="185">
        <f>SUMIFS(K$11:K1000,$B$11:$B1000,"Actual 2024")</f>
        <v>0</v>
      </c>
      <c r="L3" s="185">
        <f>SUMIFS(L$11:L1000,$B$11:$B1000,"Actual 2024")</f>
        <v>0</v>
      </c>
      <c r="M3" s="185">
        <f>SUMIFS(M$11:M1000,$B$11:$B1000,"Actual 2024")</f>
        <v>0</v>
      </c>
      <c r="N3" s="185">
        <f>SUMIFS(N$11:N1000,$B$11:$B1000,"Actual 2024")</f>
        <v>0</v>
      </c>
      <c r="O3" s="183">
        <f>SUMIFS(O$11:O1000,$B$11:$B1000,"Actual 2024")</f>
        <v>0</v>
      </c>
      <c r="P3" s="126">
        <v>74934.12</v>
      </c>
    </row>
    <row r="4" spans="1:16" s="102" customFormat="1" ht="14.4" customHeight="1" x14ac:dyDescent="0.25">
      <c r="A4" s="240"/>
      <c r="B4" s="184" t="s">
        <v>27</v>
      </c>
      <c r="C4" s="189">
        <f>SUMIFS(C$11:C1000,$B$11:$B1000,"Estimated")</f>
        <v>0</v>
      </c>
      <c r="D4" s="189">
        <f>SUMIFS(D$11:D1000,$B$11:$B1000,"Estimated")</f>
        <v>0</v>
      </c>
      <c r="E4" s="189">
        <f>SUMIFS(E$11:E1000,$B$11:$B1000,"Estimated")</f>
        <v>0</v>
      </c>
      <c r="F4" s="189">
        <f>SUMIFS(F$11:F1000,$B$11:$B1000,"Estimated")</f>
        <v>0</v>
      </c>
      <c r="G4" s="189">
        <f>SUMIFS(G$11:G1000,$B$11:$B1000,"Estimated")</f>
        <v>0</v>
      </c>
      <c r="H4" s="189">
        <f>SUMIFS(H$11:H1000,$B$11:$B1000,"Estimated")</f>
        <v>0</v>
      </c>
      <c r="I4" s="192">
        <f>SUMIFS(I$11:I1000,$B$11:$B1000,"Estimated")</f>
        <v>0</v>
      </c>
      <c r="J4" s="192">
        <f>SUMIFS(J$11:J1000,$B$11:$B1000,"Estimated")</f>
        <v>0</v>
      </c>
      <c r="K4" s="192">
        <f>SUMIFS(K$11:K1000,$B$11:$B1000,"Estimated")</f>
        <v>0</v>
      </c>
      <c r="L4" s="192">
        <f>SUMIFS(L$11:L1000,$B$11:$B1000,"Estimated")</f>
        <v>0</v>
      </c>
      <c r="M4" s="192">
        <f>SUMIFS(M$11:M1000,$B$11:$B1000,"Estimated")</f>
        <v>0</v>
      </c>
      <c r="N4" s="192">
        <f>SUMIFS(N$11:N1000,$B$11:$B1000,"Estimated")</f>
        <v>0</v>
      </c>
      <c r="O4" s="191">
        <f>SUMIFS(O$11:O1000,$B$11:$B1000,"Estimated")</f>
        <v>0</v>
      </c>
    </row>
    <row r="5" spans="1:16" s="166" customFormat="1" ht="14.4" customHeight="1" x14ac:dyDescent="0.3">
      <c r="A5" s="240"/>
      <c r="B5" s="162" t="s">
        <v>18</v>
      </c>
      <c r="C5" s="163">
        <v>0</v>
      </c>
      <c r="D5" s="163">
        <v>0</v>
      </c>
      <c r="E5" s="163">
        <v>0</v>
      </c>
      <c r="F5" s="163">
        <v>0</v>
      </c>
      <c r="G5" s="163">
        <v>0</v>
      </c>
      <c r="H5" s="163">
        <v>0</v>
      </c>
      <c r="I5" s="167">
        <v>0</v>
      </c>
      <c r="J5" s="167">
        <v>0</v>
      </c>
      <c r="K5" s="167">
        <v>0</v>
      </c>
      <c r="L5" s="167">
        <v>0</v>
      </c>
      <c r="M5" s="167">
        <v>0</v>
      </c>
      <c r="N5" s="167">
        <v>0</v>
      </c>
      <c r="O5" s="164">
        <f t="shared" ref="O5" si="0">SUM(C5:N5)</f>
        <v>0</v>
      </c>
    </row>
    <row r="6" spans="1:16" s="166" customFormat="1" ht="15" thickBot="1" x14ac:dyDescent="0.35">
      <c r="A6" s="241"/>
      <c r="B6" s="174" t="s">
        <v>19</v>
      </c>
      <c r="C6" s="175">
        <f>SUMIFS(C$11:C1005,$B$11:$B1005,"Actual")</f>
        <v>0</v>
      </c>
      <c r="D6" s="175">
        <f>SUMIFS(D$11:D1005,$B$11:$B1005,"Actual")</f>
        <v>0</v>
      </c>
      <c r="E6" s="175">
        <f>SUMIFS(E$11:E1005,$B$11:$B1005,"Actual")</f>
        <v>0</v>
      </c>
      <c r="F6" s="175">
        <f>SUMIFS(F$11:F1005,$B$11:$B1005,"Actual")</f>
        <v>0</v>
      </c>
      <c r="G6" s="175">
        <f>SUMIFS(G$11:G1005,$B$11:$B1005,"Actual")</f>
        <v>0</v>
      </c>
      <c r="H6" s="175">
        <f>SUMIFS(H$11:H1005,$B$11:$B1005,"Actual")</f>
        <v>0</v>
      </c>
      <c r="I6" s="177">
        <f>SUMIFS(I$11:I1005,$B$11:$B1005,"Actual")</f>
        <v>0</v>
      </c>
      <c r="J6" s="177">
        <f>SUMIFS(J$11:J1005,$B$11:$B1005,"Actual")</f>
        <v>0</v>
      </c>
      <c r="K6" s="177">
        <f>SUMIFS(K$11:K1005,$B$11:$B1005,"Actual")</f>
        <v>0</v>
      </c>
      <c r="L6" s="177">
        <f>SUMIFS(L$11:L1005,$B$11:$B1005,"Actual")</f>
        <v>0</v>
      </c>
      <c r="M6" s="177">
        <f>SUMIFS(M$11:M1005,$B$11:$B1005,"Actual")</f>
        <v>0</v>
      </c>
      <c r="N6" s="177">
        <f>SUMIFS(N$11:N1005,$B$11:$B1005,"Actual")</f>
        <v>0</v>
      </c>
      <c r="O6" s="176">
        <f>SUMIFS(O$11:O1005,$B$11:$B1005,"Actual")</f>
        <v>0</v>
      </c>
      <c r="P6" s="166">
        <v>55989.79</v>
      </c>
    </row>
    <row r="7" spans="1:16" s="64" customFormat="1" ht="15" thickTop="1" x14ac:dyDescent="0.3">
      <c r="A7" s="134"/>
      <c r="B7" s="70" t="s">
        <v>21</v>
      </c>
      <c r="C7" s="60">
        <f t="shared" ref="C7:I7" si="1">C5-C6</f>
        <v>0</v>
      </c>
      <c r="D7" s="60">
        <f t="shared" si="1"/>
        <v>0</v>
      </c>
      <c r="E7" s="60">
        <f t="shared" si="1"/>
        <v>0</v>
      </c>
      <c r="F7" s="60">
        <f t="shared" si="1"/>
        <v>0</v>
      </c>
      <c r="G7" s="60">
        <f t="shared" si="1"/>
        <v>0</v>
      </c>
      <c r="H7" s="60">
        <f t="shared" si="1"/>
        <v>0</v>
      </c>
      <c r="I7" s="60">
        <f t="shared" si="1"/>
        <v>0</v>
      </c>
      <c r="J7" s="60">
        <f t="shared" ref="J7:N7" si="2">J5-J6</f>
        <v>0</v>
      </c>
      <c r="K7" s="60">
        <f t="shared" si="2"/>
        <v>0</v>
      </c>
      <c r="L7" s="60">
        <f t="shared" si="2"/>
        <v>0</v>
      </c>
      <c r="M7" s="60">
        <f t="shared" si="2"/>
        <v>0</v>
      </c>
      <c r="N7" s="60">
        <f t="shared" si="2"/>
        <v>0</v>
      </c>
      <c r="O7" s="75">
        <f>O5-O6</f>
        <v>0</v>
      </c>
    </row>
    <row r="8" spans="1:16" s="142" customFormat="1" x14ac:dyDescent="0.3">
      <c r="A8" s="138"/>
      <c r="B8" s="139" t="s">
        <v>23</v>
      </c>
      <c r="C8" s="140">
        <f>SUM($C6:C6)</f>
        <v>0</v>
      </c>
      <c r="D8" s="140">
        <f>SUM($C6:D6)</f>
        <v>0</v>
      </c>
      <c r="E8" s="140">
        <f>SUM($C6:E6)</f>
        <v>0</v>
      </c>
      <c r="F8" s="140">
        <f>SUM($C6:F6)</f>
        <v>0</v>
      </c>
      <c r="G8" s="140">
        <f>SUM($C6:G6)</f>
        <v>0</v>
      </c>
      <c r="H8" s="140">
        <f>SUM($C6:H6)</f>
        <v>0</v>
      </c>
      <c r="I8" s="140">
        <f>SUM($C6:I6)</f>
        <v>0</v>
      </c>
      <c r="J8" s="140">
        <f>SUM($C6:J6)</f>
        <v>0</v>
      </c>
      <c r="K8" s="140">
        <f>SUM($C6:K6)</f>
        <v>0</v>
      </c>
      <c r="L8" s="140">
        <f>SUM($C6:L6)</f>
        <v>0</v>
      </c>
      <c r="M8" s="140">
        <f>SUM($C6:M6)</f>
        <v>0</v>
      </c>
      <c r="N8" s="140">
        <f>SUM($C6:N6)</f>
        <v>0</v>
      </c>
      <c r="O8" s="141">
        <f>O6</f>
        <v>0</v>
      </c>
    </row>
    <row r="9" spans="1:16" s="142" customFormat="1" x14ac:dyDescent="0.3">
      <c r="A9" s="143"/>
      <c r="B9" s="144" t="s">
        <v>25</v>
      </c>
      <c r="C9" s="145">
        <f>SUM($C5:C5)-C8</f>
        <v>0</v>
      </c>
      <c r="D9" s="145">
        <f>SUM($C5:D5)-D8</f>
        <v>0</v>
      </c>
      <c r="E9" s="145">
        <f>SUM($C5:E5)-E8</f>
        <v>0</v>
      </c>
      <c r="F9" s="145">
        <f>SUM($C5:F5)-F8</f>
        <v>0</v>
      </c>
      <c r="G9" s="145">
        <f>SUM($C5:G5)-G8</f>
        <v>0</v>
      </c>
      <c r="H9" s="145">
        <f>SUM($C5:H5)-H8</f>
        <v>0</v>
      </c>
      <c r="I9" s="145">
        <f>SUM($C5:I5)-I8</f>
        <v>0</v>
      </c>
      <c r="J9" s="145">
        <f>SUM($C5:J5)-J8</f>
        <v>0</v>
      </c>
      <c r="K9" s="145">
        <f>SUM($C5:K5)-K8</f>
        <v>0</v>
      </c>
      <c r="L9" s="145">
        <f>SUM($C5:L5)-L8</f>
        <v>0</v>
      </c>
      <c r="M9" s="145">
        <f>SUM($C5:M5)-M8</f>
        <v>0</v>
      </c>
      <c r="N9" s="145">
        <f>SUM($C5:N5)-N8</f>
        <v>0</v>
      </c>
      <c r="O9" s="146"/>
    </row>
    <row r="10" spans="1:16" x14ac:dyDescent="0.3">
      <c r="A10" s="54"/>
      <c r="B10" s="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6" s="102" customFormat="1" ht="15" customHeight="1" x14ac:dyDescent="0.25">
      <c r="A11" s="236" t="s">
        <v>445</v>
      </c>
      <c r="B11" s="99" t="s">
        <v>16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3">
        <f t="shared" ref="O11:O14" si="3">SUM(C11:N11)</f>
        <v>0</v>
      </c>
    </row>
    <row r="12" spans="1:16" s="102" customFormat="1" ht="12" x14ac:dyDescent="0.25">
      <c r="A12" s="235"/>
      <c r="B12" s="99" t="s">
        <v>29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3">
        <f>SUM(C12:N12)</f>
        <v>0</v>
      </c>
    </row>
    <row r="13" spans="1:16" s="67" customFormat="1" ht="12.6" customHeight="1" x14ac:dyDescent="0.3">
      <c r="A13" s="154"/>
      <c r="B13" s="65" t="s">
        <v>31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66">
        <f t="shared" si="3"/>
        <v>0</v>
      </c>
    </row>
    <row r="14" spans="1:16" s="67" customFormat="1" ht="12.6" customHeight="1" x14ac:dyDescent="0.3">
      <c r="A14" s="157"/>
      <c r="B14" s="116" t="s">
        <v>32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8">
        <f t="shared" si="3"/>
        <v>0</v>
      </c>
    </row>
    <row r="15" spans="1:16" s="102" customFormat="1" ht="12" x14ac:dyDescent="0.25">
      <c r="A15" s="236"/>
      <c r="B15" s="99" t="s">
        <v>16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3">
        <f t="shared" ref="O15:O18" si="4">SUM(C15:N15)</f>
        <v>0</v>
      </c>
    </row>
    <row r="16" spans="1:16" s="102" customFormat="1" ht="12" x14ac:dyDescent="0.25">
      <c r="A16" s="235"/>
      <c r="B16" s="99" t="s">
        <v>29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3">
        <f t="shared" si="4"/>
        <v>0</v>
      </c>
    </row>
    <row r="17" spans="1:15" s="67" customFormat="1" ht="12.6" customHeight="1" x14ac:dyDescent="0.3">
      <c r="A17" s="155"/>
      <c r="B17" s="65" t="s">
        <v>31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66">
        <f>SUM(C17:N17)</f>
        <v>0</v>
      </c>
    </row>
    <row r="18" spans="1:15" s="67" customFormat="1" ht="12.6" customHeight="1" x14ac:dyDescent="0.3">
      <c r="A18" s="156"/>
      <c r="B18" s="116" t="s">
        <v>32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8">
        <f t="shared" si="4"/>
        <v>0</v>
      </c>
    </row>
    <row r="19" spans="1:15" s="102" customFormat="1" ht="12" x14ac:dyDescent="0.25">
      <c r="A19" s="236"/>
      <c r="B19" s="99" t="s">
        <v>16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3">
        <f t="shared" ref="O19:O50" si="5">SUM(C19:N19)</f>
        <v>0</v>
      </c>
    </row>
    <row r="20" spans="1:15" s="102" customFormat="1" ht="12" x14ac:dyDescent="0.25">
      <c r="A20" s="235"/>
      <c r="B20" s="99" t="s">
        <v>29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3">
        <f>SUM(C20:N20)</f>
        <v>0</v>
      </c>
    </row>
    <row r="21" spans="1:15" s="67" customFormat="1" ht="12.6" customHeight="1" x14ac:dyDescent="0.3">
      <c r="A21" s="155"/>
      <c r="B21" s="65" t="s">
        <v>31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66">
        <f t="shared" si="5"/>
        <v>0</v>
      </c>
    </row>
    <row r="22" spans="1:15" s="67" customFormat="1" ht="12.6" customHeight="1" x14ac:dyDescent="0.3">
      <c r="A22" s="156"/>
      <c r="B22" s="116" t="s">
        <v>32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8">
        <f t="shared" si="5"/>
        <v>0</v>
      </c>
    </row>
    <row r="23" spans="1:15" s="102" customFormat="1" ht="12" x14ac:dyDescent="0.25">
      <c r="A23" s="236"/>
      <c r="B23" s="99" t="s">
        <v>16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3">
        <f t="shared" si="5"/>
        <v>0</v>
      </c>
    </row>
    <row r="24" spans="1:15" s="102" customFormat="1" ht="12" x14ac:dyDescent="0.25">
      <c r="A24" s="235"/>
      <c r="B24" s="99" t="s">
        <v>29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>
        <v>0</v>
      </c>
      <c r="N24" s="100">
        <v>0</v>
      </c>
      <c r="O24" s="103">
        <f>SUM(C24:N24)</f>
        <v>0</v>
      </c>
    </row>
    <row r="25" spans="1:15" s="67" customFormat="1" ht="12.6" customHeight="1" x14ac:dyDescent="0.3">
      <c r="A25" s="155"/>
      <c r="B25" s="65" t="s">
        <v>31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66">
        <f t="shared" si="5"/>
        <v>0</v>
      </c>
    </row>
    <row r="26" spans="1:15" s="67" customFormat="1" ht="12.6" customHeight="1" x14ac:dyDescent="0.3">
      <c r="A26" s="156"/>
      <c r="B26" s="116" t="s">
        <v>32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8">
        <f t="shared" si="5"/>
        <v>0</v>
      </c>
    </row>
    <row r="27" spans="1:15" s="102" customFormat="1" ht="12" x14ac:dyDescent="0.25">
      <c r="A27" s="236"/>
      <c r="B27" s="99" t="s">
        <v>16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3">
        <f t="shared" si="5"/>
        <v>0</v>
      </c>
    </row>
    <row r="28" spans="1:15" s="102" customFormat="1" ht="12" x14ac:dyDescent="0.25">
      <c r="A28" s="235"/>
      <c r="B28" s="99" t="s">
        <v>29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100">
        <v>0</v>
      </c>
      <c r="N28" s="100">
        <v>0</v>
      </c>
      <c r="O28" s="103">
        <f>SUM(C28:N28)</f>
        <v>0</v>
      </c>
    </row>
    <row r="29" spans="1:15" s="67" customFormat="1" ht="12.6" customHeight="1" x14ac:dyDescent="0.3">
      <c r="A29" s="155"/>
      <c r="B29" s="65" t="s">
        <v>31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66">
        <f t="shared" si="5"/>
        <v>0</v>
      </c>
    </row>
    <row r="30" spans="1:15" s="67" customFormat="1" ht="12.6" customHeight="1" x14ac:dyDescent="0.3">
      <c r="A30" s="156"/>
      <c r="B30" s="116" t="s">
        <v>32</v>
      </c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8">
        <f t="shared" si="5"/>
        <v>0</v>
      </c>
    </row>
    <row r="31" spans="1:15" s="102" customFormat="1" ht="12" x14ac:dyDescent="0.25">
      <c r="A31" s="236"/>
      <c r="B31" s="99" t="s">
        <v>16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3">
        <f t="shared" si="5"/>
        <v>0</v>
      </c>
    </row>
    <row r="32" spans="1:15" s="102" customFormat="1" ht="12" x14ac:dyDescent="0.25">
      <c r="A32" s="235"/>
      <c r="B32" s="99" t="s">
        <v>29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3">
        <f>SUM(C32:N32)</f>
        <v>0</v>
      </c>
    </row>
    <row r="33" spans="1:15" s="67" customFormat="1" ht="12.6" customHeight="1" x14ac:dyDescent="0.3">
      <c r="A33" s="155"/>
      <c r="B33" s="65" t="s">
        <v>31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66">
        <f t="shared" si="5"/>
        <v>0</v>
      </c>
    </row>
    <row r="34" spans="1:15" s="67" customFormat="1" ht="12.6" customHeight="1" x14ac:dyDescent="0.3">
      <c r="A34" s="156"/>
      <c r="B34" s="116" t="s">
        <v>32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8">
        <f t="shared" si="5"/>
        <v>0</v>
      </c>
    </row>
    <row r="35" spans="1:15" s="102" customFormat="1" ht="12" x14ac:dyDescent="0.25">
      <c r="A35" s="236"/>
      <c r="B35" s="99" t="s">
        <v>16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3">
        <f t="shared" si="5"/>
        <v>0</v>
      </c>
    </row>
    <row r="36" spans="1:15" s="102" customFormat="1" ht="12" x14ac:dyDescent="0.25">
      <c r="A36" s="235"/>
      <c r="B36" s="99" t="s">
        <v>29</v>
      </c>
      <c r="C36" s="100">
        <v>0</v>
      </c>
      <c r="D36" s="100">
        <v>0</v>
      </c>
      <c r="E36" s="100">
        <v>0</v>
      </c>
      <c r="F36" s="100">
        <v>0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100">
        <v>0</v>
      </c>
      <c r="N36" s="100">
        <v>0</v>
      </c>
      <c r="O36" s="103">
        <f>SUM(C36:N36)</f>
        <v>0</v>
      </c>
    </row>
    <row r="37" spans="1:15" s="67" customFormat="1" ht="12.6" customHeight="1" x14ac:dyDescent="0.3">
      <c r="A37" s="155"/>
      <c r="B37" s="65" t="s">
        <v>31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66">
        <f t="shared" si="5"/>
        <v>0</v>
      </c>
    </row>
    <row r="38" spans="1:15" s="67" customFormat="1" ht="12.6" customHeight="1" x14ac:dyDescent="0.3">
      <c r="A38" s="156"/>
      <c r="B38" s="116" t="s">
        <v>32</v>
      </c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>
        <f t="shared" si="5"/>
        <v>0</v>
      </c>
    </row>
    <row r="39" spans="1:15" s="102" customFormat="1" ht="12" x14ac:dyDescent="0.25">
      <c r="A39" s="236"/>
      <c r="B39" s="99" t="s">
        <v>16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3">
        <f t="shared" si="5"/>
        <v>0</v>
      </c>
    </row>
    <row r="40" spans="1:15" s="102" customFormat="1" ht="12" x14ac:dyDescent="0.25">
      <c r="A40" s="235"/>
      <c r="B40" s="99" t="s">
        <v>29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100">
        <v>0</v>
      </c>
      <c r="N40" s="100">
        <v>0</v>
      </c>
      <c r="O40" s="103">
        <f>SUM(C40:N40)</f>
        <v>0</v>
      </c>
    </row>
    <row r="41" spans="1:15" s="64" customFormat="1" ht="12.6" customHeight="1" x14ac:dyDescent="0.3">
      <c r="A41" s="155"/>
      <c r="B41" s="5" t="s">
        <v>31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7">
        <f t="shared" si="5"/>
        <v>0</v>
      </c>
    </row>
    <row r="42" spans="1:15" s="64" customFormat="1" ht="12.6" customHeight="1" x14ac:dyDescent="0.3">
      <c r="A42" s="156"/>
      <c r="B42" s="7" t="s">
        <v>32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24">
        <f t="shared" si="5"/>
        <v>0</v>
      </c>
    </row>
    <row r="43" spans="1:15" s="102" customFormat="1" ht="12" x14ac:dyDescent="0.25">
      <c r="A43" s="236"/>
      <c r="B43" s="99" t="s">
        <v>16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3">
        <f t="shared" si="5"/>
        <v>0</v>
      </c>
    </row>
    <row r="44" spans="1:15" s="102" customFormat="1" ht="12" x14ac:dyDescent="0.25">
      <c r="A44" s="235"/>
      <c r="B44" s="99" t="s">
        <v>29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100">
        <v>0</v>
      </c>
      <c r="N44" s="100">
        <v>0</v>
      </c>
      <c r="O44" s="103">
        <f>SUM(C44:N44)</f>
        <v>0</v>
      </c>
    </row>
    <row r="45" spans="1:15" s="64" customFormat="1" ht="12.6" customHeight="1" x14ac:dyDescent="0.3">
      <c r="A45" s="155"/>
      <c r="B45" s="5" t="s">
        <v>31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7">
        <f t="shared" si="5"/>
        <v>0</v>
      </c>
    </row>
    <row r="46" spans="1:15" s="64" customFormat="1" ht="12.6" customHeight="1" x14ac:dyDescent="0.3">
      <c r="A46" s="156"/>
      <c r="B46" s="7" t="s">
        <v>32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24">
        <f t="shared" si="5"/>
        <v>0</v>
      </c>
    </row>
    <row r="47" spans="1:15" s="102" customFormat="1" ht="12" x14ac:dyDescent="0.25">
      <c r="A47" s="236"/>
      <c r="B47" s="99" t="s">
        <v>16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3">
        <f t="shared" si="5"/>
        <v>0</v>
      </c>
    </row>
    <row r="48" spans="1:15" s="102" customFormat="1" ht="12" x14ac:dyDescent="0.25">
      <c r="A48" s="235"/>
      <c r="B48" s="99" t="s">
        <v>29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3">
        <f>SUM(C48:N48)</f>
        <v>0</v>
      </c>
    </row>
    <row r="49" spans="1:15" s="64" customFormat="1" ht="12.6" customHeight="1" x14ac:dyDescent="0.3">
      <c r="A49" s="155"/>
      <c r="B49" s="5" t="s">
        <v>31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7">
        <f t="shared" si="5"/>
        <v>0</v>
      </c>
    </row>
    <row r="50" spans="1:15" s="64" customFormat="1" ht="12.6" customHeight="1" x14ac:dyDescent="0.3">
      <c r="A50" s="156"/>
      <c r="B50" s="7" t="s">
        <v>32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24">
        <f t="shared" si="5"/>
        <v>0</v>
      </c>
    </row>
    <row r="51" spans="1:15" s="102" customFormat="1" ht="12" x14ac:dyDescent="0.25">
      <c r="A51" s="236"/>
      <c r="B51" s="99" t="s">
        <v>16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3">
        <f t="shared" ref="O51:O82" si="6">SUM(C51:N51)</f>
        <v>0</v>
      </c>
    </row>
    <row r="52" spans="1:15" s="102" customFormat="1" ht="12" x14ac:dyDescent="0.25">
      <c r="A52" s="235"/>
      <c r="B52" s="99" t="s">
        <v>29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0</v>
      </c>
      <c r="N52" s="100">
        <v>0</v>
      </c>
      <c r="O52" s="103">
        <f>SUM(C52:N52)</f>
        <v>0</v>
      </c>
    </row>
    <row r="53" spans="1:15" s="64" customFormat="1" ht="12.6" customHeight="1" x14ac:dyDescent="0.3">
      <c r="A53" s="155"/>
      <c r="B53" s="5" t="s">
        <v>31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7">
        <f t="shared" si="6"/>
        <v>0</v>
      </c>
    </row>
    <row r="54" spans="1:15" s="64" customFormat="1" ht="12.6" customHeight="1" x14ac:dyDescent="0.3">
      <c r="A54" s="156"/>
      <c r="B54" s="7" t="s">
        <v>32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24">
        <f t="shared" si="6"/>
        <v>0</v>
      </c>
    </row>
    <row r="55" spans="1:15" s="102" customFormat="1" ht="12" x14ac:dyDescent="0.25">
      <c r="A55" s="236"/>
      <c r="B55" s="99" t="s">
        <v>16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3">
        <f t="shared" si="6"/>
        <v>0</v>
      </c>
    </row>
    <row r="56" spans="1:15" s="102" customFormat="1" ht="12" x14ac:dyDescent="0.25">
      <c r="A56" s="235"/>
      <c r="B56" s="99" t="s">
        <v>29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3">
        <f>SUM(C56:N56)</f>
        <v>0</v>
      </c>
    </row>
    <row r="57" spans="1:15" s="64" customFormat="1" ht="12.6" customHeight="1" x14ac:dyDescent="0.3">
      <c r="A57" s="155"/>
      <c r="B57" s="5" t="s">
        <v>31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7">
        <f t="shared" si="6"/>
        <v>0</v>
      </c>
    </row>
    <row r="58" spans="1:15" s="64" customFormat="1" ht="12.6" customHeight="1" x14ac:dyDescent="0.3">
      <c r="A58" s="156"/>
      <c r="B58" s="7" t="s">
        <v>32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24">
        <f t="shared" si="6"/>
        <v>0</v>
      </c>
    </row>
    <row r="59" spans="1:15" s="102" customFormat="1" ht="12" x14ac:dyDescent="0.25">
      <c r="A59" s="236"/>
      <c r="B59" s="99" t="s">
        <v>16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3">
        <f t="shared" si="6"/>
        <v>0</v>
      </c>
    </row>
    <row r="60" spans="1:15" s="102" customFormat="1" ht="12" x14ac:dyDescent="0.25">
      <c r="A60" s="235"/>
      <c r="B60" s="99" t="s">
        <v>29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3">
        <f>SUM(C60:N60)</f>
        <v>0</v>
      </c>
    </row>
    <row r="61" spans="1:15" s="64" customFormat="1" ht="12.6" customHeight="1" x14ac:dyDescent="0.3">
      <c r="A61" s="155"/>
      <c r="B61" s="5" t="s">
        <v>31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7">
        <f t="shared" si="6"/>
        <v>0</v>
      </c>
    </row>
    <row r="62" spans="1:15" s="64" customFormat="1" ht="12.6" customHeight="1" x14ac:dyDescent="0.3">
      <c r="A62" s="156"/>
      <c r="B62" s="7" t="s">
        <v>32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24">
        <f t="shared" si="6"/>
        <v>0</v>
      </c>
    </row>
    <row r="63" spans="1:15" s="102" customFormat="1" ht="12" x14ac:dyDescent="0.25">
      <c r="A63" s="236"/>
      <c r="B63" s="99" t="s">
        <v>16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3">
        <f t="shared" si="6"/>
        <v>0</v>
      </c>
    </row>
    <row r="64" spans="1:15" s="102" customFormat="1" ht="12" x14ac:dyDescent="0.25">
      <c r="A64" s="235"/>
      <c r="B64" s="99" t="s">
        <v>29</v>
      </c>
      <c r="C64" s="100">
        <v>0</v>
      </c>
      <c r="D64" s="100">
        <v>0</v>
      </c>
      <c r="E64" s="100">
        <v>0</v>
      </c>
      <c r="F64" s="100">
        <v>0</v>
      </c>
      <c r="G64" s="100">
        <v>0</v>
      </c>
      <c r="H64" s="100">
        <v>0</v>
      </c>
      <c r="I64" s="100">
        <v>0</v>
      </c>
      <c r="J64" s="100">
        <v>0</v>
      </c>
      <c r="K64" s="100">
        <v>0</v>
      </c>
      <c r="L64" s="100">
        <v>0</v>
      </c>
      <c r="M64" s="100">
        <v>0</v>
      </c>
      <c r="N64" s="100">
        <v>0</v>
      </c>
      <c r="O64" s="103">
        <f>SUM(C64:N64)</f>
        <v>0</v>
      </c>
    </row>
    <row r="65" spans="1:15" s="64" customFormat="1" ht="12.6" customHeight="1" x14ac:dyDescent="0.3">
      <c r="A65" s="155"/>
      <c r="B65" s="5" t="s">
        <v>31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7">
        <f t="shared" si="6"/>
        <v>0</v>
      </c>
    </row>
    <row r="66" spans="1:15" s="64" customFormat="1" ht="12.6" customHeight="1" x14ac:dyDescent="0.3">
      <c r="A66" s="156"/>
      <c r="B66" s="7" t="s">
        <v>32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24">
        <f t="shared" si="6"/>
        <v>0</v>
      </c>
    </row>
    <row r="67" spans="1:15" s="102" customFormat="1" ht="12.6" customHeight="1" x14ac:dyDescent="0.25">
      <c r="A67" s="236"/>
      <c r="B67" s="99" t="s">
        <v>16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3">
        <f t="shared" si="6"/>
        <v>0</v>
      </c>
    </row>
    <row r="68" spans="1:15" s="102" customFormat="1" ht="12" x14ac:dyDescent="0.25">
      <c r="A68" s="235"/>
      <c r="B68" s="99" t="s">
        <v>29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3">
        <f>SUM(C68:N68)</f>
        <v>0</v>
      </c>
    </row>
    <row r="69" spans="1:15" s="64" customFormat="1" x14ac:dyDescent="0.3">
      <c r="A69" s="155"/>
      <c r="B69" s="5" t="s">
        <v>31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7">
        <f t="shared" si="6"/>
        <v>0</v>
      </c>
    </row>
    <row r="70" spans="1:15" s="64" customFormat="1" x14ac:dyDescent="0.3">
      <c r="A70" s="156"/>
      <c r="B70" s="7" t="s">
        <v>32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24">
        <f t="shared" si="6"/>
        <v>0</v>
      </c>
    </row>
    <row r="71" spans="1:15" s="102" customFormat="1" ht="12" x14ac:dyDescent="0.25">
      <c r="A71" s="236"/>
      <c r="B71" s="99" t="s">
        <v>16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3">
        <f t="shared" si="6"/>
        <v>0</v>
      </c>
    </row>
    <row r="72" spans="1:15" s="102" customFormat="1" ht="12" x14ac:dyDescent="0.25">
      <c r="A72" s="235"/>
      <c r="B72" s="99" t="s">
        <v>29</v>
      </c>
      <c r="C72" s="100">
        <v>0</v>
      </c>
      <c r="D72" s="100">
        <v>0</v>
      </c>
      <c r="E72" s="100">
        <v>0</v>
      </c>
      <c r="F72" s="100">
        <v>0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3">
        <f>SUM(C72:N72)</f>
        <v>0</v>
      </c>
    </row>
    <row r="73" spans="1:15" s="64" customFormat="1" x14ac:dyDescent="0.3">
      <c r="A73" s="155"/>
      <c r="B73" s="5" t="s">
        <v>31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7">
        <f t="shared" si="6"/>
        <v>0</v>
      </c>
    </row>
    <row r="74" spans="1:15" s="64" customFormat="1" x14ac:dyDescent="0.3">
      <c r="A74" s="156"/>
      <c r="B74" s="7" t="s">
        <v>32</v>
      </c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24">
        <f t="shared" si="6"/>
        <v>0</v>
      </c>
    </row>
    <row r="75" spans="1:15" s="102" customFormat="1" ht="12" x14ac:dyDescent="0.25">
      <c r="A75" s="236"/>
      <c r="B75" s="99" t="s">
        <v>16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3">
        <f t="shared" si="6"/>
        <v>0</v>
      </c>
    </row>
    <row r="76" spans="1:15" s="102" customFormat="1" ht="12" x14ac:dyDescent="0.25">
      <c r="A76" s="235"/>
      <c r="B76" s="99" t="s">
        <v>29</v>
      </c>
      <c r="C76" s="100">
        <v>0</v>
      </c>
      <c r="D76" s="100">
        <v>0</v>
      </c>
      <c r="E76" s="100">
        <v>0</v>
      </c>
      <c r="F76" s="100">
        <v>0</v>
      </c>
      <c r="G76" s="100">
        <v>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3">
        <f>SUM(C76:N76)</f>
        <v>0</v>
      </c>
    </row>
    <row r="77" spans="1:15" s="64" customFormat="1" x14ac:dyDescent="0.3">
      <c r="A77" s="155"/>
      <c r="B77" s="5" t="s">
        <v>31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7">
        <f t="shared" si="6"/>
        <v>0</v>
      </c>
    </row>
    <row r="78" spans="1:15" s="64" customFormat="1" x14ac:dyDescent="0.3">
      <c r="A78" s="156"/>
      <c r="B78" s="7" t="s">
        <v>32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24">
        <f t="shared" si="6"/>
        <v>0</v>
      </c>
    </row>
    <row r="79" spans="1:15" s="102" customFormat="1" ht="12" x14ac:dyDescent="0.25">
      <c r="A79" s="236"/>
      <c r="B79" s="99" t="s">
        <v>16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3">
        <f t="shared" si="6"/>
        <v>0</v>
      </c>
    </row>
    <row r="80" spans="1:15" s="102" customFormat="1" ht="12" x14ac:dyDescent="0.25">
      <c r="A80" s="235"/>
      <c r="B80" s="99" t="s">
        <v>29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3">
        <f>SUM(C80:N80)</f>
        <v>0</v>
      </c>
    </row>
    <row r="81" spans="1:15" s="64" customFormat="1" x14ac:dyDescent="0.3">
      <c r="A81" s="155"/>
      <c r="B81" s="5" t="s">
        <v>31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7">
        <f t="shared" si="6"/>
        <v>0</v>
      </c>
    </row>
    <row r="82" spans="1:15" s="64" customFormat="1" x14ac:dyDescent="0.3">
      <c r="A82" s="156"/>
      <c r="B82" s="7" t="s">
        <v>32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24">
        <f t="shared" si="6"/>
        <v>0</v>
      </c>
    </row>
    <row r="83" spans="1:15" s="102" customFormat="1" ht="12" x14ac:dyDescent="0.25">
      <c r="A83" s="236"/>
      <c r="B83" s="99" t="s">
        <v>16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3">
        <f t="shared" ref="O83:O110" si="7">SUM(C83:N83)</f>
        <v>0</v>
      </c>
    </row>
    <row r="84" spans="1:15" s="102" customFormat="1" ht="12" x14ac:dyDescent="0.25">
      <c r="A84" s="235"/>
      <c r="B84" s="99" t="s">
        <v>29</v>
      </c>
      <c r="C84" s="100">
        <v>0</v>
      </c>
      <c r="D84" s="100">
        <v>0</v>
      </c>
      <c r="E84" s="100">
        <v>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3">
        <f>SUM(C84:N84)</f>
        <v>0</v>
      </c>
    </row>
    <row r="85" spans="1:15" s="64" customFormat="1" x14ac:dyDescent="0.3">
      <c r="A85" s="155"/>
      <c r="B85" s="5" t="s">
        <v>31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7">
        <f t="shared" si="7"/>
        <v>0</v>
      </c>
    </row>
    <row r="86" spans="1:15" s="64" customFormat="1" x14ac:dyDescent="0.3">
      <c r="A86" s="156"/>
      <c r="B86" s="7" t="s">
        <v>32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24">
        <f t="shared" si="7"/>
        <v>0</v>
      </c>
    </row>
    <row r="87" spans="1:15" s="102" customFormat="1" ht="12" x14ac:dyDescent="0.25">
      <c r="A87" s="236"/>
      <c r="B87" s="99" t="s">
        <v>16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3">
        <f t="shared" si="7"/>
        <v>0</v>
      </c>
    </row>
    <row r="88" spans="1:15" s="102" customFormat="1" ht="12" x14ac:dyDescent="0.25">
      <c r="A88" s="235"/>
      <c r="B88" s="99" t="s">
        <v>29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3">
        <f>SUM(C88:N88)</f>
        <v>0</v>
      </c>
    </row>
    <row r="89" spans="1:15" s="64" customFormat="1" x14ac:dyDescent="0.3">
      <c r="A89" s="155"/>
      <c r="B89" s="5" t="s">
        <v>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7">
        <f t="shared" si="7"/>
        <v>0</v>
      </c>
    </row>
    <row r="90" spans="1:15" s="64" customFormat="1" x14ac:dyDescent="0.3">
      <c r="A90" s="156"/>
      <c r="B90" s="7" t="s">
        <v>32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24">
        <f t="shared" si="7"/>
        <v>0</v>
      </c>
    </row>
    <row r="91" spans="1:15" s="102" customFormat="1" ht="12" x14ac:dyDescent="0.25">
      <c r="A91" s="236"/>
      <c r="B91" s="99" t="s">
        <v>16</v>
      </c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3">
        <f t="shared" si="7"/>
        <v>0</v>
      </c>
    </row>
    <row r="92" spans="1:15" s="102" customFormat="1" ht="12" x14ac:dyDescent="0.25">
      <c r="A92" s="235"/>
      <c r="B92" s="99" t="s">
        <v>29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100">
        <v>0</v>
      </c>
      <c r="N92" s="100">
        <v>0</v>
      </c>
      <c r="O92" s="103">
        <f>SUM(C92:N92)</f>
        <v>0</v>
      </c>
    </row>
    <row r="93" spans="1:15" s="64" customFormat="1" x14ac:dyDescent="0.3">
      <c r="A93" s="155"/>
      <c r="B93" s="5" t="s">
        <v>31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7">
        <f t="shared" si="7"/>
        <v>0</v>
      </c>
    </row>
    <row r="94" spans="1:15" s="64" customFormat="1" x14ac:dyDescent="0.3">
      <c r="A94" s="156"/>
      <c r="B94" s="7" t="s">
        <v>32</v>
      </c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24">
        <f t="shared" si="7"/>
        <v>0</v>
      </c>
    </row>
    <row r="95" spans="1:15" s="102" customFormat="1" ht="12" x14ac:dyDescent="0.25">
      <c r="A95" s="236"/>
      <c r="B95" s="99" t="s">
        <v>16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3">
        <f t="shared" si="7"/>
        <v>0</v>
      </c>
    </row>
    <row r="96" spans="1:15" s="102" customFormat="1" ht="12" x14ac:dyDescent="0.25">
      <c r="A96" s="235"/>
      <c r="B96" s="99" t="s">
        <v>29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100">
        <v>0</v>
      </c>
      <c r="N96" s="100">
        <v>0</v>
      </c>
      <c r="O96" s="103">
        <f>SUM(C96:N96)</f>
        <v>0</v>
      </c>
    </row>
    <row r="97" spans="1:15" s="64" customFormat="1" x14ac:dyDescent="0.3">
      <c r="A97" s="155"/>
      <c r="B97" s="5" t="s">
        <v>31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7">
        <f t="shared" si="7"/>
        <v>0</v>
      </c>
    </row>
    <row r="98" spans="1:15" s="64" customFormat="1" x14ac:dyDescent="0.3">
      <c r="A98" s="156"/>
      <c r="B98" s="7" t="s">
        <v>32</v>
      </c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24">
        <f t="shared" si="7"/>
        <v>0</v>
      </c>
    </row>
    <row r="99" spans="1:15" s="102" customFormat="1" ht="12" x14ac:dyDescent="0.25">
      <c r="A99" s="236"/>
      <c r="B99" s="99" t="s">
        <v>16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3">
        <f t="shared" si="7"/>
        <v>0</v>
      </c>
    </row>
    <row r="100" spans="1:15" s="102" customFormat="1" ht="12" x14ac:dyDescent="0.25">
      <c r="A100" s="235"/>
      <c r="B100" s="99" t="s">
        <v>31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3">
        <f t="shared" si="7"/>
        <v>0</v>
      </c>
    </row>
    <row r="101" spans="1:15" s="64" customFormat="1" x14ac:dyDescent="0.3">
      <c r="A101" s="155"/>
      <c r="B101" s="5" t="s">
        <v>29</v>
      </c>
      <c r="C101" s="113">
        <v>0</v>
      </c>
      <c r="D101" s="113">
        <v>0</v>
      </c>
      <c r="E101" s="113">
        <v>0</v>
      </c>
      <c r="F101" s="113">
        <v>0</v>
      </c>
      <c r="G101" s="113">
        <v>0</v>
      </c>
      <c r="H101" s="113">
        <v>0</v>
      </c>
      <c r="I101" s="113">
        <v>0</v>
      </c>
      <c r="J101" s="113">
        <v>0</v>
      </c>
      <c r="K101" s="113">
        <v>0</v>
      </c>
      <c r="L101" s="113">
        <v>0</v>
      </c>
      <c r="M101" s="113">
        <v>0</v>
      </c>
      <c r="N101" s="113">
        <v>0</v>
      </c>
      <c r="O101" s="17">
        <f t="shared" si="7"/>
        <v>0</v>
      </c>
    </row>
    <row r="102" spans="1:15" s="64" customFormat="1" x14ac:dyDescent="0.3">
      <c r="A102" s="156"/>
      <c r="B102" s="7" t="s">
        <v>32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24">
        <f t="shared" si="7"/>
        <v>0</v>
      </c>
    </row>
    <row r="103" spans="1:15" s="102" customFormat="1" ht="12" x14ac:dyDescent="0.25">
      <c r="A103" s="236"/>
      <c r="B103" s="99" t="s">
        <v>16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3">
        <f t="shared" si="7"/>
        <v>0</v>
      </c>
    </row>
    <row r="104" spans="1:15" s="102" customFormat="1" ht="12" x14ac:dyDescent="0.25">
      <c r="A104" s="235"/>
      <c r="B104" s="99" t="s">
        <v>29</v>
      </c>
      <c r="C104" s="100">
        <v>0</v>
      </c>
      <c r="D104" s="100">
        <v>0</v>
      </c>
      <c r="E104" s="100">
        <v>0</v>
      </c>
      <c r="F104" s="100">
        <v>0</v>
      </c>
      <c r="G104" s="100">
        <v>0</v>
      </c>
      <c r="H104" s="100">
        <v>0</v>
      </c>
      <c r="I104" s="100">
        <v>0</v>
      </c>
      <c r="J104" s="100">
        <v>0</v>
      </c>
      <c r="K104" s="100">
        <v>0</v>
      </c>
      <c r="L104" s="100">
        <v>0</v>
      </c>
      <c r="M104" s="100">
        <v>0</v>
      </c>
      <c r="N104" s="100">
        <v>0</v>
      </c>
      <c r="O104" s="103">
        <f t="shared" si="7"/>
        <v>0</v>
      </c>
    </row>
    <row r="105" spans="1:15" s="64" customFormat="1" x14ac:dyDescent="0.3">
      <c r="A105" s="155"/>
      <c r="B105" s="5" t="s">
        <v>31</v>
      </c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7">
        <f>SUM(C105:N105)</f>
        <v>0</v>
      </c>
    </row>
    <row r="106" spans="1:15" s="64" customFormat="1" x14ac:dyDescent="0.3">
      <c r="A106" s="156"/>
      <c r="B106" s="7" t="s">
        <v>32</v>
      </c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24">
        <f t="shared" si="7"/>
        <v>0</v>
      </c>
    </row>
    <row r="107" spans="1:15" s="102" customFormat="1" ht="12" x14ac:dyDescent="0.25">
      <c r="A107" s="236"/>
      <c r="B107" s="99" t="s">
        <v>16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3">
        <f t="shared" si="7"/>
        <v>0</v>
      </c>
    </row>
    <row r="108" spans="1:15" s="102" customFormat="1" ht="12" x14ac:dyDescent="0.25">
      <c r="A108" s="235"/>
      <c r="B108" s="99" t="s">
        <v>29</v>
      </c>
      <c r="C108" s="100">
        <v>0</v>
      </c>
      <c r="D108" s="100">
        <v>0</v>
      </c>
      <c r="E108" s="100">
        <v>0</v>
      </c>
      <c r="F108" s="100">
        <v>0</v>
      </c>
      <c r="G108" s="100">
        <v>0</v>
      </c>
      <c r="H108" s="100">
        <v>0</v>
      </c>
      <c r="I108" s="100">
        <v>0</v>
      </c>
      <c r="J108" s="100">
        <v>0</v>
      </c>
      <c r="K108" s="100">
        <v>0</v>
      </c>
      <c r="L108" s="100">
        <v>0</v>
      </c>
      <c r="M108" s="100">
        <v>0</v>
      </c>
      <c r="N108" s="100">
        <v>0</v>
      </c>
      <c r="O108" s="103">
        <f t="shared" si="7"/>
        <v>0</v>
      </c>
    </row>
    <row r="109" spans="1:15" s="64" customFormat="1" x14ac:dyDescent="0.3">
      <c r="A109" s="155"/>
      <c r="B109" s="5" t="s">
        <v>31</v>
      </c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7">
        <f>SUM(C109:N109)</f>
        <v>0</v>
      </c>
    </row>
    <row r="110" spans="1:15" s="64" customFormat="1" x14ac:dyDescent="0.3">
      <c r="A110" s="156"/>
      <c r="B110" s="7" t="s">
        <v>32</v>
      </c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24">
        <f t="shared" si="7"/>
        <v>0</v>
      </c>
    </row>
    <row r="111" spans="1:15" s="102" customFormat="1" ht="12" x14ac:dyDescent="0.25">
      <c r="A111" s="243"/>
      <c r="B111" s="99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29"/>
    </row>
    <row r="112" spans="1:15" s="102" customFormat="1" ht="12" x14ac:dyDescent="0.25">
      <c r="A112" s="237"/>
    </row>
    <row r="113" spans="1:1" s="64" customFormat="1" x14ac:dyDescent="0.3">
      <c r="A113" s="159"/>
    </row>
    <row r="114" spans="1:1" s="64" customFormat="1" x14ac:dyDescent="0.3">
      <c r="A114" s="159"/>
    </row>
    <row r="115" spans="1:1" s="102" customFormat="1" ht="12" x14ac:dyDescent="0.25">
      <c r="A115" s="252"/>
    </row>
    <row r="116" spans="1:1" s="102" customFormat="1" ht="12" x14ac:dyDescent="0.25">
      <c r="A116" s="252"/>
    </row>
    <row r="117" spans="1:1" s="64" customFormat="1" x14ac:dyDescent="0.3">
      <c r="A117" s="159"/>
    </row>
    <row r="118" spans="1:1" s="64" customFormat="1" x14ac:dyDescent="0.3">
      <c r="A118" s="159"/>
    </row>
    <row r="119" spans="1:1" s="102" customFormat="1" ht="12" x14ac:dyDescent="0.25">
      <c r="A119" s="252"/>
    </row>
    <row r="120" spans="1:1" s="102" customFormat="1" ht="12" x14ac:dyDescent="0.25">
      <c r="A120" s="252"/>
    </row>
    <row r="121" spans="1:1" s="64" customFormat="1" x14ac:dyDescent="0.3">
      <c r="A121" s="159"/>
    </row>
    <row r="122" spans="1:1" s="64" customFormat="1" x14ac:dyDescent="0.3">
      <c r="A122" s="159"/>
    </row>
    <row r="123" spans="1:1" s="102" customFormat="1" ht="12" x14ac:dyDescent="0.25">
      <c r="A123" s="252"/>
    </row>
    <row r="124" spans="1:1" s="102" customFormat="1" ht="12" x14ac:dyDescent="0.25">
      <c r="A124" s="252"/>
    </row>
    <row r="125" spans="1:1" s="64" customFormat="1" ht="11.4" customHeight="1" x14ac:dyDescent="0.3">
      <c r="A125" s="159"/>
    </row>
    <row r="126" spans="1:1" s="64" customFormat="1" x14ac:dyDescent="0.3">
      <c r="A126" s="159"/>
    </row>
    <row r="127" spans="1:1" s="102" customFormat="1" ht="12" x14ac:dyDescent="0.25">
      <c r="A127" s="252"/>
    </row>
    <row r="128" spans="1:1" s="102" customFormat="1" ht="12" x14ac:dyDescent="0.25">
      <c r="A128" s="252"/>
    </row>
    <row r="129" spans="1:1" s="64" customFormat="1" x14ac:dyDescent="0.3">
      <c r="A129" s="159"/>
    </row>
    <row r="130" spans="1:1" s="64" customFormat="1" x14ac:dyDescent="0.3">
      <c r="A130" s="159"/>
    </row>
    <row r="131" spans="1:1" s="102" customFormat="1" ht="12" x14ac:dyDescent="0.25">
      <c r="A131" s="252"/>
    </row>
    <row r="132" spans="1:1" s="102" customFormat="1" ht="12" x14ac:dyDescent="0.25">
      <c r="A132" s="252"/>
    </row>
    <row r="133" spans="1:1" s="64" customFormat="1" x14ac:dyDescent="0.3">
      <c r="A133" s="159"/>
    </row>
    <row r="134" spans="1:1" s="64" customFormat="1" x14ac:dyDescent="0.3">
      <c r="A134" s="159"/>
    </row>
    <row r="135" spans="1:1" s="102" customFormat="1" ht="12" x14ac:dyDescent="0.25">
      <c r="A135" s="252"/>
    </row>
    <row r="136" spans="1:1" s="102" customFormat="1" ht="12" x14ac:dyDescent="0.25">
      <c r="A136" s="252"/>
    </row>
    <row r="137" spans="1:1" s="64" customFormat="1" x14ac:dyDescent="0.3">
      <c r="A137" s="159"/>
    </row>
    <row r="138" spans="1:1" s="64" customFormat="1" x14ac:dyDescent="0.3">
      <c r="A138" s="159"/>
    </row>
    <row r="139" spans="1:1" s="102" customFormat="1" ht="12" x14ac:dyDescent="0.25">
      <c r="A139" s="252"/>
    </row>
    <row r="140" spans="1:1" s="102" customFormat="1" ht="12" x14ac:dyDescent="0.25">
      <c r="A140" s="252"/>
    </row>
    <row r="141" spans="1:1" s="64" customFormat="1" x14ac:dyDescent="0.3">
      <c r="A141" s="159"/>
    </row>
    <row r="142" spans="1:1" s="64" customFormat="1" x14ac:dyDescent="0.3">
      <c r="A142" s="159"/>
    </row>
    <row r="143" spans="1:1" s="102" customFormat="1" ht="12" x14ac:dyDescent="0.25">
      <c r="A143" s="252"/>
    </row>
    <row r="144" spans="1:1" s="102" customFormat="1" ht="12" x14ac:dyDescent="0.25">
      <c r="A144" s="252"/>
    </row>
    <row r="145" spans="1:1" s="64" customFormat="1" x14ac:dyDescent="0.3">
      <c r="A145" s="159"/>
    </row>
    <row r="146" spans="1:1" s="64" customFormat="1" x14ac:dyDescent="0.3">
      <c r="A146" s="159"/>
    </row>
    <row r="147" spans="1:1" s="102" customFormat="1" ht="12" x14ac:dyDescent="0.25">
      <c r="A147" s="252"/>
    </row>
    <row r="148" spans="1:1" s="102" customFormat="1" ht="12" x14ac:dyDescent="0.25">
      <c r="A148" s="252"/>
    </row>
    <row r="149" spans="1:1" s="64" customFormat="1" x14ac:dyDescent="0.3">
      <c r="A149" s="159"/>
    </row>
    <row r="150" spans="1:1" s="64" customFormat="1" x14ac:dyDescent="0.3">
      <c r="A150" s="159"/>
    </row>
    <row r="151" spans="1:1" s="102" customFormat="1" ht="12" x14ac:dyDescent="0.25">
      <c r="A151" s="252"/>
    </row>
    <row r="152" spans="1:1" s="102" customFormat="1" ht="12" x14ac:dyDescent="0.25">
      <c r="A152" s="252"/>
    </row>
    <row r="153" spans="1:1" s="64" customFormat="1" x14ac:dyDescent="0.3">
      <c r="A153" s="159"/>
    </row>
    <row r="154" spans="1:1" s="64" customFormat="1" x14ac:dyDescent="0.3">
      <c r="A154" s="159"/>
    </row>
    <row r="155" spans="1:1" s="102" customFormat="1" ht="12" x14ac:dyDescent="0.25">
      <c r="A155" s="252"/>
    </row>
    <row r="156" spans="1:1" s="102" customFormat="1" ht="12" x14ac:dyDescent="0.25">
      <c r="A156" s="252"/>
    </row>
    <row r="157" spans="1:1" s="64" customFormat="1" x14ac:dyDescent="0.3">
      <c r="A157" s="159"/>
    </row>
    <row r="158" spans="1:1" s="64" customFormat="1" x14ac:dyDescent="0.3">
      <c r="A158" s="159"/>
    </row>
    <row r="159" spans="1:1" s="102" customFormat="1" ht="12" x14ac:dyDescent="0.25">
      <c r="A159" s="252"/>
    </row>
    <row r="160" spans="1:1" s="102" customFormat="1" ht="12" x14ac:dyDescent="0.25">
      <c r="A160" s="252"/>
    </row>
    <row r="161" spans="1:1" s="64" customFormat="1" x14ac:dyDescent="0.3">
      <c r="A161" s="159"/>
    </row>
    <row r="162" spans="1:1" s="64" customFormat="1" x14ac:dyDescent="0.3">
      <c r="A162" s="159"/>
    </row>
    <row r="163" spans="1:1" s="102" customFormat="1" ht="12" x14ac:dyDescent="0.25">
      <c r="A163" s="252"/>
    </row>
    <row r="164" spans="1:1" s="102" customFormat="1" ht="12" x14ac:dyDescent="0.25">
      <c r="A164" s="252"/>
    </row>
    <row r="165" spans="1:1" s="64" customFormat="1" x14ac:dyDescent="0.3">
      <c r="A165" s="159"/>
    </row>
    <row r="166" spans="1:1" s="64" customFormat="1" x14ac:dyDescent="0.3">
      <c r="A166" s="159"/>
    </row>
    <row r="167" spans="1:1" s="102" customFormat="1" ht="12" x14ac:dyDescent="0.25">
      <c r="A167" s="252"/>
    </row>
    <row r="168" spans="1:1" s="102" customFormat="1" ht="12" x14ac:dyDescent="0.25">
      <c r="A168" s="252"/>
    </row>
    <row r="169" spans="1:1" s="64" customFormat="1" x14ac:dyDescent="0.3">
      <c r="A169" s="159"/>
    </row>
    <row r="170" spans="1:1" s="64" customFormat="1" x14ac:dyDescent="0.3">
      <c r="A170" s="159"/>
    </row>
    <row r="171" spans="1:1" s="102" customFormat="1" ht="12" x14ac:dyDescent="0.25">
      <c r="A171" s="252"/>
    </row>
    <row r="172" spans="1:1" s="102" customFormat="1" ht="12" x14ac:dyDescent="0.25">
      <c r="A172" s="252"/>
    </row>
    <row r="173" spans="1:1" s="64" customFormat="1" x14ac:dyDescent="0.3">
      <c r="A173" s="159"/>
    </row>
    <row r="174" spans="1:1" s="64" customFormat="1" x14ac:dyDescent="0.3">
      <c r="A174" s="159"/>
    </row>
    <row r="175" spans="1:1" s="102" customFormat="1" ht="12" x14ac:dyDescent="0.25">
      <c r="A175" s="252"/>
    </row>
    <row r="176" spans="1:1" s="102" customFormat="1" ht="12" x14ac:dyDescent="0.25">
      <c r="A176" s="252"/>
    </row>
    <row r="177" spans="1:1" s="64" customFormat="1" x14ac:dyDescent="0.3">
      <c r="A177" s="159"/>
    </row>
    <row r="178" spans="1:1" s="64" customFormat="1" x14ac:dyDescent="0.3">
      <c r="A178" s="159"/>
    </row>
    <row r="179" spans="1:1" s="102" customFormat="1" ht="12" x14ac:dyDescent="0.25">
      <c r="A179" s="252"/>
    </row>
    <row r="180" spans="1:1" s="102" customFormat="1" ht="12" x14ac:dyDescent="0.25">
      <c r="A180" s="252"/>
    </row>
    <row r="181" spans="1:1" s="64" customFormat="1" x14ac:dyDescent="0.3">
      <c r="A181" s="159"/>
    </row>
    <row r="182" spans="1:1" s="64" customFormat="1" x14ac:dyDescent="0.3">
      <c r="A182" s="159"/>
    </row>
    <row r="183" spans="1:1" s="102" customFormat="1" ht="12" x14ac:dyDescent="0.25">
      <c r="A183" s="252"/>
    </row>
    <row r="184" spans="1:1" s="102" customFormat="1" ht="12" x14ac:dyDescent="0.25">
      <c r="A184" s="252"/>
    </row>
    <row r="185" spans="1:1" s="64" customFormat="1" x14ac:dyDescent="0.3">
      <c r="A185" s="159"/>
    </row>
    <row r="186" spans="1:1" s="64" customFormat="1" x14ac:dyDescent="0.3">
      <c r="A186" s="159"/>
    </row>
    <row r="187" spans="1:1" s="102" customFormat="1" ht="12" x14ac:dyDescent="0.25">
      <c r="A187" s="252"/>
    </row>
    <row r="188" spans="1:1" s="102" customFormat="1" ht="12" x14ac:dyDescent="0.25">
      <c r="A188" s="252"/>
    </row>
    <row r="189" spans="1:1" s="64" customFormat="1" x14ac:dyDescent="0.3">
      <c r="A189" s="159"/>
    </row>
    <row r="190" spans="1:1" s="64" customFormat="1" x14ac:dyDescent="0.3">
      <c r="A190" s="159"/>
    </row>
    <row r="191" spans="1:1" s="102" customFormat="1" ht="12" x14ac:dyDescent="0.25">
      <c r="A191" s="252"/>
    </row>
    <row r="192" spans="1:1" s="102" customFormat="1" ht="12" x14ac:dyDescent="0.25">
      <c r="A192" s="252"/>
    </row>
    <row r="193" spans="1:1" s="64" customFormat="1" x14ac:dyDescent="0.3">
      <c r="A193" s="159"/>
    </row>
    <row r="194" spans="1:1" s="64" customFormat="1" x14ac:dyDescent="0.3">
      <c r="A194" s="159"/>
    </row>
    <row r="195" spans="1:1" s="102" customFormat="1" ht="12" x14ac:dyDescent="0.25">
      <c r="A195" s="252"/>
    </row>
    <row r="196" spans="1:1" s="102" customFormat="1" ht="12" x14ac:dyDescent="0.25">
      <c r="A196" s="252"/>
    </row>
    <row r="197" spans="1:1" s="64" customFormat="1" x14ac:dyDescent="0.3">
      <c r="A197" s="159"/>
    </row>
    <row r="198" spans="1:1" s="64" customFormat="1" x14ac:dyDescent="0.3">
      <c r="A198" s="159"/>
    </row>
    <row r="199" spans="1:1" s="102" customFormat="1" ht="12" x14ac:dyDescent="0.25">
      <c r="A199" s="252"/>
    </row>
    <row r="200" spans="1:1" s="102" customFormat="1" ht="12" x14ac:dyDescent="0.25">
      <c r="A200" s="252"/>
    </row>
    <row r="201" spans="1:1" s="64" customFormat="1" x14ac:dyDescent="0.3">
      <c r="A201" s="159"/>
    </row>
    <row r="202" spans="1:1" s="64" customFormat="1" x14ac:dyDescent="0.3">
      <c r="A202" s="159"/>
    </row>
    <row r="203" spans="1:1" s="102" customFormat="1" ht="12" x14ac:dyDescent="0.25">
      <c r="A203" s="252"/>
    </row>
    <row r="204" spans="1:1" s="102" customFormat="1" ht="12" x14ac:dyDescent="0.25">
      <c r="A204" s="252"/>
    </row>
    <row r="205" spans="1:1" s="64" customFormat="1" x14ac:dyDescent="0.3">
      <c r="A205" s="159"/>
    </row>
    <row r="206" spans="1:1" s="64" customFormat="1" x14ac:dyDescent="0.3">
      <c r="A206" s="159"/>
    </row>
    <row r="207" spans="1:1" s="102" customFormat="1" ht="12" x14ac:dyDescent="0.25">
      <c r="A207" s="252"/>
    </row>
    <row r="208" spans="1:1" s="102" customFormat="1" ht="12" x14ac:dyDescent="0.25">
      <c r="A208" s="252"/>
    </row>
    <row r="209" spans="1:1" s="64" customFormat="1" x14ac:dyDescent="0.3">
      <c r="A209" s="159"/>
    </row>
    <row r="210" spans="1:1" s="64" customFormat="1" x14ac:dyDescent="0.3">
      <c r="A210" s="159"/>
    </row>
    <row r="211" spans="1:1" s="102" customFormat="1" ht="12" x14ac:dyDescent="0.25">
      <c r="A211" s="252"/>
    </row>
    <row r="212" spans="1:1" s="102" customFormat="1" ht="12" x14ac:dyDescent="0.25">
      <c r="A212" s="252"/>
    </row>
    <row r="213" spans="1:1" s="64" customFormat="1" x14ac:dyDescent="0.3">
      <c r="A213" s="159"/>
    </row>
    <row r="214" spans="1:1" s="64" customFormat="1" x14ac:dyDescent="0.3">
      <c r="A214" s="159"/>
    </row>
    <row r="215" spans="1:1" s="102" customFormat="1" ht="12" x14ac:dyDescent="0.25">
      <c r="A215" s="252"/>
    </row>
    <row r="216" spans="1:1" s="102" customFormat="1" ht="12" x14ac:dyDescent="0.25">
      <c r="A216" s="252"/>
    </row>
    <row r="217" spans="1:1" s="64" customFormat="1" x14ac:dyDescent="0.3">
      <c r="A217" s="107"/>
    </row>
    <row r="218" spans="1:1" s="64" customFormat="1" x14ac:dyDescent="0.3">
      <c r="A218" s="107"/>
    </row>
  </sheetData>
  <mergeCells count="54">
    <mergeCell ref="A215:A216"/>
    <mergeCell ref="A3:A6"/>
    <mergeCell ref="A195:A196"/>
    <mergeCell ref="A199:A200"/>
    <mergeCell ref="A203:A204"/>
    <mergeCell ref="A207:A208"/>
    <mergeCell ref="A211:A212"/>
    <mergeCell ref="A175:A176"/>
    <mergeCell ref="A179:A180"/>
    <mergeCell ref="A183:A184"/>
    <mergeCell ref="A187:A188"/>
    <mergeCell ref="A191:A192"/>
    <mergeCell ref="A155:A156"/>
    <mergeCell ref="A159:A160"/>
    <mergeCell ref="A163:A164"/>
    <mergeCell ref="A167:A168"/>
    <mergeCell ref="A131:A132"/>
    <mergeCell ref="A171:A172"/>
    <mergeCell ref="A135:A136"/>
    <mergeCell ref="A139:A140"/>
    <mergeCell ref="A143:A144"/>
    <mergeCell ref="A147:A148"/>
    <mergeCell ref="A151:A152"/>
    <mergeCell ref="A111:A112"/>
    <mergeCell ref="A115:A116"/>
    <mergeCell ref="A119:A120"/>
    <mergeCell ref="A123:A124"/>
    <mergeCell ref="A127:A128"/>
    <mergeCell ref="A99:A100"/>
    <mergeCell ref="A103:A104"/>
    <mergeCell ref="A107:A108"/>
    <mergeCell ref="A91:A92"/>
    <mergeCell ref="A87:A88"/>
    <mergeCell ref="A55:A56"/>
    <mergeCell ref="A59:A60"/>
    <mergeCell ref="A63:A64"/>
    <mergeCell ref="A67:A68"/>
    <mergeCell ref="A95:A96"/>
    <mergeCell ref="A1:O1"/>
    <mergeCell ref="A71:A72"/>
    <mergeCell ref="A75:A76"/>
    <mergeCell ref="A79:A80"/>
    <mergeCell ref="A83:A84"/>
    <mergeCell ref="A11:A12"/>
    <mergeCell ref="A15:A16"/>
    <mergeCell ref="A19:A20"/>
    <mergeCell ref="A23:A24"/>
    <mergeCell ref="A27:A28"/>
    <mergeCell ref="A31:A32"/>
    <mergeCell ref="A35:A36"/>
    <mergeCell ref="A39:A40"/>
    <mergeCell ref="A43:A44"/>
    <mergeCell ref="A47:A48"/>
    <mergeCell ref="A51:A5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205B-733D-4999-B3DE-2186951C4A68}">
  <sheetPr codeName="Sheet26"/>
  <dimension ref="A1:S173"/>
  <sheetViews>
    <sheetView workbookViewId="0">
      <pane xSplit="2" ySplit="1" topLeftCell="AA107" activePane="bottomRight" state="frozen"/>
      <selection pane="topRight" activeCell="C6" sqref="C6:N6"/>
      <selection pane="bottomLeft" activeCell="C6" sqref="C6:N6"/>
      <selection pane="bottomRight" activeCell="R137" sqref="R137"/>
    </sheetView>
  </sheetViews>
  <sheetFormatPr defaultRowHeight="14.4" x14ac:dyDescent="0.3"/>
  <cols>
    <col min="1" max="1" width="30.5546875" customWidth="1"/>
    <col min="2" max="2" width="22.88671875" bestFit="1" customWidth="1"/>
    <col min="3" max="14" width="14.44140625" customWidth="1"/>
    <col min="15" max="15" width="16.109375" customWidth="1"/>
    <col min="17" max="17" width="26.5546875" bestFit="1" customWidth="1"/>
    <col min="18" max="18" width="27.5546875" customWidth="1"/>
  </cols>
  <sheetData>
    <row r="1" spans="1:19" x14ac:dyDescent="0.3">
      <c r="A1" s="230" t="s">
        <v>0</v>
      </c>
      <c r="B1" s="230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9" t="s">
        <v>13</v>
      </c>
      <c r="Q1" t="s">
        <v>14</v>
      </c>
    </row>
    <row r="2" spans="1:19" x14ac:dyDescent="0.3">
      <c r="A2" s="260" t="s">
        <v>15</v>
      </c>
      <c r="B2" s="2" t="s">
        <v>16</v>
      </c>
      <c r="C2" s="10">
        <f>SUMIFS(C17:C163,$B$17:$B$163,"Actual 2024")</f>
        <v>276395.89</v>
      </c>
      <c r="D2" s="10">
        <f t="shared" ref="D2:M2" si="0">SUMIFS(D17:D163,$B$17:$B$163,"Actual 2024")</f>
        <v>265891.91000000003</v>
      </c>
      <c r="E2" s="10">
        <f t="shared" si="0"/>
        <v>318342.65999999997</v>
      </c>
      <c r="F2" s="10">
        <f>SUMIFS(F17:F163,$B$17:$B$163,"Actual 2024")</f>
        <v>332878.99000000005</v>
      </c>
      <c r="G2" s="10">
        <f t="shared" si="0"/>
        <v>348416.69</v>
      </c>
      <c r="H2" s="10">
        <f t="shared" si="0"/>
        <v>274374.53999999992</v>
      </c>
      <c r="I2" s="10">
        <f t="shared" si="0"/>
        <v>299083.15999999997</v>
      </c>
      <c r="J2" s="10">
        <f t="shared" si="0"/>
        <v>299928.01999999996</v>
      </c>
      <c r="K2" s="10">
        <f t="shared" si="0"/>
        <v>342022.56999999995</v>
      </c>
      <c r="L2" s="10">
        <f t="shared" si="0"/>
        <v>324898.73999999987</v>
      </c>
      <c r="M2" s="10">
        <f t="shared" si="0"/>
        <v>325486.21999999997</v>
      </c>
      <c r="N2" s="10">
        <f>SUMIFS(N17:N163,$B$17:$B$163,"Actual 2024")</f>
        <v>295673.57999999996</v>
      </c>
      <c r="O2" s="30">
        <f>SUM(C2:N2)</f>
        <v>3703392.9699999997</v>
      </c>
    </row>
    <row r="3" spans="1:19" x14ac:dyDescent="0.3">
      <c r="A3" s="261"/>
      <c r="B3" s="2" t="s">
        <v>18</v>
      </c>
      <c r="C3" s="10">
        <f>SUMIFS(C17:C163,$B$17:$B$163,"Budget")</f>
        <v>343948.14999999997</v>
      </c>
      <c r="D3" s="10">
        <f t="shared" ref="D3:M3" si="1">SUMIFS(D17:D163,$B$17:$B$163,"Budget")</f>
        <v>389470.60000000003</v>
      </c>
      <c r="E3" s="10">
        <f t="shared" si="1"/>
        <v>369659.20999999996</v>
      </c>
      <c r="F3" s="10">
        <f t="shared" si="1"/>
        <v>337869.28</v>
      </c>
      <c r="G3" s="10">
        <f t="shared" si="1"/>
        <v>349380.65</v>
      </c>
      <c r="H3" s="10">
        <f t="shared" si="1"/>
        <v>323922</v>
      </c>
      <c r="I3" s="10">
        <f t="shared" si="1"/>
        <v>299871.66000000003</v>
      </c>
      <c r="J3" s="10">
        <f t="shared" si="1"/>
        <v>315111.09999999998</v>
      </c>
      <c r="K3" s="10">
        <f t="shared" si="1"/>
        <v>366615.42000000004</v>
      </c>
      <c r="L3" s="10">
        <f t="shared" si="1"/>
        <v>312007.58999999997</v>
      </c>
      <c r="M3" s="10">
        <f t="shared" si="1"/>
        <v>306270.67000000004</v>
      </c>
      <c r="N3" s="10">
        <f>SUMIFS(N17:N163,$B$17:$B$163,"Budget")</f>
        <v>319183.58</v>
      </c>
      <c r="O3" s="30">
        <f t="shared" ref="O3:O6" si="2">SUM(C3:N3)</f>
        <v>4033309.91</v>
      </c>
    </row>
    <row r="4" spans="1:19" x14ac:dyDescent="0.3">
      <c r="A4" s="261"/>
      <c r="B4" s="3" t="s">
        <v>17</v>
      </c>
      <c r="C4" s="11">
        <f>SUMIFS(C17:C163,$B$17:$B$163,"Estimated")</f>
        <v>386832.24000000005</v>
      </c>
      <c r="D4" s="11">
        <f t="shared" ref="D4:M4" si="3">SUMIFS(D17:D163,$B$17:$B$163,"Estimated")</f>
        <v>390190.88</v>
      </c>
      <c r="E4" s="11">
        <f t="shared" si="3"/>
        <v>370736.10000000003</v>
      </c>
      <c r="F4" s="11">
        <f t="shared" si="3"/>
        <v>341182.5</v>
      </c>
      <c r="G4" s="11">
        <f t="shared" si="3"/>
        <v>361749.72000000003</v>
      </c>
      <c r="H4" s="11">
        <f t="shared" si="3"/>
        <v>330303.67000000004</v>
      </c>
      <c r="I4" s="11">
        <f t="shared" si="3"/>
        <v>298664.66000000003</v>
      </c>
      <c r="J4" s="11">
        <f t="shared" si="3"/>
        <v>327027.09000000003</v>
      </c>
      <c r="K4" s="11">
        <f t="shared" si="3"/>
        <v>371037.05</v>
      </c>
      <c r="L4" s="11">
        <f t="shared" si="3"/>
        <v>317977.02</v>
      </c>
      <c r="M4" s="11">
        <f t="shared" si="3"/>
        <v>314830.34000000003</v>
      </c>
      <c r="N4" s="11">
        <f>SUMIFS(N17:N163,$B$17:$B$163,"Estimated")</f>
        <v>321172.34000000003</v>
      </c>
      <c r="O4" s="30">
        <f t="shared" si="2"/>
        <v>4131703.61</v>
      </c>
    </row>
    <row r="5" spans="1:19" x14ac:dyDescent="0.3">
      <c r="A5" s="261"/>
      <c r="B5" s="2" t="s">
        <v>19</v>
      </c>
      <c r="C5" s="10">
        <f>SUMIFS(C17:C173,$B$17:$B$173,"Actual")</f>
        <v>356907.3</v>
      </c>
      <c r="D5" s="10">
        <f t="shared" ref="D5:M5" si="4">SUMIFS(D17:D173,$B$17:$B$173,"Actual")</f>
        <v>344891.48000000004</v>
      </c>
      <c r="E5" s="10">
        <f t="shared" si="4"/>
        <v>403531.81999999995</v>
      </c>
      <c r="F5" s="10">
        <f t="shared" si="4"/>
        <v>381063.99</v>
      </c>
      <c r="G5" s="10">
        <f t="shared" si="4"/>
        <v>408641.75</v>
      </c>
      <c r="H5" s="10">
        <f t="shared" si="4"/>
        <v>384046.38999999996</v>
      </c>
      <c r="I5" s="10">
        <f t="shared" si="4"/>
        <v>392927.52</v>
      </c>
      <c r="J5" s="10">
        <f t="shared" si="4"/>
        <v>400678.58000000007</v>
      </c>
      <c r="K5" s="10">
        <f t="shared" si="4"/>
        <v>315723.39999999991</v>
      </c>
      <c r="L5" s="10">
        <f t="shared" si="4"/>
        <v>240948.19000000003</v>
      </c>
      <c r="M5" s="10">
        <f t="shared" si="4"/>
        <v>6976.78</v>
      </c>
      <c r="N5" s="10">
        <f>SUMIFS(N17:N173,$B$17:$B$173,"Actual")</f>
        <v>0</v>
      </c>
      <c r="O5" s="30">
        <f t="shared" si="2"/>
        <v>3636337.1999999997</v>
      </c>
      <c r="Q5" s="33">
        <f>O4-O2</f>
        <v>428310.64000000013</v>
      </c>
      <c r="R5" t="s">
        <v>20</v>
      </c>
      <c r="S5" s="35">
        <f>Q5/O2</f>
        <v>0.11565357591527754</v>
      </c>
    </row>
    <row r="6" spans="1:19" x14ac:dyDescent="0.3">
      <c r="A6" s="2"/>
      <c r="B6" s="2" t="s">
        <v>446</v>
      </c>
      <c r="C6" s="28">
        <f>C3-C5</f>
        <v>-12959.150000000023</v>
      </c>
      <c r="D6" s="28">
        <f t="shared" ref="D6:L6" si="5">D3-D5</f>
        <v>44579.119999999995</v>
      </c>
      <c r="E6" s="28">
        <f t="shared" si="5"/>
        <v>-33872.609999999986</v>
      </c>
      <c r="F6" s="28">
        <f t="shared" si="5"/>
        <v>-43194.709999999963</v>
      </c>
      <c r="G6" s="28">
        <f t="shared" si="5"/>
        <v>-59261.099999999977</v>
      </c>
      <c r="H6" s="28">
        <f t="shared" si="5"/>
        <v>-60124.389999999956</v>
      </c>
      <c r="I6" s="28">
        <f t="shared" si="5"/>
        <v>-93055.859999999986</v>
      </c>
      <c r="J6" s="28">
        <f t="shared" si="5"/>
        <v>-85567.480000000098</v>
      </c>
      <c r="K6" s="28">
        <f t="shared" si="5"/>
        <v>50892.020000000135</v>
      </c>
      <c r="L6" s="28">
        <f t="shared" si="5"/>
        <v>71059.399999999936</v>
      </c>
      <c r="M6" s="28">
        <f>M3-M5</f>
        <v>299293.89</v>
      </c>
      <c r="N6" s="28">
        <f t="shared" ref="N6" si="6">N3-N5</f>
        <v>319183.58</v>
      </c>
      <c r="O6" s="30">
        <f t="shared" si="2"/>
        <v>396972.71000000008</v>
      </c>
      <c r="Q6" s="34">
        <f>Q28</f>
        <v>65960.050000000047</v>
      </c>
      <c r="R6" t="s">
        <v>22</v>
      </c>
    </row>
    <row r="7" spans="1:19" x14ac:dyDescent="0.3">
      <c r="A7" s="2"/>
      <c r="B7" s="3" t="s">
        <v>23</v>
      </c>
      <c r="C7" s="3">
        <f>SUM($C5:C5)</f>
        <v>356907.3</v>
      </c>
      <c r="D7" s="3">
        <f>SUM($C5:D5)</f>
        <v>701798.78</v>
      </c>
      <c r="E7" s="3">
        <f>SUM($C5:E5)</f>
        <v>1105330.6000000001</v>
      </c>
      <c r="F7" s="3">
        <f>SUM($C5:F5)</f>
        <v>1486394.59</v>
      </c>
      <c r="G7" s="3">
        <f>SUM($C5:G5)</f>
        <v>1895036.34</v>
      </c>
      <c r="H7" s="3">
        <f>SUM($C5:H5)</f>
        <v>2279082.73</v>
      </c>
      <c r="I7" s="3">
        <f>SUM($C5:I5)</f>
        <v>2672010.25</v>
      </c>
      <c r="J7" s="3">
        <f>SUM($C5:J5)</f>
        <v>3072688.83</v>
      </c>
      <c r="K7" s="3">
        <f>SUM($C5:K5)</f>
        <v>3388412.23</v>
      </c>
      <c r="L7" s="3">
        <f>SUM($C5:L5)</f>
        <v>3629360.42</v>
      </c>
      <c r="M7" s="3">
        <f>SUM($C5:M5)</f>
        <v>3636337.1999999997</v>
      </c>
      <c r="N7" s="3">
        <f>SUM($C5:N5)</f>
        <v>3636337.1999999997</v>
      </c>
      <c r="O7" s="31">
        <f>O15</f>
        <v>0</v>
      </c>
      <c r="Q7" s="33">
        <f>Q5-Q6</f>
        <v>362350.59000000008</v>
      </c>
      <c r="R7" t="s">
        <v>24</v>
      </c>
      <c r="S7" s="35">
        <f>Q7/O2</f>
        <v>9.7842868130734742E-2</v>
      </c>
    </row>
    <row r="8" spans="1:19" x14ac:dyDescent="0.3">
      <c r="A8" s="2"/>
      <c r="B8" s="3" t="s">
        <v>25</v>
      </c>
      <c r="C8" s="3">
        <f>C3-C7</f>
        <v>-12959.150000000023</v>
      </c>
      <c r="D8" s="3">
        <f>SUM($C3:D3)-D7</f>
        <v>31619.969999999972</v>
      </c>
      <c r="E8" s="3">
        <f>SUM($C3:E3)-E7</f>
        <v>-2252.6400000001304</v>
      </c>
      <c r="F8" s="3">
        <f>SUM($C3:F3)-F7</f>
        <v>-45447.350000000093</v>
      </c>
      <c r="G8" s="3">
        <f>SUM($C3:G3)-G7</f>
        <v>-104708.44999999995</v>
      </c>
      <c r="H8" s="3">
        <f>SUM($C3:H3)-H7</f>
        <v>-164832.83999999985</v>
      </c>
      <c r="I8" s="3"/>
      <c r="J8" s="3"/>
      <c r="K8" s="3"/>
      <c r="L8" s="3"/>
      <c r="M8" s="3"/>
      <c r="N8" s="3"/>
      <c r="O8" s="31"/>
      <c r="Q8" s="33"/>
      <c r="S8" s="35"/>
    </row>
    <row r="9" spans="1:19" x14ac:dyDescent="0.3">
      <c r="O9" s="27"/>
    </row>
    <row r="10" spans="1:19" x14ac:dyDescent="0.3">
      <c r="A10" s="260" t="s">
        <v>26</v>
      </c>
      <c r="B10" s="2" t="s">
        <v>16</v>
      </c>
      <c r="C10" s="10">
        <f t="shared" ref="C10:N10" si="7">SUMIFS(C17:C163,$B$17:$B$163,"Actual 2024")</f>
        <v>276395.89</v>
      </c>
      <c r="D10" s="10">
        <f t="shared" si="7"/>
        <v>265891.91000000003</v>
      </c>
      <c r="E10" s="10">
        <f t="shared" si="7"/>
        <v>318342.65999999997</v>
      </c>
      <c r="F10" s="10">
        <f t="shared" si="7"/>
        <v>332878.99000000005</v>
      </c>
      <c r="G10" s="10">
        <f t="shared" si="7"/>
        <v>348416.69</v>
      </c>
      <c r="H10" s="10">
        <f t="shared" si="7"/>
        <v>274374.53999999992</v>
      </c>
      <c r="I10" s="10">
        <f t="shared" si="7"/>
        <v>299083.15999999997</v>
      </c>
      <c r="J10" s="10">
        <f t="shared" si="7"/>
        <v>299928.01999999996</v>
      </c>
      <c r="K10" s="10">
        <f t="shared" si="7"/>
        <v>342022.56999999995</v>
      </c>
      <c r="L10" s="10">
        <f t="shared" si="7"/>
        <v>324898.73999999987</v>
      </c>
      <c r="M10" s="10">
        <f t="shared" si="7"/>
        <v>325486.21999999997</v>
      </c>
      <c r="N10" s="10">
        <f t="shared" si="7"/>
        <v>295673.57999999996</v>
      </c>
      <c r="O10" s="30">
        <f>SUM(C10:N10)</f>
        <v>3703392.9699999997</v>
      </c>
    </row>
    <row r="11" spans="1:19" x14ac:dyDescent="0.3">
      <c r="A11" s="261"/>
      <c r="B11" s="2" t="s">
        <v>18</v>
      </c>
      <c r="C11" s="10">
        <f t="shared" ref="C11:N11" si="8">SUMIFS(C17:C163,$B$17:$B$163,"Budget")</f>
        <v>343948.14999999997</v>
      </c>
      <c r="D11" s="10">
        <f t="shared" si="8"/>
        <v>389470.60000000003</v>
      </c>
      <c r="E11" s="10">
        <f t="shared" si="8"/>
        <v>369659.20999999996</v>
      </c>
      <c r="F11" s="10">
        <f t="shared" si="8"/>
        <v>337869.28</v>
      </c>
      <c r="G11" s="10">
        <f t="shared" si="8"/>
        <v>349380.65</v>
      </c>
      <c r="H11" s="10">
        <f t="shared" si="8"/>
        <v>323922</v>
      </c>
      <c r="I11" s="10">
        <f t="shared" si="8"/>
        <v>299871.66000000003</v>
      </c>
      <c r="J11" s="10">
        <f t="shared" si="8"/>
        <v>315111.09999999998</v>
      </c>
      <c r="K11" s="10">
        <f t="shared" si="8"/>
        <v>366615.42000000004</v>
      </c>
      <c r="L11" s="10">
        <f t="shared" si="8"/>
        <v>312007.58999999997</v>
      </c>
      <c r="M11" s="10">
        <f t="shared" si="8"/>
        <v>306270.67000000004</v>
      </c>
      <c r="N11" s="10">
        <f t="shared" si="8"/>
        <v>319183.58</v>
      </c>
      <c r="O11" s="30">
        <f t="shared" ref="O11:O14" si="9">SUM(C11:N11)</f>
        <v>4033309.91</v>
      </c>
    </row>
    <row r="12" spans="1:19" x14ac:dyDescent="0.3">
      <c r="A12" s="261"/>
      <c r="B12" s="3" t="s">
        <v>27</v>
      </c>
      <c r="C12" s="11">
        <f t="shared" ref="C12:N12" si="10">SUMIFS(C17:C163,$B$17:$B$163,"Estimated")</f>
        <v>386832.24000000005</v>
      </c>
      <c r="D12" s="11">
        <f t="shared" si="10"/>
        <v>390190.88</v>
      </c>
      <c r="E12" s="11">
        <f t="shared" si="10"/>
        <v>370736.10000000003</v>
      </c>
      <c r="F12" s="11">
        <f t="shared" si="10"/>
        <v>341182.5</v>
      </c>
      <c r="G12" s="11">
        <f t="shared" si="10"/>
        <v>361749.72000000003</v>
      </c>
      <c r="H12" s="11">
        <f t="shared" si="10"/>
        <v>330303.67000000004</v>
      </c>
      <c r="I12" s="11">
        <f t="shared" si="10"/>
        <v>298664.66000000003</v>
      </c>
      <c r="J12" s="11">
        <f t="shared" si="10"/>
        <v>327027.09000000003</v>
      </c>
      <c r="K12" s="11">
        <f t="shared" si="10"/>
        <v>371037.05</v>
      </c>
      <c r="L12" s="11">
        <f t="shared" si="10"/>
        <v>317977.02</v>
      </c>
      <c r="M12" s="11">
        <f t="shared" si="10"/>
        <v>314830.34000000003</v>
      </c>
      <c r="N12" s="11">
        <f t="shared" si="10"/>
        <v>321172.34000000003</v>
      </c>
      <c r="O12" s="30">
        <f t="shared" si="9"/>
        <v>4131703.61</v>
      </c>
    </row>
    <row r="13" spans="1:19" x14ac:dyDescent="0.3">
      <c r="A13" s="261"/>
      <c r="B13" s="2" t="s">
        <v>19</v>
      </c>
      <c r="C13" s="10">
        <f t="shared" ref="C13:N13" si="11">SUMIFS(C17:C163,$B$17:$B$163,"Actual")</f>
        <v>356907.3</v>
      </c>
      <c r="D13" s="10">
        <f t="shared" si="11"/>
        <v>344891.48000000004</v>
      </c>
      <c r="E13" s="10">
        <f t="shared" si="11"/>
        <v>403531.81999999995</v>
      </c>
      <c r="F13" s="10">
        <f t="shared" si="11"/>
        <v>381063.99</v>
      </c>
      <c r="G13" s="10">
        <f t="shared" si="11"/>
        <v>408641.75</v>
      </c>
      <c r="H13" s="10">
        <f t="shared" si="11"/>
        <v>384046.38999999996</v>
      </c>
      <c r="I13" s="10">
        <f t="shared" si="11"/>
        <v>392927.52</v>
      </c>
      <c r="J13" s="10">
        <f t="shared" si="11"/>
        <v>400678.58000000007</v>
      </c>
      <c r="K13" s="10">
        <f t="shared" si="11"/>
        <v>315723.39999999991</v>
      </c>
      <c r="L13" s="10">
        <f t="shared" si="11"/>
        <v>240948.19000000003</v>
      </c>
      <c r="M13" s="10">
        <f t="shared" si="11"/>
        <v>6976.78</v>
      </c>
      <c r="N13" s="10">
        <f t="shared" si="11"/>
        <v>0</v>
      </c>
      <c r="O13" s="30">
        <f t="shared" si="9"/>
        <v>3636337.1999999997</v>
      </c>
    </row>
    <row r="14" spans="1:19" x14ac:dyDescent="0.3">
      <c r="A14" s="2"/>
      <c r="B14" s="2" t="s">
        <v>446</v>
      </c>
      <c r="C14" s="28">
        <f>C11-C13</f>
        <v>-12959.150000000023</v>
      </c>
      <c r="D14" s="28">
        <f>D11-D13</f>
        <v>44579.119999999995</v>
      </c>
      <c r="E14" s="28">
        <f t="shared" ref="E14:N14" si="12">E11-E13</f>
        <v>-33872.609999999986</v>
      </c>
      <c r="F14" s="28">
        <f t="shared" si="12"/>
        <v>-43194.709999999963</v>
      </c>
      <c r="G14" s="28">
        <f t="shared" si="12"/>
        <v>-59261.099999999977</v>
      </c>
      <c r="H14" s="28">
        <f t="shared" si="12"/>
        <v>-60124.389999999956</v>
      </c>
      <c r="I14" s="28">
        <f t="shared" si="12"/>
        <v>-93055.859999999986</v>
      </c>
      <c r="J14" s="28">
        <f t="shared" si="12"/>
        <v>-85567.480000000098</v>
      </c>
      <c r="K14" s="28">
        <f t="shared" si="12"/>
        <v>50892.020000000135</v>
      </c>
      <c r="L14" s="28">
        <f t="shared" si="12"/>
        <v>71059.399999999936</v>
      </c>
      <c r="M14" s="28">
        <f t="shared" si="12"/>
        <v>299293.89</v>
      </c>
      <c r="N14" s="28">
        <f t="shared" si="12"/>
        <v>319183.58</v>
      </c>
      <c r="O14" s="30">
        <f t="shared" si="9"/>
        <v>396972.71000000008</v>
      </c>
    </row>
    <row r="15" spans="1:19" x14ac:dyDescent="0.3">
      <c r="A15" s="9"/>
      <c r="B15" s="3" t="s">
        <v>23</v>
      </c>
      <c r="C15" s="3">
        <f>C13</f>
        <v>356907.3</v>
      </c>
      <c r="D15" s="3">
        <f>SUM($C10:D10)-D14</f>
        <v>497708.68000000005</v>
      </c>
      <c r="E15" s="3">
        <f>SUM($C10:E10)-E14</f>
        <v>894503.07</v>
      </c>
      <c r="F15" s="3">
        <f>SUM($C10:F10)-F14</f>
        <v>1236704.1599999999</v>
      </c>
      <c r="G15" s="3">
        <f>SUM($C10:G10)-G14</f>
        <v>1601187.2399999998</v>
      </c>
      <c r="H15" s="3">
        <f>SUM($C10:H10)-H14</f>
        <v>1876425.0699999996</v>
      </c>
      <c r="I15" s="3">
        <f>SUM($C10:I10)-I14</f>
        <v>2208439.6999999997</v>
      </c>
      <c r="J15" s="3">
        <f>IF(J13=0,0,I15+J13)</f>
        <v>2609118.2799999998</v>
      </c>
      <c r="K15" s="3">
        <f>IF(K13=0,0,J15+K13)</f>
        <v>2924841.6799999997</v>
      </c>
      <c r="L15" s="3">
        <f>IF(L13=0,0,K15+L13)</f>
        <v>3165789.8699999996</v>
      </c>
      <c r="M15" s="3">
        <f>IF(M13=0,0,L15+M13)</f>
        <v>3172766.6499999994</v>
      </c>
      <c r="N15" s="3">
        <f>IF(N13=0,0,M15+N13)</f>
        <v>0</v>
      </c>
      <c r="O15" s="31">
        <f>N15</f>
        <v>0</v>
      </c>
    </row>
    <row r="16" spans="1:19" x14ac:dyDescent="0.3">
      <c r="A16" s="12"/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</row>
    <row r="17" spans="1:18" x14ac:dyDescent="0.3">
      <c r="A17" s="262" t="s">
        <v>28</v>
      </c>
      <c r="B17" s="5" t="s">
        <v>16</v>
      </c>
      <c r="C17" s="16">
        <f>'5024-510 Individual Contractors'!C3</f>
        <v>15182.75</v>
      </c>
      <c r="D17" s="16">
        <f>'5024-510 Individual Contractors'!D3</f>
        <v>14877.45</v>
      </c>
      <c r="E17" s="16">
        <f>'5024-510 Individual Contractors'!E3</f>
        <v>15152.75</v>
      </c>
      <c r="F17" s="16">
        <f>'5024-510 Individual Contractors'!F3</f>
        <v>15467</v>
      </c>
      <c r="G17" s="16">
        <f>'5024-510 Individual Contractors'!G3</f>
        <v>16872.5</v>
      </c>
      <c r="H17" s="16">
        <f>'5024-510 Individual Contractors'!H3</f>
        <v>15506.5</v>
      </c>
      <c r="I17" s="16">
        <f>'5024-510 Individual Contractors'!I3</f>
        <v>22385.5</v>
      </c>
      <c r="J17" s="16">
        <f>'5024-510 Individual Contractors'!J3</f>
        <v>23444</v>
      </c>
      <c r="K17" s="16">
        <f>'5024-510 Individual Contractors'!K3</f>
        <v>22825</v>
      </c>
      <c r="L17" s="16">
        <f>'5024-510 Individual Contractors'!L3</f>
        <v>24565</v>
      </c>
      <c r="M17" s="16">
        <f>'5024-510 Individual Contractors'!M3</f>
        <v>24609</v>
      </c>
      <c r="N17" s="16">
        <f>'5024-510 Individual Contractors'!N3</f>
        <v>24363</v>
      </c>
      <c r="O17" s="17">
        <f>'5024-510 Individual Contractors'!O3</f>
        <v>235250.45</v>
      </c>
    </row>
    <row r="18" spans="1:18" x14ac:dyDescent="0.3">
      <c r="A18" s="259"/>
      <c r="B18" s="5" t="s">
        <v>31</v>
      </c>
      <c r="C18" s="16">
        <f>'5024-510 Individual Contractors'!C5</f>
        <v>23573</v>
      </c>
      <c r="D18" s="16">
        <f>'5024-510 Individual Contractors'!D5</f>
        <v>23573</v>
      </c>
      <c r="E18" s="16">
        <f>'5024-510 Individual Contractors'!E5</f>
        <v>23573</v>
      </c>
      <c r="F18" s="16">
        <f>'5024-510 Individual Contractors'!F5</f>
        <v>23573</v>
      </c>
      <c r="G18" s="16">
        <f>'5024-510 Individual Contractors'!G5</f>
        <v>23573</v>
      </c>
      <c r="H18" s="16">
        <f>'5024-510 Individual Contractors'!H5</f>
        <v>23573</v>
      </c>
      <c r="I18" s="16">
        <f>'5024-510 Individual Contractors'!I5</f>
        <v>23573</v>
      </c>
      <c r="J18" s="16">
        <f>'5024-510 Individual Contractors'!J5</f>
        <v>23573</v>
      </c>
      <c r="K18" s="16">
        <f>'5024-510 Individual Contractors'!K5</f>
        <v>23573</v>
      </c>
      <c r="L18" s="16">
        <f>'5024-510 Individual Contractors'!L5</f>
        <v>23573</v>
      </c>
      <c r="M18" s="16">
        <f>'5024-510 Individual Contractors'!M5</f>
        <v>23573</v>
      </c>
      <c r="N18" s="16">
        <f>'5024-510 Individual Contractors'!N5</f>
        <v>23573</v>
      </c>
      <c r="O18" s="17">
        <f>'5024-510 Individual Contractors'!O5</f>
        <v>282876</v>
      </c>
    </row>
    <row r="19" spans="1:18" x14ac:dyDescent="0.3">
      <c r="A19" s="259"/>
      <c r="B19" s="6" t="s">
        <v>29</v>
      </c>
      <c r="C19" s="18">
        <f>'5024-510 Individual Contractors'!C4</f>
        <v>25473</v>
      </c>
      <c r="D19" s="18">
        <f>'5024-510 Individual Contractors'!D4</f>
        <v>25473</v>
      </c>
      <c r="E19" s="18">
        <f>'5024-510 Individual Contractors'!E4</f>
        <v>25473</v>
      </c>
      <c r="F19" s="18">
        <f>'5024-510 Individual Contractors'!F4</f>
        <v>25473</v>
      </c>
      <c r="G19" s="18">
        <f>'5024-510 Individual Contractors'!G4</f>
        <v>25473</v>
      </c>
      <c r="H19" s="18">
        <f>'5024-510 Individual Contractors'!H4</f>
        <v>25473</v>
      </c>
      <c r="I19" s="18">
        <f>'5024-510 Individual Contractors'!I4</f>
        <v>25473</v>
      </c>
      <c r="J19" s="18">
        <f>'5024-510 Individual Contractors'!J4</f>
        <v>25473</v>
      </c>
      <c r="K19" s="18">
        <f>'5024-510 Individual Contractors'!K4</f>
        <v>25473</v>
      </c>
      <c r="L19" s="18">
        <f>'5024-510 Individual Contractors'!L4</f>
        <v>25473</v>
      </c>
      <c r="M19" s="18">
        <f>'5024-510 Individual Contractors'!M4</f>
        <v>25473</v>
      </c>
      <c r="N19" s="18">
        <f>'5024-510 Individual Contractors'!N4</f>
        <v>25473</v>
      </c>
      <c r="O19" s="19">
        <f>'5024-510 Individual Contractors'!O4</f>
        <v>305676</v>
      </c>
      <c r="Q19" s="33">
        <f>O19-O17</f>
        <v>70425.549999999988</v>
      </c>
      <c r="R19" t="s">
        <v>30</v>
      </c>
    </row>
    <row r="20" spans="1:18" x14ac:dyDescent="0.3">
      <c r="A20" s="259"/>
      <c r="B20" s="5" t="s">
        <v>32</v>
      </c>
      <c r="C20" s="16">
        <f>'5024-510 Individual Contractors'!C6</f>
        <v>25960.83</v>
      </c>
      <c r="D20" s="16">
        <f>'5024-510 Individual Contractors'!D6</f>
        <v>23257.83</v>
      </c>
      <c r="E20" s="16">
        <f>'5024-510 Individual Contractors'!E6</f>
        <v>26377</v>
      </c>
      <c r="F20" s="16">
        <f>'5024-510 Individual Contractors'!F6</f>
        <v>36213.01</v>
      </c>
      <c r="G20" s="16">
        <f>'5024-510 Individual Contractors'!G6</f>
        <v>66882.95</v>
      </c>
      <c r="H20" s="16">
        <f>'5024-510 Individual Contractors'!H6</f>
        <v>49229.950000000004</v>
      </c>
      <c r="I20" s="16">
        <f>'5024-510 Individual Contractors'!I6</f>
        <v>37253.5</v>
      </c>
      <c r="J20" s="16">
        <f>'5024-510 Individual Contractors'!J6</f>
        <v>19065</v>
      </c>
      <c r="K20" s="16">
        <f>'5024-510 Individual Contractors'!K6</f>
        <v>17310.5</v>
      </c>
      <c r="L20" s="16">
        <f>'5024-510 Individual Contractors'!L6</f>
        <v>17409</v>
      </c>
      <c r="M20" s="16">
        <f>'5024-510 Individual Contractors'!M6</f>
        <v>0</v>
      </c>
      <c r="N20" s="16">
        <f>'5024-510 Individual Contractors'!N6</f>
        <v>0</v>
      </c>
      <c r="O20" s="17">
        <f>'5024-510 Individual Contractors'!O6</f>
        <v>315566.74000000005</v>
      </c>
      <c r="Q20" s="33">
        <f>Q19+Q89</f>
        <v>49252.19999999999</v>
      </c>
      <c r="R20" t="s">
        <v>33</v>
      </c>
    </row>
    <row r="21" spans="1:18" x14ac:dyDescent="0.3">
      <c r="A21" s="39"/>
      <c r="B21" s="2" t="s">
        <v>446</v>
      </c>
      <c r="C21" s="16">
        <f>'5024-510 Individual Contractors'!C7</f>
        <v>-2387.8300000000017</v>
      </c>
      <c r="D21" s="16">
        <f>'5024-510 Individual Contractors'!D7</f>
        <v>315.16999999999825</v>
      </c>
      <c r="E21" s="16">
        <f>'5024-510 Individual Contractors'!E7</f>
        <v>-2804</v>
      </c>
      <c r="F21" s="16">
        <f>'5024-510 Individual Contractors'!F7</f>
        <v>-12640.010000000002</v>
      </c>
      <c r="G21" s="16">
        <f>'5024-510 Individual Contractors'!G7</f>
        <v>-43309.95</v>
      </c>
      <c r="H21" s="16">
        <f>'5024-510 Individual Contractors'!H7</f>
        <v>-25656.950000000004</v>
      </c>
      <c r="I21" s="16">
        <f>'5024-510 Individual Contractors'!I7</f>
        <v>-13680.5</v>
      </c>
      <c r="J21" s="16">
        <f>'5024-510 Individual Contractors'!J7</f>
        <v>4508</v>
      </c>
      <c r="K21" s="16">
        <f>'5024-510 Individual Contractors'!K7</f>
        <v>6262.5</v>
      </c>
      <c r="L21" s="16">
        <f>'5024-510 Individual Contractors'!L7</f>
        <v>6164</v>
      </c>
      <c r="M21" s="16">
        <f>'5024-510 Individual Contractors'!M7</f>
        <v>23573</v>
      </c>
      <c r="N21" s="16">
        <f>'5024-510 Individual Contractors'!N7</f>
        <v>23573</v>
      </c>
      <c r="O21" s="17">
        <f>'5024-510 Individual Contractors'!O7</f>
        <v>-32690.740000000049</v>
      </c>
      <c r="R21" t="s">
        <v>35</v>
      </c>
    </row>
    <row r="22" spans="1:18" x14ac:dyDescent="0.3">
      <c r="A22" s="39"/>
      <c r="B22" s="3" t="s">
        <v>23</v>
      </c>
      <c r="C22" s="16">
        <f>C20</f>
        <v>25960.83</v>
      </c>
      <c r="D22" s="16">
        <f>SUM($C20:D20)</f>
        <v>49218.66</v>
      </c>
      <c r="E22" s="16">
        <f>SUM($C20:E20)</f>
        <v>75595.66</v>
      </c>
      <c r="F22" s="16">
        <f>SUM($C20:F20)</f>
        <v>111808.67000000001</v>
      </c>
      <c r="G22" s="16">
        <f>SUM($C20:G20)</f>
        <v>178691.62</v>
      </c>
      <c r="H22" s="16">
        <f>SUM($C20:H20)</f>
        <v>227921.57</v>
      </c>
      <c r="I22" s="16"/>
      <c r="J22" s="16"/>
      <c r="K22" s="16"/>
      <c r="L22" s="16"/>
      <c r="M22" s="16"/>
      <c r="N22" s="16"/>
      <c r="O22" s="17"/>
    </row>
    <row r="23" spans="1:18" x14ac:dyDescent="0.3">
      <c r="A23" s="39"/>
      <c r="B23" s="3" t="s">
        <v>25</v>
      </c>
      <c r="C23" s="16">
        <f>C18-C22</f>
        <v>-2387.8300000000017</v>
      </c>
      <c r="D23" s="16">
        <f>SUM($C21:D21)-D22</f>
        <v>-51291.320000000007</v>
      </c>
      <c r="E23" s="16">
        <f>SUM($C21:E21)-E22</f>
        <v>-80472.320000000007</v>
      </c>
      <c r="F23" s="16">
        <f>SUM($C21:F21)-F22</f>
        <v>-129325.34000000003</v>
      </c>
      <c r="G23" s="16">
        <f>SUM($C21:G21)-G22</f>
        <v>-239518.24</v>
      </c>
      <c r="H23" s="16">
        <f>SUM($C21:H21)-H22</f>
        <v>-314405.14</v>
      </c>
      <c r="I23" s="16"/>
      <c r="J23" s="16"/>
      <c r="K23" s="16"/>
      <c r="L23" s="16"/>
      <c r="M23" s="16"/>
      <c r="N23" s="16"/>
      <c r="O23" s="17"/>
    </row>
    <row r="24" spans="1:18" x14ac:dyDescent="0.3">
      <c r="A24" s="40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8" x14ac:dyDescent="0.3">
      <c r="A25" s="2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21"/>
    </row>
    <row r="26" spans="1:18" x14ac:dyDescent="0.3">
      <c r="A26" s="262" t="s">
        <v>36</v>
      </c>
      <c r="B26" s="5" t="s">
        <v>16</v>
      </c>
      <c r="C26" s="16">
        <f>'5100-510 Performance based'!C3</f>
        <v>143539.30000000002</v>
      </c>
      <c r="D26" s="16">
        <f>'5100-510 Performance based'!D3</f>
        <v>147248.12999999998</v>
      </c>
      <c r="E26" s="16">
        <f>'5100-510 Performance based'!E3</f>
        <v>185140.96999999997</v>
      </c>
      <c r="F26" s="16">
        <f>'5100-510 Performance based'!F3</f>
        <v>169233.26</v>
      </c>
      <c r="G26" s="16">
        <f>'5100-510 Performance based'!G3</f>
        <v>176262.05999999997</v>
      </c>
      <c r="H26" s="16">
        <f>'5100-510 Performance based'!H3</f>
        <v>149970.94</v>
      </c>
      <c r="I26" s="16">
        <f>'5100-510 Performance based'!I3</f>
        <v>177140.26000000004</v>
      </c>
      <c r="J26" s="16">
        <f>'5100-510 Performance based'!J3</f>
        <v>155860.75</v>
      </c>
      <c r="K26" s="16">
        <f>'5100-510 Performance based'!K3</f>
        <v>160101.50999999998</v>
      </c>
      <c r="L26" s="16">
        <f>'5100-510 Performance based'!L3</f>
        <v>181197.25</v>
      </c>
      <c r="M26" s="16">
        <f>'5100-510 Performance based'!M3</f>
        <v>187060.81</v>
      </c>
      <c r="N26" s="16">
        <f>'5100-510 Performance based'!N3</f>
        <v>143695.43</v>
      </c>
      <c r="O26" s="17">
        <f>'5100-510 Performance based'!O3</f>
        <v>1976450.67</v>
      </c>
    </row>
    <row r="27" spans="1:18" x14ac:dyDescent="0.3">
      <c r="A27" s="259"/>
      <c r="B27" s="5" t="s">
        <v>31</v>
      </c>
      <c r="C27" s="16">
        <f>'5100-510 Performance based'!C5</f>
        <v>154148.07999999999</v>
      </c>
      <c r="D27" s="16">
        <f>'5100-510 Performance based'!D5</f>
        <v>189450.78</v>
      </c>
      <c r="E27" s="16">
        <f>'5100-510 Performance based'!E5</f>
        <v>196166.08</v>
      </c>
      <c r="F27" s="16">
        <f>'5100-510 Performance based'!F5</f>
        <v>183308.15</v>
      </c>
      <c r="G27" s="16">
        <f>'5100-510 Performance based'!G5</f>
        <v>185621.52</v>
      </c>
      <c r="H27" s="16">
        <f>'5100-510 Performance based'!H5</f>
        <v>182137.87</v>
      </c>
      <c r="I27" s="16">
        <f>'5100-510 Performance based'!I5</f>
        <v>184037.53</v>
      </c>
      <c r="J27" s="16">
        <f>'5100-510 Performance based'!J5</f>
        <v>174752.97</v>
      </c>
      <c r="K27" s="16">
        <f>'5100-510 Performance based'!K5</f>
        <v>179128.29</v>
      </c>
      <c r="L27" s="16">
        <f>'5100-510 Performance based'!L5</f>
        <v>171152.46</v>
      </c>
      <c r="M27" s="16">
        <f>'5100-510 Performance based'!M5</f>
        <v>170804.54</v>
      </c>
      <c r="N27" s="16">
        <f>'5100-510 Performance based'!N5</f>
        <v>171702.45</v>
      </c>
      <c r="O27" s="38">
        <v>2142410.7200000002</v>
      </c>
    </row>
    <row r="28" spans="1:18" x14ac:dyDescent="0.3">
      <c r="A28" s="259"/>
      <c r="B28" s="6" t="s">
        <v>29</v>
      </c>
      <c r="C28" s="18">
        <f>'5100-510 Performance based'!C4</f>
        <v>146953</v>
      </c>
      <c r="D28" s="18">
        <f>'5100-510 Performance based'!D4</f>
        <v>180607.9</v>
      </c>
      <c r="E28" s="18">
        <f>'5100-510 Performance based'!E4</f>
        <v>187009.76</v>
      </c>
      <c r="F28" s="18">
        <f>'5100-510 Performance based'!F4</f>
        <v>174751.99</v>
      </c>
      <c r="G28" s="18">
        <f>'5100-510 Performance based'!G4</f>
        <v>176957.38</v>
      </c>
      <c r="H28" s="18">
        <f>'5100-510 Performance based'!H4</f>
        <v>173636.33000000002</v>
      </c>
      <c r="I28" s="18">
        <f>'5100-510 Performance based'!I4</f>
        <v>175447.32</v>
      </c>
      <c r="J28" s="18">
        <f>'5100-510 Performance based'!J4</f>
        <v>166596.13</v>
      </c>
      <c r="K28" s="18">
        <f>'5100-510 Performance based'!K4</f>
        <v>170767.23</v>
      </c>
      <c r="L28" s="18">
        <f>'5100-510 Performance based'!L4</f>
        <v>163163.68</v>
      </c>
      <c r="M28" s="18">
        <f>'5100-510 Performance based'!M4</f>
        <v>162832</v>
      </c>
      <c r="N28" s="18">
        <f>'5100-510 Performance based'!N4</f>
        <v>163688</v>
      </c>
      <c r="O28" s="19">
        <f>'5100-510 Performance based'!O4</f>
        <v>2042410.72</v>
      </c>
      <c r="Q28" s="33">
        <f>O28-O26</f>
        <v>65960.050000000047</v>
      </c>
    </row>
    <row r="29" spans="1:18" x14ac:dyDescent="0.3">
      <c r="A29" s="259"/>
      <c r="B29" s="5" t="s">
        <v>32</v>
      </c>
      <c r="C29" s="16">
        <f>'5100-510 Performance based'!C6</f>
        <v>167533.56000000003</v>
      </c>
      <c r="D29" s="16">
        <f>'5100-510 Performance based'!D6</f>
        <v>177155.24000000002</v>
      </c>
      <c r="E29" s="16">
        <f>'5100-510 Performance based'!E6</f>
        <v>194641.19999999998</v>
      </c>
      <c r="F29" s="16">
        <f>'5100-510 Performance based'!F6</f>
        <v>189109.50000000006</v>
      </c>
      <c r="G29" s="16">
        <f>'5100-510 Performance based'!G6</f>
        <v>186083.65999999997</v>
      </c>
      <c r="H29" s="16">
        <f>'5100-510 Performance based'!H6</f>
        <v>186467.29</v>
      </c>
      <c r="I29" s="16">
        <f>'5100-510 Performance based'!I6</f>
        <v>218352.1</v>
      </c>
      <c r="J29" s="16">
        <f>'5100-510 Performance based'!J6</f>
        <v>206940.24000000002</v>
      </c>
      <c r="K29" s="16">
        <f>'5100-510 Performance based'!K6</f>
        <v>160392.99999999997</v>
      </c>
      <c r="L29" s="16">
        <f>'5100-510 Performance based'!L6</f>
        <v>141438.72</v>
      </c>
      <c r="M29" s="16">
        <f>'5100-510 Performance based'!M6</f>
        <v>0</v>
      </c>
      <c r="N29" s="16">
        <f>'5100-510 Performance based'!N6</f>
        <v>0</v>
      </c>
      <c r="O29" s="17">
        <f>'5100-510 Performance based'!O6</f>
        <v>1828114.51</v>
      </c>
    </row>
    <row r="30" spans="1:18" x14ac:dyDescent="0.3">
      <c r="A30" s="41"/>
      <c r="B30" s="2" t="s">
        <v>446</v>
      </c>
      <c r="C30" s="16">
        <f>'5100-510 Performance based'!C7</f>
        <v>-13385.48000000004</v>
      </c>
      <c r="D30" s="16">
        <f>'5100-510 Performance based'!D7</f>
        <v>12295.539999999979</v>
      </c>
      <c r="E30" s="16">
        <f>'5100-510 Performance based'!E7</f>
        <v>1524.8800000000047</v>
      </c>
      <c r="F30" s="16">
        <f>'5100-510 Performance based'!F7</f>
        <v>-5801.350000000064</v>
      </c>
      <c r="G30" s="16">
        <f>'5100-510 Performance based'!G7</f>
        <v>-462.13999999998487</v>
      </c>
      <c r="H30" s="16">
        <f>'5100-510 Performance based'!H7</f>
        <v>-4329.4200000000128</v>
      </c>
      <c r="I30" s="16">
        <f>'5100-510 Performance based'!I7</f>
        <v>-34314.570000000007</v>
      </c>
      <c r="J30" s="16">
        <f>'5100-510 Performance based'!J7</f>
        <v>-32187.270000000019</v>
      </c>
      <c r="K30" s="16">
        <f>'5100-510 Performance based'!K7</f>
        <v>18735.290000000037</v>
      </c>
      <c r="L30" s="16">
        <f>'5100-510 Performance based'!L7</f>
        <v>29713.739999999991</v>
      </c>
      <c r="M30" s="16">
        <f>'5100-510 Performance based'!M7</f>
        <v>170804.54</v>
      </c>
      <c r="N30" s="16">
        <f>'5100-510 Performance based'!N7</f>
        <v>171702.45</v>
      </c>
      <c r="O30" s="17">
        <f>'5100-510 Performance based'!O7</f>
        <v>314296.2100000002</v>
      </c>
    </row>
    <row r="31" spans="1:18" x14ac:dyDescent="0.3">
      <c r="A31" s="39"/>
      <c r="B31" s="3" t="s">
        <v>23</v>
      </c>
      <c r="C31" s="42">
        <f>C29</f>
        <v>167533.56000000003</v>
      </c>
      <c r="D31" s="16">
        <f>SUM($C26:D26)</f>
        <v>290787.43</v>
      </c>
      <c r="E31" s="16">
        <f>SUM($C26:E26)</f>
        <v>475928.39999999997</v>
      </c>
      <c r="F31" s="16">
        <f>SUM($C26:F26)</f>
        <v>645161.65999999992</v>
      </c>
      <c r="G31" s="16">
        <f>SUM($C26:G26)</f>
        <v>821423.71999999986</v>
      </c>
      <c r="H31" s="16">
        <f>SUM($C26:H26)</f>
        <v>971394.65999999992</v>
      </c>
      <c r="I31" s="16"/>
      <c r="J31" s="16"/>
      <c r="K31" s="16"/>
      <c r="L31" s="16"/>
      <c r="M31" s="16"/>
      <c r="N31" s="16"/>
      <c r="O31" s="17"/>
    </row>
    <row r="32" spans="1:18" x14ac:dyDescent="0.3">
      <c r="A32" s="22"/>
      <c r="B32" s="3" t="s">
        <v>25</v>
      </c>
      <c r="C32" s="16">
        <f>-(C31-C27)</f>
        <v>-13385.48000000004</v>
      </c>
      <c r="D32" s="16">
        <f>-(D31-SUM($C30:D30))</f>
        <v>-291877.37000000005</v>
      </c>
      <c r="E32" s="16">
        <f>-(E31-SUM($C30:E30))</f>
        <v>-475493.46</v>
      </c>
      <c r="F32" s="16">
        <f>-(F31-SUM($C30:F30))</f>
        <v>-650528.07000000007</v>
      </c>
      <c r="G32" s="16">
        <f>-(G31-SUM($C30:G30))</f>
        <v>-827252.27</v>
      </c>
      <c r="H32" s="16">
        <f>-(H31-SUM($C30:H30))</f>
        <v>-981552.63</v>
      </c>
      <c r="I32" s="26"/>
      <c r="J32" s="26"/>
      <c r="K32" s="26"/>
      <c r="L32" s="26"/>
      <c r="M32" s="26"/>
      <c r="N32" s="26"/>
      <c r="O32" s="24"/>
    </row>
    <row r="33" spans="1:18" x14ac:dyDescent="0.3">
      <c r="A33" s="20"/>
      <c r="B33" s="8"/>
      <c r="C33" s="44"/>
      <c r="D33" s="44"/>
      <c r="E33" s="44"/>
      <c r="F33" s="44"/>
      <c r="G33" s="44"/>
      <c r="H33" s="44"/>
      <c r="I33" s="8"/>
      <c r="J33" s="8"/>
      <c r="K33" s="8"/>
      <c r="L33" s="8"/>
      <c r="M33" s="8"/>
      <c r="N33" s="8"/>
      <c r="O33" s="21"/>
    </row>
    <row r="34" spans="1:18" x14ac:dyDescent="0.3">
      <c r="A34" s="258" t="s">
        <v>38</v>
      </c>
      <c r="B34" s="5" t="s">
        <v>16</v>
      </c>
      <c r="C34" s="16">
        <f>'5101-510 Non performance based'!C3</f>
        <v>54961.34</v>
      </c>
      <c r="D34" s="16">
        <f>'5101-510 Non performance based'!D3</f>
        <v>52303.61</v>
      </c>
      <c r="E34" s="16">
        <f>'5101-510 Non performance based'!E3</f>
        <v>53970.61</v>
      </c>
      <c r="F34" s="16">
        <f>'5101-510 Non performance based'!F3</f>
        <v>62526.2</v>
      </c>
      <c r="G34" s="16">
        <f>'5101-510 Non performance based'!G3</f>
        <v>50448.93</v>
      </c>
      <c r="H34" s="16">
        <f>'5101-510 Non performance based'!H3</f>
        <v>33734.71</v>
      </c>
      <c r="I34" s="16">
        <f>'5101-510 Non performance based'!I3</f>
        <v>36157.39</v>
      </c>
      <c r="J34" s="16">
        <f>'5101-510 Non performance based'!J3</f>
        <v>43318.85</v>
      </c>
      <c r="K34" s="16">
        <f>'5101-510 Non performance based'!K3</f>
        <v>48044.149999999994</v>
      </c>
      <c r="L34" s="16">
        <f>'5101-510 Non performance based'!L3</f>
        <v>43316.749999999993</v>
      </c>
      <c r="M34" s="16">
        <f>'5101-510 Non performance based'!M3</f>
        <v>34350.509999999995</v>
      </c>
      <c r="N34" s="16">
        <f>'5101-510 Non performance based'!N3</f>
        <v>66324.239999999991</v>
      </c>
      <c r="O34" s="17">
        <f>'5101-510 Non performance based'!O3</f>
        <v>579457.29</v>
      </c>
    </row>
    <row r="35" spans="1:18" x14ac:dyDescent="0.3">
      <c r="A35" s="259"/>
      <c r="B35" s="5" t="s">
        <v>31</v>
      </c>
      <c r="C35" s="16">
        <f>'5101-510 Non performance based'!C5</f>
        <v>75939</v>
      </c>
      <c r="D35" s="16">
        <f>'5101-510 Non performance based'!D5</f>
        <v>58654</v>
      </c>
      <c r="E35" s="16">
        <f>'5101-510 Non performance based'!E5</f>
        <v>50860</v>
      </c>
      <c r="F35" s="16">
        <f>'5101-510 Non performance based'!F5</f>
        <v>66316</v>
      </c>
      <c r="G35" s="16">
        <f>'5101-510 Non performance based'!G5</f>
        <v>47360</v>
      </c>
      <c r="H35" s="16">
        <f>'5101-510 Non performance based'!H5</f>
        <v>42133</v>
      </c>
      <c r="I35" s="16">
        <f>'5101-510 Non performance based'!I5</f>
        <v>31860</v>
      </c>
      <c r="J35" s="16">
        <f>'5101-510 Non performance based'!J5</f>
        <v>43399</v>
      </c>
      <c r="K35" s="16">
        <f>'5101-510 Non performance based'!K5</f>
        <v>55360</v>
      </c>
      <c r="L35" s="16">
        <f>'5101-510 Non performance based'!L5</f>
        <v>47149</v>
      </c>
      <c r="M35" s="16">
        <f>'5101-510 Non performance based'!M5</f>
        <v>35760</v>
      </c>
      <c r="N35" s="16">
        <f>'5101-510 Non performance based'!N5</f>
        <v>58775</v>
      </c>
      <c r="O35" s="38">
        <v>623565</v>
      </c>
    </row>
    <row r="36" spans="1:18" x14ac:dyDescent="0.3">
      <c r="A36" s="259"/>
      <c r="B36" s="6" t="s">
        <v>29</v>
      </c>
      <c r="C36" s="18">
        <f>'5101-510 Non performance based'!C4</f>
        <v>73939</v>
      </c>
      <c r="D36" s="18">
        <f>'5101-510 Non performance based'!D4</f>
        <v>58654</v>
      </c>
      <c r="E36" s="18">
        <f>'5101-510 Non performance based'!E4</f>
        <v>50860</v>
      </c>
      <c r="F36" s="18">
        <f>'5101-510 Non performance based'!F4</f>
        <v>64316</v>
      </c>
      <c r="G36" s="18">
        <f>'5101-510 Non performance based'!G4</f>
        <v>47360</v>
      </c>
      <c r="H36" s="18">
        <f>'5101-510 Non performance based'!H4</f>
        <v>42133</v>
      </c>
      <c r="I36" s="18">
        <f>'5101-510 Non performance based'!I4</f>
        <v>29860</v>
      </c>
      <c r="J36" s="18">
        <f>'5101-510 Non performance based'!J4</f>
        <v>43399</v>
      </c>
      <c r="K36" s="18">
        <f>'5101-510 Non performance based'!K4</f>
        <v>55360</v>
      </c>
      <c r="L36" s="18">
        <f>'5101-510 Non performance based'!L4</f>
        <v>45149</v>
      </c>
      <c r="M36" s="18">
        <f>'5101-510 Non performance based'!M4</f>
        <v>35760</v>
      </c>
      <c r="N36" s="18">
        <f>'5101-510 Non performance based'!N4</f>
        <v>58775</v>
      </c>
      <c r="O36" s="19">
        <f>'5101-510 Non performance based'!O4</f>
        <v>605565</v>
      </c>
      <c r="Q36" s="33">
        <f>O36-O34</f>
        <v>26107.709999999963</v>
      </c>
      <c r="R36" t="s">
        <v>39</v>
      </c>
    </row>
    <row r="37" spans="1:18" x14ac:dyDescent="0.3">
      <c r="A37" s="259"/>
      <c r="B37" s="5" t="s">
        <v>32</v>
      </c>
      <c r="C37" s="16">
        <f>'5101-510 Non performance based'!C6</f>
        <v>48578.52</v>
      </c>
      <c r="D37" s="16">
        <f>'5101-510 Non performance based'!D6</f>
        <v>47324.93</v>
      </c>
      <c r="E37" s="16">
        <f>'5101-510 Non performance based'!E6</f>
        <v>43482.71</v>
      </c>
      <c r="F37" s="16">
        <f>'5101-510 Non performance based'!F6</f>
        <v>73020.92</v>
      </c>
      <c r="G37" s="16">
        <f>'5101-510 Non performance based'!G6</f>
        <v>35157.549999999996</v>
      </c>
      <c r="H37" s="16">
        <f>'5101-510 Non performance based'!H6</f>
        <v>57157.04</v>
      </c>
      <c r="I37" s="16">
        <f>'5101-510 Non performance based'!I6</f>
        <v>37818.82</v>
      </c>
      <c r="J37" s="16">
        <f>'5101-510 Non performance based'!J6</f>
        <v>50222.33</v>
      </c>
      <c r="K37" s="16">
        <f>'5101-510 Non performance based'!K6</f>
        <v>47988.46</v>
      </c>
      <c r="L37" s="16">
        <f>'5101-510 Non performance based'!L6</f>
        <v>51220.909999999996</v>
      </c>
      <c r="M37" s="16">
        <f>'5101-510 Non performance based'!M6</f>
        <v>0</v>
      </c>
      <c r="N37" s="16">
        <f>'5101-510 Non performance based'!N6</f>
        <v>0</v>
      </c>
      <c r="O37" s="17">
        <f>'5101-510 Non performance based'!O6</f>
        <v>491972.18999999989</v>
      </c>
    </row>
    <row r="38" spans="1:18" x14ac:dyDescent="0.3">
      <c r="A38" s="39"/>
      <c r="B38" s="2" t="s">
        <v>446</v>
      </c>
      <c r="C38" s="16">
        <f>'5101-510 Non performance based'!C7</f>
        <v>27360.480000000003</v>
      </c>
      <c r="D38" s="16">
        <f>'5101-510 Non performance based'!D7</f>
        <v>11329.07</v>
      </c>
      <c r="E38" s="16">
        <f>'5101-510 Non performance based'!E7</f>
        <v>7377.2900000000009</v>
      </c>
      <c r="F38" s="16">
        <f>'5101-510 Non performance based'!F7</f>
        <v>-6704.9199999999983</v>
      </c>
      <c r="G38" s="16">
        <f>'5101-510 Non performance based'!G7</f>
        <v>12202.450000000004</v>
      </c>
      <c r="H38" s="16">
        <f>'5101-510 Non performance based'!H7</f>
        <v>-15024.04</v>
      </c>
      <c r="I38" s="16">
        <f>'5101-510 Non performance based'!I7</f>
        <v>-5958.82</v>
      </c>
      <c r="J38" s="16">
        <f>'5101-510 Non performance based'!J7</f>
        <v>-6823.3300000000017</v>
      </c>
      <c r="K38" s="16">
        <f>'5101-510 Non performance based'!K7</f>
        <v>7371.5400000000009</v>
      </c>
      <c r="L38" s="16">
        <f>'5101-510 Non performance based'!L7</f>
        <v>-4071.9099999999962</v>
      </c>
      <c r="M38" s="16">
        <f>'5101-510 Non performance based'!M7</f>
        <v>35760</v>
      </c>
      <c r="N38" s="16">
        <f>'5101-510 Non performance based'!N7</f>
        <v>58775</v>
      </c>
      <c r="O38" s="17">
        <f>'5101-510 Non performance based'!O7</f>
        <v>121592.81000000011</v>
      </c>
    </row>
    <row r="39" spans="1:18" x14ac:dyDescent="0.3">
      <c r="A39" s="36"/>
      <c r="B39" s="3" t="s">
        <v>23</v>
      </c>
      <c r="C39" s="42">
        <f>C37</f>
        <v>48578.52</v>
      </c>
      <c r="D39" s="16">
        <f>SUM($C34:D34)</f>
        <v>107264.95</v>
      </c>
      <c r="E39" s="16">
        <f>SUM($C34:E34)</f>
        <v>161235.56</v>
      </c>
      <c r="F39" s="16">
        <f>SUM($C34:F34)</f>
        <v>223761.76</v>
      </c>
      <c r="G39" s="16">
        <f>SUM($C34:G34)</f>
        <v>274210.69</v>
      </c>
      <c r="H39" s="16">
        <f>SUM($C34:H34)</f>
        <v>307945.40000000002</v>
      </c>
      <c r="I39" s="16"/>
      <c r="J39" s="16"/>
      <c r="K39" s="16"/>
      <c r="L39" s="16"/>
      <c r="M39" s="16"/>
      <c r="N39" s="16"/>
      <c r="O39" s="17"/>
    </row>
    <row r="40" spans="1:18" x14ac:dyDescent="0.3">
      <c r="A40" s="25"/>
      <c r="B40" s="3" t="s">
        <v>25</v>
      </c>
      <c r="C40" s="26">
        <f>-(C39-C35)</f>
        <v>27360.480000000003</v>
      </c>
      <c r="D40" s="26">
        <f>-(D39-SUM($C38:D38))</f>
        <v>-68575.399999999994</v>
      </c>
      <c r="E40" s="26">
        <f>-(E39-SUM($C38:E38))</f>
        <v>-115168.72</v>
      </c>
      <c r="F40" s="26">
        <f>-(F39-SUM($C38:F38))</f>
        <v>-184399.84</v>
      </c>
      <c r="G40" s="26">
        <f>-(G39-SUM($C38:G38))</f>
        <v>-222646.32</v>
      </c>
      <c r="H40" s="26">
        <f>-(H39-SUM($C38:H38))</f>
        <v>-271405.07</v>
      </c>
      <c r="I40" s="26"/>
      <c r="J40" s="26"/>
      <c r="K40" s="26"/>
      <c r="L40" s="26"/>
      <c r="M40" s="26"/>
      <c r="N40" s="26"/>
      <c r="O40" s="24"/>
    </row>
    <row r="41" spans="1:18" x14ac:dyDescent="0.3">
      <c r="A41" s="39"/>
      <c r="B41" s="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7"/>
    </row>
    <row r="42" spans="1:18" x14ac:dyDescent="0.3">
      <c r="A42" s="39"/>
      <c r="B42" s="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7"/>
    </row>
    <row r="43" spans="1:18" x14ac:dyDescent="0.3">
      <c r="A43" s="20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21"/>
    </row>
    <row r="44" spans="1:18" x14ac:dyDescent="0.3">
      <c r="A44" s="262" t="s">
        <v>41</v>
      </c>
      <c r="B44" s="5" t="s">
        <v>16</v>
      </c>
      <c r="C44" s="16">
        <f>'5102-510 Advertising Agency Fee'!C3</f>
        <v>30663.22</v>
      </c>
      <c r="D44" s="16">
        <f>'5102-510 Advertising Agency Fee'!D3</f>
        <v>34061.61</v>
      </c>
      <c r="E44" s="16">
        <f>'5102-510 Advertising Agency Fee'!E3</f>
        <v>48123.82</v>
      </c>
      <c r="F44" s="16">
        <f>'5102-510 Advertising Agency Fee'!F3</f>
        <v>35442.910000000003</v>
      </c>
      <c r="G44" s="16">
        <f>'5102-510 Advertising Agency Fee'!G3</f>
        <v>57806.73</v>
      </c>
      <c r="H44" s="16">
        <f>'5102-510 Advertising Agency Fee'!H3</f>
        <v>42091.03</v>
      </c>
      <c r="I44" s="16">
        <f>'5102-510 Advertising Agency Fee'!I3</f>
        <v>39212.950000000004</v>
      </c>
      <c r="J44" s="16">
        <f>'5102-510 Advertising Agency Fee'!J3</f>
        <v>38385.770000000004</v>
      </c>
      <c r="K44" s="16">
        <f>'5102-510 Advertising Agency Fee'!K3</f>
        <v>38132.100000000006</v>
      </c>
      <c r="L44" s="16">
        <f>'5102-510 Advertising Agency Fee'!L3</f>
        <v>41412.85</v>
      </c>
      <c r="M44" s="16">
        <f>'5102-510 Advertising Agency Fee'!M3</f>
        <v>40440.990000000005</v>
      </c>
      <c r="N44" s="16">
        <f>'5102-510 Advertising Agency Fee'!N3</f>
        <v>43343.27</v>
      </c>
      <c r="O44" s="17">
        <f>'5102-510 Advertising Agency Fee'!O3</f>
        <v>489117.24999999994</v>
      </c>
    </row>
    <row r="45" spans="1:18" x14ac:dyDescent="0.3">
      <c r="A45" s="259"/>
      <c r="B45" s="5" t="s">
        <v>31</v>
      </c>
      <c r="C45" s="16">
        <f>'5102-510 Advertising Agency Fee'!C5</f>
        <v>67567</v>
      </c>
      <c r="D45" s="16">
        <f>'5102-510 Advertising Agency Fee'!D5</f>
        <v>97522</v>
      </c>
      <c r="E45" s="16">
        <f>'5102-510 Advertising Agency Fee'!E5</f>
        <v>58826</v>
      </c>
      <c r="F45" s="16">
        <f>'5102-510 Advertising Agency Fee'!F5</f>
        <v>51522</v>
      </c>
      <c r="G45" s="16">
        <f>'5102-510 Advertising Agency Fee'!G5</f>
        <v>65022</v>
      </c>
      <c r="H45" s="16">
        <f>'5102-510 Advertising Agency Fee'!H5</f>
        <v>49022</v>
      </c>
      <c r="I45" s="16">
        <f>'5102-510 Advertising Agency Fee'!I5</f>
        <v>47085</v>
      </c>
      <c r="J45" s="16">
        <f>'5102-510 Advertising Agency Fee'!J5</f>
        <v>47022</v>
      </c>
      <c r="K45" s="16">
        <f>'5102-510 Advertising Agency Fee'!K5</f>
        <v>47522</v>
      </c>
      <c r="L45" s="16">
        <f>'5102-510 Advertising Agency Fee'!L5</f>
        <v>56022</v>
      </c>
      <c r="M45" s="16">
        <f>'5102-510 Advertising Agency Fee'!M5</f>
        <v>57522</v>
      </c>
      <c r="N45" s="16">
        <f>'5102-510 Advertising Agency Fee'!N5</f>
        <v>52522</v>
      </c>
      <c r="O45" s="43">
        <v>763176</v>
      </c>
    </row>
    <row r="46" spans="1:18" x14ac:dyDescent="0.3">
      <c r="A46" s="259"/>
      <c r="B46" s="6" t="s">
        <v>29</v>
      </c>
      <c r="C46" s="18">
        <f>'5102-510 Advertising Agency Fee'!C4</f>
        <v>67567</v>
      </c>
      <c r="D46" s="18">
        <f>'5102-510 Advertising Agency Fee'!D4</f>
        <v>97522</v>
      </c>
      <c r="E46" s="18">
        <f>'5102-510 Advertising Agency Fee'!E4</f>
        <v>58826</v>
      </c>
      <c r="F46" s="18">
        <f>'5102-510 Advertising Agency Fee'!F4</f>
        <v>51522</v>
      </c>
      <c r="G46" s="18">
        <f>'5102-510 Advertising Agency Fee'!G4</f>
        <v>65022</v>
      </c>
      <c r="H46" s="18">
        <f>'5102-510 Advertising Agency Fee'!H4</f>
        <v>49022</v>
      </c>
      <c r="I46" s="18">
        <f>'5102-510 Advertising Agency Fee'!I4</f>
        <v>47085</v>
      </c>
      <c r="J46" s="18">
        <f>'5102-510 Advertising Agency Fee'!J4</f>
        <v>47022</v>
      </c>
      <c r="K46" s="18">
        <f>'5102-510 Advertising Agency Fee'!K4</f>
        <v>47522</v>
      </c>
      <c r="L46" s="18">
        <f>'5102-510 Advertising Agency Fee'!L4</f>
        <v>56022</v>
      </c>
      <c r="M46" s="18">
        <f>'5102-510 Advertising Agency Fee'!M4</f>
        <v>57522</v>
      </c>
      <c r="N46" s="18">
        <f>'5102-510 Advertising Agency Fee'!N4</f>
        <v>52522</v>
      </c>
      <c r="O46" s="19">
        <f>'5102-510 Advertising Agency Fee'!O4</f>
        <v>697176</v>
      </c>
      <c r="Q46" s="33">
        <f>O46-O44</f>
        <v>208058.75000000006</v>
      </c>
      <c r="R46" t="s">
        <v>42</v>
      </c>
    </row>
    <row r="47" spans="1:18" x14ac:dyDescent="0.3">
      <c r="A47" s="259"/>
      <c r="B47" s="5" t="s">
        <v>32</v>
      </c>
      <c r="C47" s="16">
        <f>'5102-510 Advertising Agency Fee'!C6</f>
        <v>51418.499999999993</v>
      </c>
      <c r="D47" s="16">
        <f>'5102-510 Advertising Agency Fee'!D6</f>
        <v>59616.700000000004</v>
      </c>
      <c r="E47" s="16">
        <f>'5102-510 Advertising Agency Fee'!E6</f>
        <v>47803.15</v>
      </c>
      <c r="F47" s="16">
        <f>'5102-510 Advertising Agency Fee'!F6</f>
        <v>54958.579999999994</v>
      </c>
      <c r="G47" s="16">
        <f>'5102-510 Advertising Agency Fee'!G6</f>
        <v>55320.829999999994</v>
      </c>
      <c r="H47" s="16">
        <f>'5102-510 Advertising Agency Fee'!H6</f>
        <v>58388.509999999995</v>
      </c>
      <c r="I47" s="16">
        <f>'5102-510 Advertising Agency Fee'!I6</f>
        <v>63125.88</v>
      </c>
      <c r="J47" s="16">
        <f>'5102-510 Advertising Agency Fee'!J6</f>
        <v>59393.07</v>
      </c>
      <c r="K47" s="16">
        <f>'5102-510 Advertising Agency Fee'!K6</f>
        <v>55454.37</v>
      </c>
      <c r="L47" s="16">
        <f>'5102-510 Advertising Agency Fee'!L6</f>
        <v>23340.07</v>
      </c>
      <c r="M47" s="16">
        <f>'5102-510 Advertising Agency Fee'!M6</f>
        <v>0</v>
      </c>
      <c r="N47" s="16">
        <f>'5102-510 Advertising Agency Fee'!N6</f>
        <v>0</v>
      </c>
      <c r="O47" s="17">
        <f>'5102-510 Advertising Agency Fee'!O6</f>
        <v>528819.66</v>
      </c>
    </row>
    <row r="48" spans="1:18" x14ac:dyDescent="0.3">
      <c r="A48" s="39"/>
      <c r="B48" s="2" t="s">
        <v>446</v>
      </c>
      <c r="C48" s="16">
        <f>'5102-510 Advertising Agency Fee'!C7</f>
        <v>16148.500000000007</v>
      </c>
      <c r="D48" s="16">
        <f>'5102-510 Advertising Agency Fee'!D7</f>
        <v>37905.299999999996</v>
      </c>
      <c r="E48" s="16">
        <f>'5102-510 Advertising Agency Fee'!E7</f>
        <v>11022.849999999999</v>
      </c>
      <c r="F48" s="16">
        <f>'5102-510 Advertising Agency Fee'!F7</f>
        <v>-3436.5799999999945</v>
      </c>
      <c r="G48" s="16">
        <f>'5102-510 Advertising Agency Fee'!G7</f>
        <v>9701.1700000000055</v>
      </c>
      <c r="H48" s="16">
        <f>'5102-510 Advertising Agency Fee'!H7</f>
        <v>-9366.5099999999948</v>
      </c>
      <c r="I48" s="16">
        <f>'5102-510 Advertising Agency Fee'!I7</f>
        <v>-16040.879999999997</v>
      </c>
      <c r="J48" s="16">
        <f>'5102-510 Advertising Agency Fee'!J7</f>
        <v>-12371.07</v>
      </c>
      <c r="K48" s="16">
        <f>'5102-510 Advertising Agency Fee'!K7</f>
        <v>-7932.3700000000026</v>
      </c>
      <c r="L48" s="16">
        <f>'5102-510 Advertising Agency Fee'!L7</f>
        <v>32681.93</v>
      </c>
      <c r="M48" s="16">
        <f>'5102-510 Advertising Agency Fee'!M7</f>
        <v>57522</v>
      </c>
      <c r="N48" s="16">
        <f>'5102-510 Advertising Agency Fee'!N7</f>
        <v>52522</v>
      </c>
      <c r="O48" s="17">
        <f>'5102-510 Advertising Agency Fee'!O7</f>
        <v>168356.33999999997</v>
      </c>
    </row>
    <row r="49" spans="1:17" x14ac:dyDescent="0.3">
      <c r="A49" s="36"/>
      <c r="B49" s="3" t="s">
        <v>23</v>
      </c>
      <c r="C49" s="42">
        <f>C47</f>
        <v>51418.499999999993</v>
      </c>
      <c r="D49" s="16">
        <f>SUM($C47:D47)</f>
        <v>111035.2</v>
      </c>
      <c r="E49" s="16">
        <f>SUM($C47:E47)</f>
        <v>158838.35</v>
      </c>
      <c r="F49" s="16">
        <f>SUM($C47:F47)</f>
        <v>213796.93</v>
      </c>
      <c r="G49" s="16">
        <f>SUM($C47:G47)</f>
        <v>269117.76</v>
      </c>
      <c r="H49" s="16">
        <f>SUM($C47:H47)</f>
        <v>327506.27</v>
      </c>
      <c r="I49" s="16"/>
      <c r="J49" s="16"/>
      <c r="K49" s="16"/>
      <c r="L49" s="16"/>
      <c r="M49" s="16"/>
      <c r="N49" s="16"/>
      <c r="O49" s="17"/>
    </row>
    <row r="50" spans="1:17" x14ac:dyDescent="0.3">
      <c r="A50" s="25"/>
      <c r="B50" s="3" t="s">
        <v>25</v>
      </c>
      <c r="C50" s="26">
        <f>-(C49-C45)</f>
        <v>16148.500000000007</v>
      </c>
      <c r="D50" s="26">
        <f>-(D49-SUM($C48:D48))</f>
        <v>-56981.399999999994</v>
      </c>
      <c r="E50" s="26">
        <f>-(E49-SUM($C48:E48))</f>
        <v>-93761.700000000012</v>
      </c>
      <c r="F50" s="26">
        <f>-(F49-SUM($C48:F48))</f>
        <v>-152156.85999999999</v>
      </c>
      <c r="G50" s="26">
        <f>-(G49-SUM($C48:G48))</f>
        <v>-197776.52</v>
      </c>
      <c r="H50" s="26">
        <f>-(H49-SUM($C48:H48))</f>
        <v>-265531.53999999998</v>
      </c>
      <c r="I50" s="26"/>
      <c r="J50" s="26"/>
      <c r="K50" s="26"/>
      <c r="L50" s="26"/>
      <c r="M50" s="26"/>
      <c r="N50" s="26"/>
      <c r="O50" s="24"/>
    </row>
    <row r="51" spans="1:17" x14ac:dyDescent="0.3">
      <c r="A51" s="20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21"/>
    </row>
    <row r="52" spans="1:17" x14ac:dyDescent="0.3">
      <c r="A52" s="263" t="s">
        <v>44</v>
      </c>
      <c r="B52" s="5" t="s">
        <v>16</v>
      </c>
      <c r="C52" s="16">
        <f>'5104-510 Public Relations'!C3</f>
        <v>8376.9599999999991</v>
      </c>
      <c r="D52" s="16">
        <f>'5104-510 Public Relations'!D3</f>
        <v>8376.9599999999991</v>
      </c>
      <c r="E52" s="16">
        <f>'5104-510 Public Relations'!E3</f>
        <v>8376.9599999999991</v>
      </c>
      <c r="F52" s="16">
        <f>'5104-510 Public Relations'!F3</f>
        <v>17177.879999999997</v>
      </c>
      <c r="G52" s="16">
        <f>'5104-510 Public Relations'!G3</f>
        <v>23701.57</v>
      </c>
      <c r="H52" s="16">
        <f>'5104-510 Public Relations'!H3</f>
        <v>11057.630000000001</v>
      </c>
      <c r="I52" s="16">
        <f>'5104-510 Public Relations'!I3</f>
        <v>10209.419999999998</v>
      </c>
      <c r="J52" s="16">
        <f>'5104-510 Public Relations'!J3</f>
        <v>10209.419999999998</v>
      </c>
      <c r="K52" s="16">
        <f>'5104-510 Public Relations'!K3</f>
        <v>12596.25</v>
      </c>
      <c r="L52" s="16">
        <f>'5104-510 Public Relations'!L3</f>
        <v>12089.599999999999</v>
      </c>
      <c r="M52" s="16">
        <f>'5104-510 Public Relations'!M3</f>
        <v>25163.3</v>
      </c>
      <c r="N52" s="16">
        <f>'5104-510 Public Relations'!N3</f>
        <v>10209.419999999998</v>
      </c>
      <c r="O52" s="17">
        <f>'5104-510 Public Relations'!O3</f>
        <v>157545.36999999997</v>
      </c>
    </row>
    <row r="53" spans="1:17" x14ac:dyDescent="0.3">
      <c r="A53" s="261"/>
      <c r="B53" s="5" t="s">
        <v>31</v>
      </c>
      <c r="C53" s="16">
        <f>'5104-510 Public Relations'!C5</f>
        <v>10209.459999999999</v>
      </c>
      <c r="D53" s="16">
        <f>'5104-510 Public Relations'!D5</f>
        <v>10209.459999999999</v>
      </c>
      <c r="E53" s="16">
        <f>'5104-510 Public Relations'!E5</f>
        <v>21832.46</v>
      </c>
      <c r="F53" s="16">
        <f>'5104-510 Public Relations'!F5</f>
        <v>10209.459999999999</v>
      </c>
      <c r="G53" s="16">
        <f>'5104-510 Public Relations'!G5</f>
        <v>16832.46</v>
      </c>
      <c r="H53" s="16">
        <f>'5104-510 Public Relations'!H5</f>
        <v>10209.459999999999</v>
      </c>
      <c r="I53" s="16">
        <f>'5104-510 Public Relations'!I5</f>
        <v>10209.459999999999</v>
      </c>
      <c r="J53" s="16">
        <f>'5104-510 Public Relations'!J5</f>
        <v>10209.459999999999</v>
      </c>
      <c r="K53" s="16">
        <f>'5104-510 Public Relations'!K5</f>
        <v>21832.46</v>
      </c>
      <c r="L53" s="16">
        <f>'5104-510 Public Relations'!L5</f>
        <v>10209.459999999999</v>
      </c>
      <c r="M53" s="16">
        <f>'5104-510 Public Relations'!M5</f>
        <v>10209.459999999999</v>
      </c>
      <c r="N53" s="16">
        <f>'5104-510 Public Relations'!N5</f>
        <v>10209.459999999999</v>
      </c>
      <c r="O53" s="38">
        <v>170382.52</v>
      </c>
    </row>
    <row r="54" spans="1:17" x14ac:dyDescent="0.3">
      <c r="A54" s="261"/>
      <c r="B54" s="6" t="s">
        <v>29</v>
      </c>
      <c r="C54" s="18">
        <f>'5104-510 Public Relations'!C4</f>
        <v>10209.459999999999</v>
      </c>
      <c r="D54" s="18">
        <f>'5104-510 Public Relations'!D4</f>
        <v>10209.459999999999</v>
      </c>
      <c r="E54" s="18">
        <f>'5104-510 Public Relations'!E4</f>
        <v>21832.46</v>
      </c>
      <c r="F54" s="18">
        <f>'5104-510 Public Relations'!F4</f>
        <v>10209.459999999999</v>
      </c>
      <c r="G54" s="18">
        <f>'5104-510 Public Relations'!G4</f>
        <v>16832.46</v>
      </c>
      <c r="H54" s="18">
        <f>'5104-510 Public Relations'!H4</f>
        <v>10209.459999999999</v>
      </c>
      <c r="I54" s="18">
        <f>'5104-510 Public Relations'!I4</f>
        <v>10209.459999999999</v>
      </c>
      <c r="J54" s="18">
        <f>'5104-510 Public Relations'!J4</f>
        <v>10209.459999999999</v>
      </c>
      <c r="K54" s="18">
        <f>'5104-510 Public Relations'!K4</f>
        <v>21832.46</v>
      </c>
      <c r="L54" s="18">
        <f>'5104-510 Public Relations'!L4</f>
        <v>10209.459999999999</v>
      </c>
      <c r="M54" s="18">
        <f>'5104-510 Public Relations'!M4</f>
        <v>10209.459999999999</v>
      </c>
      <c r="N54" s="18">
        <f>'5104-510 Public Relations'!N4</f>
        <v>10209.459999999999</v>
      </c>
      <c r="O54" s="19">
        <f>'5104-510 Public Relations'!O4</f>
        <v>152382.51999999999</v>
      </c>
      <c r="Q54" s="33">
        <f>O54-O52</f>
        <v>-5162.8499999999767</v>
      </c>
    </row>
    <row r="55" spans="1:17" x14ac:dyDescent="0.3">
      <c r="A55" s="261"/>
      <c r="B55" s="5" t="s">
        <v>32</v>
      </c>
      <c r="C55" s="16">
        <f>'5104-510 Public Relations'!C6</f>
        <v>10467.720000000001</v>
      </c>
      <c r="D55" s="16">
        <f>'5104-510 Public Relations'!D6</f>
        <v>12294.219999999998</v>
      </c>
      <c r="E55" s="16">
        <f>'5104-510 Public Relations'!E6</f>
        <v>10209.419999999998</v>
      </c>
      <c r="F55" s="16">
        <f>'5104-510 Public Relations'!F6</f>
        <v>9126.9599999999991</v>
      </c>
      <c r="G55" s="16">
        <f>'5104-510 Public Relations'!G6</f>
        <v>21267.289999999997</v>
      </c>
      <c r="H55" s="16">
        <f>'5104-510 Public Relations'!H6</f>
        <v>13282.009999999998</v>
      </c>
      <c r="I55" s="16">
        <f>'5104-510 Public Relations'!I6</f>
        <v>8376.9599999999991</v>
      </c>
      <c r="J55" s="16">
        <f>'5104-510 Public Relations'!J6</f>
        <v>8376.9599999999991</v>
      </c>
      <c r="K55" s="16">
        <f>'5104-510 Public Relations'!K6</f>
        <v>10209.419999999998</v>
      </c>
      <c r="L55" s="16">
        <f>'5104-510 Public Relations'!L6</f>
        <v>0</v>
      </c>
      <c r="M55" s="16">
        <f>'5104-510 Public Relations'!M6</f>
        <v>0</v>
      </c>
      <c r="N55" s="16">
        <f>'5104-510 Public Relations'!N6</f>
        <v>0</v>
      </c>
      <c r="O55" s="17">
        <f>'5104-510 Public Relations'!O6</f>
        <v>103610.95999999998</v>
      </c>
    </row>
    <row r="56" spans="1:17" x14ac:dyDescent="0.3">
      <c r="A56" s="36"/>
      <c r="B56" s="2" t="s">
        <v>446</v>
      </c>
      <c r="C56" s="16">
        <f>'5104-510 Public Relations'!C7</f>
        <v>-258.26000000000204</v>
      </c>
      <c r="D56" s="16">
        <f>'5104-510 Public Relations'!D7</f>
        <v>-2084.7599999999984</v>
      </c>
      <c r="E56" s="16">
        <f>'5104-510 Public Relations'!E7</f>
        <v>11623.04</v>
      </c>
      <c r="F56" s="16">
        <f>'5104-510 Public Relations'!F7</f>
        <v>1082.5</v>
      </c>
      <c r="G56" s="16">
        <f>'5104-510 Public Relations'!G7</f>
        <v>-4434.8299999999981</v>
      </c>
      <c r="H56" s="16">
        <f>'5104-510 Public Relations'!H7</f>
        <v>-3072.5499999999993</v>
      </c>
      <c r="I56" s="16">
        <f>'5104-510 Public Relations'!I7</f>
        <v>1832.5</v>
      </c>
      <c r="J56" s="16">
        <f>'5104-510 Public Relations'!J7</f>
        <v>1832.5</v>
      </c>
      <c r="K56" s="16">
        <f>'5104-510 Public Relations'!K7</f>
        <v>11623.04</v>
      </c>
      <c r="L56" s="16">
        <f>'5104-510 Public Relations'!L7</f>
        <v>10209.459999999999</v>
      </c>
      <c r="M56" s="16">
        <f>'5104-510 Public Relations'!M7</f>
        <v>10209.459999999999</v>
      </c>
      <c r="N56" s="16">
        <f>'5104-510 Public Relations'!N7</f>
        <v>10209.459999999999</v>
      </c>
      <c r="O56" s="17">
        <f>'5104-510 Public Relations'!O7</f>
        <v>48771.559999999954</v>
      </c>
    </row>
    <row r="57" spans="1:17" x14ac:dyDescent="0.3">
      <c r="A57" s="36"/>
      <c r="B57" s="3" t="s">
        <v>23</v>
      </c>
      <c r="C57" s="42">
        <f>C55</f>
        <v>10467.720000000001</v>
      </c>
      <c r="D57" s="16">
        <f>SUM($C52:D52)</f>
        <v>16753.919999999998</v>
      </c>
      <c r="E57" s="16">
        <f>SUM($C52:E52)</f>
        <v>25130.879999999997</v>
      </c>
      <c r="F57" s="16">
        <f>SUM($C52:F52)</f>
        <v>42308.759999999995</v>
      </c>
      <c r="G57" s="16">
        <f>SUM($C52:G52)</f>
        <v>66010.329999999987</v>
      </c>
      <c r="H57" s="16">
        <f>SUM($C52:H52)</f>
        <v>77067.959999999992</v>
      </c>
      <c r="I57" s="16"/>
      <c r="J57" s="16"/>
      <c r="K57" s="16"/>
      <c r="L57" s="16"/>
      <c r="M57" s="16"/>
      <c r="N57" s="16"/>
      <c r="O57" s="17"/>
    </row>
    <row r="58" spans="1:17" x14ac:dyDescent="0.3">
      <c r="A58" s="22"/>
      <c r="B58" s="3" t="s">
        <v>25</v>
      </c>
      <c r="C58" s="26">
        <f>-(C57-C53)</f>
        <v>-258.26000000000204</v>
      </c>
      <c r="D58" s="26">
        <f>-(D57-SUM($C56:D56))</f>
        <v>-19096.939999999999</v>
      </c>
      <c r="E58" s="26">
        <f>-(E57-SUM($C56:E56))</f>
        <v>-15850.859999999997</v>
      </c>
      <c r="F58" s="26">
        <f>-(F57-SUM($C56:F56))</f>
        <v>-31946.239999999994</v>
      </c>
      <c r="G58" s="26">
        <f>-(G57-SUM($C56:G56))</f>
        <v>-60082.639999999985</v>
      </c>
      <c r="H58" s="26">
        <f>-(H57-SUM($C56:H56))</f>
        <v>-74212.819999999992</v>
      </c>
      <c r="I58" s="26"/>
      <c r="J58" s="26"/>
      <c r="K58" s="26"/>
      <c r="L58" s="26"/>
      <c r="M58" s="26"/>
      <c r="N58" s="26"/>
      <c r="O58" s="24"/>
    </row>
    <row r="59" spans="1:17" x14ac:dyDescent="0.3">
      <c r="A59" s="36"/>
      <c r="B59" s="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7"/>
    </row>
    <row r="60" spans="1:17" x14ac:dyDescent="0.3">
      <c r="A60" s="263" t="s">
        <v>46</v>
      </c>
      <c r="B60" s="5" t="s">
        <v>16</v>
      </c>
      <c r="C60" s="16">
        <f>'5105-510 Promotional Events'!C3</f>
        <v>0</v>
      </c>
      <c r="D60" s="16">
        <f>'5105-510 Promotional Events'!D3</f>
        <v>0</v>
      </c>
      <c r="E60" s="16">
        <f>'5105-510 Promotional Events'!E3</f>
        <v>0</v>
      </c>
      <c r="F60" s="16">
        <f>'5105-510 Promotional Events'!F3</f>
        <v>0</v>
      </c>
      <c r="G60" s="16">
        <f>'5105-510 Promotional Events'!G3</f>
        <v>0</v>
      </c>
      <c r="H60" s="16">
        <f>'5105-510 Promotional Events'!H3</f>
        <v>0</v>
      </c>
      <c r="I60" s="16">
        <f>'5105-510 Promotional Events'!I3</f>
        <v>0</v>
      </c>
      <c r="J60" s="16">
        <f>'5105-510 Promotional Events'!J3</f>
        <v>0</v>
      </c>
      <c r="K60" s="16">
        <f>'5105-510 Promotional Events'!K3</f>
        <v>0</v>
      </c>
      <c r="L60" s="16">
        <f>'5105-510 Promotional Events'!L3</f>
        <v>0</v>
      </c>
      <c r="M60" s="16">
        <f>'5105-510 Promotional Events'!M3</f>
        <v>0</v>
      </c>
      <c r="N60" s="16">
        <f>'5105-510 Promotional Events'!N3</f>
        <v>0</v>
      </c>
      <c r="O60" s="17">
        <f>'5105-510 Promotional Events'!O3</f>
        <v>0</v>
      </c>
    </row>
    <row r="61" spans="1:17" x14ac:dyDescent="0.3">
      <c r="A61" s="261"/>
      <c r="B61" s="5" t="s">
        <v>31</v>
      </c>
      <c r="C61" s="16">
        <f>'5105-510 Promotional Events'!C5</f>
        <v>0</v>
      </c>
      <c r="D61" s="16">
        <f>'5105-510 Promotional Events'!D5</f>
        <v>0</v>
      </c>
      <c r="E61" s="16">
        <f>'5105-510 Promotional Events'!E5</f>
        <v>0</v>
      </c>
      <c r="F61" s="16">
        <f>'5105-510 Promotional Events'!F5</f>
        <v>0</v>
      </c>
      <c r="G61" s="16">
        <f>'5105-510 Promotional Events'!G5</f>
        <v>0</v>
      </c>
      <c r="H61" s="16">
        <f>'5105-510 Promotional Events'!H5</f>
        <v>0</v>
      </c>
      <c r="I61" s="16">
        <f>'5105-510 Promotional Events'!I5</f>
        <v>0</v>
      </c>
      <c r="J61" s="16">
        <f>'5105-510 Promotional Events'!J5</f>
        <v>0</v>
      </c>
      <c r="K61" s="16">
        <f>'5105-510 Promotional Events'!K5</f>
        <v>0</v>
      </c>
      <c r="L61" s="16">
        <f>'5105-510 Promotional Events'!L5</f>
        <v>0</v>
      </c>
      <c r="M61" s="16">
        <f>'5105-510 Promotional Events'!M5</f>
        <v>0</v>
      </c>
      <c r="N61" s="16">
        <f>'5105-510 Promotional Events'!N5</f>
        <v>0</v>
      </c>
      <c r="O61" s="17">
        <f>'5105-510 Promotional Events'!O5</f>
        <v>0</v>
      </c>
    </row>
    <row r="62" spans="1:17" x14ac:dyDescent="0.3">
      <c r="A62" s="261"/>
      <c r="B62" s="6" t="s">
        <v>29</v>
      </c>
      <c r="C62" s="18">
        <f>'5105-510 Promotional Events'!C4</f>
        <v>0</v>
      </c>
      <c r="D62" s="18">
        <f>'5105-510 Promotional Events'!D4</f>
        <v>0</v>
      </c>
      <c r="E62" s="18">
        <f>'5105-510 Promotional Events'!E4</f>
        <v>0</v>
      </c>
      <c r="F62" s="18">
        <f>'5105-510 Promotional Events'!F4</f>
        <v>0</v>
      </c>
      <c r="G62" s="18">
        <f>'5105-510 Promotional Events'!G4</f>
        <v>0</v>
      </c>
      <c r="H62" s="18">
        <f>'5105-510 Promotional Events'!H4</f>
        <v>0</v>
      </c>
      <c r="I62" s="18">
        <f>'5105-510 Promotional Events'!I4</f>
        <v>0</v>
      </c>
      <c r="J62" s="18">
        <f>'5105-510 Promotional Events'!J4</f>
        <v>0</v>
      </c>
      <c r="K62" s="18">
        <f>'5105-510 Promotional Events'!K4</f>
        <v>0</v>
      </c>
      <c r="L62" s="18">
        <f>'5105-510 Promotional Events'!L4</f>
        <v>0</v>
      </c>
      <c r="M62" s="18">
        <f>'5105-510 Promotional Events'!M4</f>
        <v>0</v>
      </c>
      <c r="N62" s="18">
        <f>'5105-510 Promotional Events'!N4</f>
        <v>0</v>
      </c>
      <c r="O62" s="19">
        <f>'5105-510 Promotional Events'!O4</f>
        <v>0</v>
      </c>
    </row>
    <row r="63" spans="1:17" x14ac:dyDescent="0.3">
      <c r="A63" s="261"/>
      <c r="B63" s="5" t="s">
        <v>32</v>
      </c>
      <c r="C63" s="16">
        <f>'5105-510 Promotional Events'!C6</f>
        <v>2008.82</v>
      </c>
      <c r="D63" s="16">
        <f>'5105-510 Promotional Events'!D6</f>
        <v>2770.4</v>
      </c>
      <c r="E63" s="16">
        <f>'5105-510 Promotional Events'!E6</f>
        <v>55.81</v>
      </c>
      <c r="F63" s="16">
        <f>'5105-510 Promotional Events'!F6</f>
        <v>2373.4199999999996</v>
      </c>
      <c r="G63" s="16">
        <f>'5105-510 Promotional Events'!G6</f>
        <v>1969.39</v>
      </c>
      <c r="H63" s="16">
        <f>'5105-510 Promotional Events'!H6</f>
        <v>3896.16</v>
      </c>
      <c r="I63" s="16">
        <f>'5105-510 Promotional Events'!I6</f>
        <v>96.71</v>
      </c>
      <c r="J63" s="16">
        <f>'5105-510 Promotional Events'!J6</f>
        <v>7626.130000000001</v>
      </c>
      <c r="K63" s="16">
        <f>'5105-510 Promotional Events'!K6</f>
        <v>4229.63</v>
      </c>
      <c r="L63" s="16">
        <f>'5105-510 Promotional Events'!L6</f>
        <v>2301.7199999999998</v>
      </c>
      <c r="M63" s="16">
        <f>'5105-510 Promotional Events'!M6</f>
        <v>0</v>
      </c>
      <c r="N63" s="16">
        <f>'5105-510 Promotional Events'!N6</f>
        <v>0</v>
      </c>
      <c r="O63" s="17">
        <f>'5105-510 Promotional Events'!O6</f>
        <v>27328.19000000001</v>
      </c>
    </row>
    <row r="64" spans="1:17" x14ac:dyDescent="0.3">
      <c r="A64" s="36"/>
      <c r="B64" s="2" t="s">
        <v>446</v>
      </c>
      <c r="C64" s="16">
        <f>'5105-510 Promotional Events'!C7</f>
        <v>-2008.82</v>
      </c>
      <c r="D64" s="16">
        <f>'5105-510 Promotional Events'!D7</f>
        <v>-2770.4</v>
      </c>
      <c r="E64" s="16">
        <f>'5105-510 Promotional Events'!E7</f>
        <v>-55.81</v>
      </c>
      <c r="F64" s="16">
        <f>'5105-510 Promotional Events'!F7</f>
        <v>-2373.4199999999996</v>
      </c>
      <c r="G64" s="16">
        <f>'5105-510 Promotional Events'!G7</f>
        <v>-1969.39</v>
      </c>
      <c r="H64" s="16">
        <f>'5105-510 Promotional Events'!H7</f>
        <v>-3896.16</v>
      </c>
      <c r="I64" s="16">
        <f>'5105-510 Promotional Events'!I7</f>
        <v>-96.71</v>
      </c>
      <c r="J64" s="16">
        <f>'5105-510 Promotional Events'!J7</f>
        <v>-7626.130000000001</v>
      </c>
      <c r="K64" s="16">
        <f>'5105-510 Promotional Events'!K7</f>
        <v>-4229.63</v>
      </c>
      <c r="L64" s="16">
        <f>'5105-510 Promotional Events'!L7</f>
        <v>-2301.7199999999998</v>
      </c>
      <c r="M64" s="16">
        <f>'5105-510 Promotional Events'!M7</f>
        <v>0</v>
      </c>
      <c r="N64" s="16">
        <f>'5105-510 Promotional Events'!N7</f>
        <v>0</v>
      </c>
      <c r="O64" s="17">
        <f>'5105-510 Promotional Events'!O7</f>
        <v>-27328.19000000001</v>
      </c>
    </row>
    <row r="65" spans="1:17" x14ac:dyDescent="0.3">
      <c r="A65" s="36"/>
      <c r="B65" s="3" t="s">
        <v>23</v>
      </c>
      <c r="C65" s="42">
        <f>C63</f>
        <v>2008.82</v>
      </c>
      <c r="D65" s="16">
        <f>SUM($C60:D60)</f>
        <v>0</v>
      </c>
      <c r="E65" s="16">
        <f>SUM($C60:E60)</f>
        <v>0</v>
      </c>
      <c r="F65" s="16">
        <f>SUM($C60:F60)</f>
        <v>0</v>
      </c>
      <c r="G65" s="16">
        <f>SUM($C60:G60)</f>
        <v>0</v>
      </c>
      <c r="H65" s="16">
        <f>SUM($C60:H60)</f>
        <v>0</v>
      </c>
      <c r="I65" s="16"/>
      <c r="J65" s="16"/>
      <c r="K65" s="16"/>
      <c r="L65" s="16"/>
      <c r="M65" s="16"/>
      <c r="N65" s="16"/>
      <c r="O65" s="26"/>
    </row>
    <row r="66" spans="1:17" x14ac:dyDescent="0.3">
      <c r="A66" s="22"/>
      <c r="B66" s="3" t="s">
        <v>25</v>
      </c>
      <c r="C66" s="26">
        <f>-(C65-C61)</f>
        <v>-2008.82</v>
      </c>
      <c r="D66" s="26">
        <f>-(D65-SUM($C64:D64))</f>
        <v>-4779.22</v>
      </c>
      <c r="E66" s="26">
        <f>-(E65-SUM($C64:E64))</f>
        <v>-4835.0300000000007</v>
      </c>
      <c r="F66" s="26">
        <f>-(F65-SUM($C64:F64))</f>
        <v>-7208.4500000000007</v>
      </c>
      <c r="G66" s="26">
        <f>-(G65-SUM($C64:G64))</f>
        <v>-9177.84</v>
      </c>
      <c r="H66" s="26">
        <f>-(H65-SUM($C64:H64))</f>
        <v>-13074</v>
      </c>
      <c r="I66" s="26"/>
      <c r="J66" s="26"/>
      <c r="K66" s="26"/>
      <c r="L66" s="26"/>
      <c r="M66" s="26"/>
      <c r="N66" s="26"/>
      <c r="O66" s="24"/>
    </row>
    <row r="67" spans="1:17" x14ac:dyDescent="0.3">
      <c r="O67" s="27"/>
    </row>
    <row r="68" spans="1:17" x14ac:dyDescent="0.3">
      <c r="O68" s="27"/>
    </row>
    <row r="69" spans="1:17" x14ac:dyDescent="0.3">
      <c r="A69" s="263" t="s">
        <v>48</v>
      </c>
      <c r="B69" s="5" t="s">
        <v>16</v>
      </c>
      <c r="C69" s="16">
        <f>'5200-510 Operating Materials'!C3</f>
        <v>11179.59</v>
      </c>
      <c r="D69" s="16">
        <f>'5200-510 Operating Materials'!D3</f>
        <v>1172.82</v>
      </c>
      <c r="E69" s="16">
        <f>'5200-510 Operating Materials'!E3</f>
        <v>736.31000000000006</v>
      </c>
      <c r="F69" s="16">
        <f>'5200-510 Operating Materials'!F3</f>
        <v>664.21</v>
      </c>
      <c r="G69" s="16">
        <f>'5200-510 Operating Materials'!G3</f>
        <v>16420.22</v>
      </c>
      <c r="H69" s="16">
        <f>'5200-510 Operating Materials'!H3</f>
        <v>15007.29</v>
      </c>
      <c r="I69" s="16">
        <f>'5200-510 Operating Materials'!I3</f>
        <v>1207.3100000000002</v>
      </c>
      <c r="J69" s="16">
        <f>'5200-510 Operating Materials'!J3</f>
        <v>12974.18</v>
      </c>
      <c r="K69" s="16">
        <f>'5200-510 Operating Materials'!K3</f>
        <v>33189.300000000003</v>
      </c>
      <c r="L69" s="16">
        <f>'5200-510 Operating Materials'!L3</f>
        <v>1699.35</v>
      </c>
      <c r="M69" s="16">
        <f>'5200-510 Operating Materials'!M3</f>
        <v>296.19</v>
      </c>
      <c r="N69" s="16">
        <f>'5200-510 Operating Materials'!N3</f>
        <v>0</v>
      </c>
      <c r="O69" s="17">
        <f>'5200-510 Operating Materials'!O3</f>
        <v>94546.76999999999</v>
      </c>
    </row>
    <row r="70" spans="1:17" x14ac:dyDescent="0.3">
      <c r="A70" s="261"/>
      <c r="B70" s="5" t="s">
        <v>31</v>
      </c>
      <c r="C70" s="16">
        <f>'5200-510 Operating Materials'!C5</f>
        <v>10884.94</v>
      </c>
      <c r="D70" s="16">
        <f>'5200-510 Operating Materials'!D5</f>
        <v>2434.69</v>
      </c>
      <c r="E70" s="16">
        <f>'5200-510 Operating Materials'!E5</f>
        <v>16775</v>
      </c>
      <c r="F70" s="16">
        <f>'5200-510 Operating Materials'!F5</f>
        <v>1314</v>
      </c>
      <c r="G70" s="16">
        <f>'5200-510 Operating Materials'!G5</f>
        <v>3345</v>
      </c>
      <c r="H70" s="16">
        <f>'5200-510 Operating Materials'!H5</f>
        <v>15220</v>
      </c>
      <c r="I70" s="16">
        <f>'5200-510 Operating Materials'!I5</f>
        <v>1475</v>
      </c>
      <c r="J70" s="16">
        <f>'5200-510 Operating Materials'!J5</f>
        <v>14505</v>
      </c>
      <c r="K70" s="16">
        <f>'5200-510 Operating Materials'!K5</f>
        <v>31059</v>
      </c>
      <c r="L70" s="16">
        <f>'5200-510 Operating Materials'!L5</f>
        <v>2275</v>
      </c>
      <c r="M70" s="16">
        <f>'5200-510 Operating Materials'!M5</f>
        <v>775</v>
      </c>
      <c r="N70" s="16">
        <f>'5200-510 Operating Materials'!N5</f>
        <v>775</v>
      </c>
      <c r="O70" s="17">
        <f>'5200-510 Operating Materials'!O5</f>
        <v>100837.63</v>
      </c>
    </row>
    <row r="71" spans="1:17" x14ac:dyDescent="0.3">
      <c r="A71" s="261"/>
      <c r="B71" s="6" t="s">
        <v>29</v>
      </c>
      <c r="C71" s="18">
        <f>'5200-510 Operating Materials'!C4</f>
        <v>10884.94</v>
      </c>
      <c r="D71" s="18">
        <f>'5200-510 Operating Materials'!D4</f>
        <v>2434.69</v>
      </c>
      <c r="E71" s="18">
        <f>'5200-510 Operating Materials'!E4</f>
        <v>16775</v>
      </c>
      <c r="F71" s="18">
        <f>'5200-510 Operating Materials'!F4</f>
        <v>1314</v>
      </c>
      <c r="G71" s="18">
        <f>'5200-510 Operating Materials'!G4</f>
        <v>3345</v>
      </c>
      <c r="H71" s="18">
        <f>'5200-510 Operating Materials'!H4</f>
        <v>15220</v>
      </c>
      <c r="I71" s="18">
        <f>'5200-510 Operating Materials'!I4</f>
        <v>1475</v>
      </c>
      <c r="J71" s="18">
        <f>'5200-510 Operating Materials'!J4</f>
        <v>14505</v>
      </c>
      <c r="K71" s="18">
        <f>'5200-510 Operating Materials'!K4</f>
        <v>31059</v>
      </c>
      <c r="L71" s="18">
        <f>'5200-510 Operating Materials'!L4</f>
        <v>2275</v>
      </c>
      <c r="M71" s="18">
        <f>'5200-510 Operating Materials'!M4</f>
        <v>775</v>
      </c>
      <c r="N71" s="18">
        <f>'5200-510 Operating Materials'!N4</f>
        <v>775</v>
      </c>
      <c r="O71" s="19">
        <f>'5200-510 Operating Materials'!O4</f>
        <v>100837.63</v>
      </c>
      <c r="Q71" s="33">
        <f>O71-O69</f>
        <v>6290.8600000000151</v>
      </c>
    </row>
    <row r="72" spans="1:17" x14ac:dyDescent="0.3">
      <c r="A72" s="261"/>
      <c r="B72" s="5" t="s">
        <v>32</v>
      </c>
      <c r="C72" s="16">
        <f>'5200-510 Operating Materials'!C6</f>
        <v>44094.99</v>
      </c>
      <c r="D72" s="16">
        <f>'5200-510 Operating Materials'!D6</f>
        <v>13689.270000000002</v>
      </c>
      <c r="E72" s="16">
        <f>'5200-510 Operating Materials'!E6</f>
        <v>18956.759999999998</v>
      </c>
      <c r="F72" s="16">
        <f>'5200-510 Operating Materials'!F6</f>
        <v>571.13</v>
      </c>
      <c r="G72" s="16">
        <f>'5200-510 Operating Materials'!G6</f>
        <v>18214.759999999998</v>
      </c>
      <c r="H72" s="16">
        <f>'5200-510 Operating Materials'!H6</f>
        <v>4108.58</v>
      </c>
      <c r="I72" s="16">
        <f>'5200-510 Operating Materials'!I6</f>
        <v>19645.819999999996</v>
      </c>
      <c r="J72" s="16">
        <f>'5200-510 Operating Materials'!J6</f>
        <v>30129.71</v>
      </c>
      <c r="K72" s="16">
        <f>'5200-510 Operating Materials'!K6</f>
        <v>10098.229999999998</v>
      </c>
      <c r="L72" s="16">
        <f>'5200-510 Operating Materials'!L6</f>
        <v>111.14000000000001</v>
      </c>
      <c r="M72" s="16">
        <f>'5200-510 Operating Materials'!M6</f>
        <v>0</v>
      </c>
      <c r="N72" s="16">
        <f>'5200-510 Operating Materials'!N6</f>
        <v>0</v>
      </c>
      <c r="O72" s="17">
        <f>'5200-510 Operating Materials'!O6</f>
        <v>159620.38999999998</v>
      </c>
    </row>
    <row r="73" spans="1:17" x14ac:dyDescent="0.3">
      <c r="A73" s="22"/>
      <c r="B73" s="23" t="s">
        <v>447</v>
      </c>
      <c r="C73" s="26">
        <f>'5200-510 Operating Materials'!C7</f>
        <v>-33210.049999999996</v>
      </c>
      <c r="D73" s="26">
        <f>'5200-510 Operating Materials'!D7</f>
        <v>-11254.580000000002</v>
      </c>
      <c r="E73" s="26">
        <f>'5200-510 Operating Materials'!E7</f>
        <v>-2181.7599999999984</v>
      </c>
      <c r="F73" s="26">
        <f>'5200-510 Operating Materials'!F7</f>
        <v>742.87</v>
      </c>
      <c r="G73" s="26">
        <f>'5200-510 Operating Materials'!G7</f>
        <v>-14869.759999999998</v>
      </c>
      <c r="H73" s="26">
        <f>'5200-510 Operating Materials'!H7</f>
        <v>11111.42</v>
      </c>
      <c r="I73" s="26">
        <f>'5200-510 Operating Materials'!I7</f>
        <v>-18170.819999999996</v>
      </c>
      <c r="J73" s="26">
        <f>'5200-510 Operating Materials'!J7</f>
        <v>-15624.71</v>
      </c>
      <c r="K73" s="26">
        <f>'5200-510 Operating Materials'!K7</f>
        <v>20960.770000000004</v>
      </c>
      <c r="L73" s="26">
        <f>'5200-510 Operating Materials'!L7</f>
        <v>2163.86</v>
      </c>
      <c r="M73" s="26">
        <f>'5200-510 Operating Materials'!M7</f>
        <v>775</v>
      </c>
      <c r="N73" s="26">
        <f>'5200-510 Operating Materials'!N7</f>
        <v>775</v>
      </c>
      <c r="O73" s="24">
        <f>'5200-510 Operating Materials'!O7</f>
        <v>-58782.75999999998</v>
      </c>
    </row>
    <row r="74" spans="1:17" x14ac:dyDescent="0.3">
      <c r="O74" s="27"/>
    </row>
    <row r="75" spans="1:17" x14ac:dyDescent="0.3">
      <c r="A75" s="263" t="s">
        <v>50</v>
      </c>
      <c r="B75" s="5" t="s">
        <v>16</v>
      </c>
      <c r="C75" s="16">
        <f>'5201-510 Uniform'!C3</f>
        <v>0</v>
      </c>
      <c r="D75" s="16">
        <f>'5201-510 Uniform'!D3</f>
        <v>360.23</v>
      </c>
      <c r="E75" s="16">
        <f>'5201-510 Uniform'!E3</f>
        <v>695.32</v>
      </c>
      <c r="F75" s="16">
        <f>'5201-510 Uniform'!F3</f>
        <v>0</v>
      </c>
      <c r="G75" s="16">
        <f>'5201-510 Uniform'!G3</f>
        <v>85.42</v>
      </c>
      <c r="H75" s="16">
        <f>'5201-510 Uniform'!H3</f>
        <v>0</v>
      </c>
      <c r="I75" s="16">
        <f>'5201-510 Uniform'!I3</f>
        <v>0</v>
      </c>
      <c r="J75" s="16">
        <f>'5201-510 Uniform'!J3</f>
        <v>0</v>
      </c>
      <c r="K75" s="16">
        <f>'5201-510 Uniform'!K3</f>
        <v>0</v>
      </c>
      <c r="L75" s="16">
        <f>'5201-510 Uniform'!L3</f>
        <v>0</v>
      </c>
      <c r="M75" s="16">
        <f>'5201-510 Uniform'!M3</f>
        <v>0</v>
      </c>
      <c r="N75" s="16">
        <f>'5201-510 Uniform'!N3</f>
        <v>0</v>
      </c>
      <c r="O75" s="17">
        <f>'5201-510 Uniform'!O3</f>
        <v>1140.9700000000003</v>
      </c>
    </row>
    <row r="76" spans="1:17" x14ac:dyDescent="0.3">
      <c r="A76" s="263"/>
      <c r="B76" s="5" t="s">
        <v>31</v>
      </c>
      <c r="C76" s="16">
        <f>'5201-510 Uniform'!C5</f>
        <v>0</v>
      </c>
      <c r="D76" s="16">
        <f>'5201-510 Uniform'!D5</f>
        <v>0</v>
      </c>
      <c r="E76" s="16">
        <f>'5201-510 Uniform'!E5</f>
        <v>0</v>
      </c>
      <c r="F76" s="16">
        <f>'5201-510 Uniform'!F5</f>
        <v>0</v>
      </c>
      <c r="G76" s="16">
        <f>'5201-510 Uniform'!G5</f>
        <v>0</v>
      </c>
      <c r="H76" s="16">
        <f>'5201-510 Uniform'!H5</f>
        <v>0</v>
      </c>
      <c r="I76" s="16">
        <f>'5201-510 Uniform'!I5</f>
        <v>0</v>
      </c>
      <c r="J76" s="16">
        <f>'5201-510 Uniform'!J5</f>
        <v>0</v>
      </c>
      <c r="K76" s="16">
        <f>'5201-510 Uniform'!K5</f>
        <v>0</v>
      </c>
      <c r="L76" s="16">
        <f>'5201-510 Uniform'!L5</f>
        <v>0</v>
      </c>
      <c r="M76" s="16">
        <f>'5201-510 Uniform'!M5</f>
        <v>0</v>
      </c>
      <c r="N76" s="16">
        <f>'5201-510 Uniform'!N5</f>
        <v>0</v>
      </c>
      <c r="O76" s="17">
        <f>'5201-510 Uniform'!O5</f>
        <v>0</v>
      </c>
    </row>
    <row r="77" spans="1:17" x14ac:dyDescent="0.3">
      <c r="A77" s="263"/>
      <c r="B77" s="6" t="s">
        <v>29</v>
      </c>
      <c r="C77" s="18">
        <f>'5201-510 Uniform'!C4</f>
        <v>3500</v>
      </c>
      <c r="D77" s="18">
        <f>'5201-510 Uniform'!D4</f>
        <v>0</v>
      </c>
      <c r="E77" s="18">
        <f>'5201-510 Uniform'!E4</f>
        <v>0</v>
      </c>
      <c r="F77" s="18">
        <f>'5201-510 Uniform'!F4</f>
        <v>0</v>
      </c>
      <c r="G77" s="18">
        <f>'5201-510 Uniform'!G4</f>
        <v>0</v>
      </c>
      <c r="H77" s="18">
        <f>'5201-510 Uniform'!H4</f>
        <v>0</v>
      </c>
      <c r="I77" s="18">
        <f>'5201-510 Uniform'!I4</f>
        <v>0</v>
      </c>
      <c r="J77" s="18">
        <f>'5201-510 Uniform'!J4</f>
        <v>0</v>
      </c>
      <c r="K77" s="18">
        <f>'5201-510 Uniform'!K4</f>
        <v>0</v>
      </c>
      <c r="L77" s="18">
        <f>'5201-510 Uniform'!L4</f>
        <v>0</v>
      </c>
      <c r="M77" s="18">
        <f>'5201-510 Uniform'!M4</f>
        <v>0</v>
      </c>
      <c r="N77" s="18">
        <f>'5201-510 Uniform'!N4</f>
        <v>0</v>
      </c>
      <c r="O77" s="19">
        <f>'5201-510 Uniform'!O4</f>
        <v>3500</v>
      </c>
      <c r="Q77" s="33">
        <f>O77-O75</f>
        <v>2359.0299999999997</v>
      </c>
    </row>
    <row r="78" spans="1:17" x14ac:dyDescent="0.3">
      <c r="A78" s="263"/>
      <c r="B78" s="5" t="s">
        <v>32</v>
      </c>
      <c r="C78" s="16">
        <f>'5201-510 Uniform'!C6</f>
        <v>0</v>
      </c>
      <c r="D78" s="16">
        <f>'5201-510 Uniform'!D6</f>
        <v>0</v>
      </c>
      <c r="E78" s="16">
        <f>'5201-510 Uniform'!E6</f>
        <v>0</v>
      </c>
      <c r="F78" s="16">
        <f>'5201-510 Uniform'!F6</f>
        <v>1593.8</v>
      </c>
      <c r="G78" s="16">
        <f>'5201-510 Uniform'!G6</f>
        <v>0</v>
      </c>
      <c r="H78" s="16">
        <f>'5201-510 Uniform'!H6</f>
        <v>0</v>
      </c>
      <c r="I78" s="16">
        <f>'5201-510 Uniform'!I6</f>
        <v>0</v>
      </c>
      <c r="J78" s="16">
        <f>'5201-510 Uniform'!J6</f>
        <v>93.76</v>
      </c>
      <c r="K78" s="16">
        <f>'5201-510 Uniform'!K6</f>
        <v>0</v>
      </c>
      <c r="L78" s="16">
        <f>'5201-510 Uniform'!L6</f>
        <v>0</v>
      </c>
      <c r="M78" s="16">
        <f>'5201-510 Uniform'!M6</f>
        <v>0</v>
      </c>
      <c r="N78" s="16">
        <f>'5201-510 Uniform'!N6</f>
        <v>0</v>
      </c>
      <c r="O78" s="17">
        <f>'5201-510 Uniform'!O6</f>
        <v>1687.56</v>
      </c>
    </row>
    <row r="79" spans="1:17" x14ac:dyDescent="0.3">
      <c r="A79" s="22"/>
      <c r="B79" s="23" t="s">
        <v>447</v>
      </c>
      <c r="C79" s="26">
        <f>'5201-510 Uniform'!C7</f>
        <v>0</v>
      </c>
      <c r="D79" s="26">
        <f>'5201-510 Uniform'!D7</f>
        <v>0</v>
      </c>
      <c r="E79" s="26">
        <f>'5201-510 Uniform'!E7</f>
        <v>0</v>
      </c>
      <c r="F79" s="26">
        <f>'5201-510 Uniform'!F7</f>
        <v>-1593.8</v>
      </c>
      <c r="G79" s="26">
        <f>'5201-510 Uniform'!G7</f>
        <v>0</v>
      </c>
      <c r="H79" s="26">
        <f>'5201-510 Uniform'!H7</f>
        <v>0</v>
      </c>
      <c r="I79" s="26">
        <f>'5201-510 Uniform'!I7</f>
        <v>0</v>
      </c>
      <c r="J79" s="26">
        <f>'5201-510 Uniform'!J7</f>
        <v>-93.76</v>
      </c>
      <c r="K79" s="26">
        <f>'5201-510 Uniform'!K7</f>
        <v>0</v>
      </c>
      <c r="L79" s="26">
        <f>'5201-510 Uniform'!L7</f>
        <v>0</v>
      </c>
      <c r="M79" s="26">
        <f>'5201-510 Uniform'!M7</f>
        <v>0</v>
      </c>
      <c r="N79" s="26">
        <f>'5201-510 Uniform'!N7</f>
        <v>0</v>
      </c>
      <c r="O79" s="24">
        <f>'5201-510 Uniform'!O7</f>
        <v>-1687.56</v>
      </c>
    </row>
    <row r="80" spans="1:17" x14ac:dyDescent="0.3">
      <c r="O80" s="27"/>
    </row>
    <row r="81" spans="1:18" x14ac:dyDescent="0.3">
      <c r="A81" s="263" t="s">
        <v>52</v>
      </c>
      <c r="B81" s="5" t="s">
        <v>16</v>
      </c>
      <c r="C81" s="16">
        <f>'5203-510 Furnishings'!C3</f>
        <v>3692.5</v>
      </c>
      <c r="D81" s="16">
        <f>'5203-510 Furnishings'!D3</f>
        <v>0</v>
      </c>
      <c r="E81" s="16">
        <f>'5203-510 Furnishings'!E3</f>
        <v>0</v>
      </c>
      <c r="F81" s="16">
        <f>'5203-510 Furnishings'!F3</f>
        <v>0</v>
      </c>
      <c r="G81" s="16">
        <f>'5203-510 Furnishings'!G3</f>
        <v>0</v>
      </c>
      <c r="H81" s="16">
        <f>'5203-510 Furnishings'!H3</f>
        <v>0</v>
      </c>
      <c r="I81" s="16">
        <f>'5203-510 Furnishings'!I3</f>
        <v>0</v>
      </c>
      <c r="J81" s="16">
        <f>'5203-510 Furnishings'!J3</f>
        <v>0</v>
      </c>
      <c r="K81" s="16">
        <f>'5203-510 Furnishings'!K3</f>
        <v>0</v>
      </c>
      <c r="L81" s="16">
        <f>'5203-510 Furnishings'!L3</f>
        <v>0</v>
      </c>
      <c r="M81" s="16">
        <f>'5203-510 Furnishings'!M3</f>
        <v>0</v>
      </c>
      <c r="N81" s="16">
        <f>'5203-510 Furnishings'!N3</f>
        <v>0</v>
      </c>
      <c r="O81" s="17">
        <f>'5203-510 Furnishings'!O3</f>
        <v>0</v>
      </c>
      <c r="R81" t="s">
        <v>53</v>
      </c>
    </row>
    <row r="82" spans="1:18" x14ac:dyDescent="0.3">
      <c r="A82" s="263"/>
      <c r="B82" s="5" t="s">
        <v>31</v>
      </c>
      <c r="C82" s="16">
        <f>'5203-510 Furnishings'!C5</f>
        <v>0</v>
      </c>
      <c r="D82" s="16">
        <f>'5203-510 Furnishings'!D5</f>
        <v>0</v>
      </c>
      <c r="E82" s="16">
        <f>'5203-510 Furnishings'!E5</f>
        <v>0</v>
      </c>
      <c r="F82" s="16">
        <f>'5203-510 Furnishings'!F5</f>
        <v>0</v>
      </c>
      <c r="G82" s="16">
        <f>'5203-510 Furnishings'!G5</f>
        <v>0</v>
      </c>
      <c r="H82" s="16">
        <f>'5203-510 Furnishings'!H5</f>
        <v>0</v>
      </c>
      <c r="I82" s="16">
        <f>'5203-510 Furnishings'!I5</f>
        <v>0</v>
      </c>
      <c r="J82" s="16">
        <f>'5203-510 Furnishings'!J5</f>
        <v>0</v>
      </c>
      <c r="K82" s="16">
        <f>'5203-510 Furnishings'!K5</f>
        <v>0</v>
      </c>
      <c r="L82" s="16">
        <f>'5203-510 Furnishings'!L5</f>
        <v>0</v>
      </c>
      <c r="M82" s="16">
        <f>'5203-510 Furnishings'!M5</f>
        <v>0</v>
      </c>
      <c r="N82" s="16">
        <f>'5203-510 Furnishings'!N5</f>
        <v>0</v>
      </c>
      <c r="O82" s="17">
        <f>'5203-510 Furnishings'!O5</f>
        <v>0</v>
      </c>
    </row>
    <row r="83" spans="1:18" x14ac:dyDescent="0.3">
      <c r="A83" s="263"/>
      <c r="B83" s="6" t="s">
        <v>29</v>
      </c>
      <c r="C83" s="18">
        <f>'5203-510 Furnishings'!C4</f>
        <v>38895.53</v>
      </c>
      <c r="D83" s="18">
        <f>'5203-510 Furnishings'!D4</f>
        <v>0</v>
      </c>
      <c r="E83" s="18">
        <f>'5203-510 Furnishings'!E4</f>
        <v>0</v>
      </c>
      <c r="F83" s="18">
        <f>'5203-510 Furnishings'!F4</f>
        <v>236.17</v>
      </c>
      <c r="G83" s="18">
        <f>'5203-510 Furnishings'!G4</f>
        <v>0</v>
      </c>
      <c r="H83" s="18">
        <f>'5203-510 Furnishings'!H4</f>
        <v>0</v>
      </c>
      <c r="I83" s="18">
        <f>'5203-510 Furnishings'!I4</f>
        <v>0</v>
      </c>
      <c r="J83" s="18">
        <f>'5203-510 Furnishings'!J4</f>
        <v>0</v>
      </c>
      <c r="K83" s="18">
        <f>'5203-510 Furnishings'!K4</f>
        <v>0</v>
      </c>
      <c r="L83" s="18">
        <f>'5203-510 Furnishings'!L4</f>
        <v>0</v>
      </c>
      <c r="M83" s="18">
        <f>'5203-510 Furnishings'!M4</f>
        <v>0</v>
      </c>
      <c r="N83" s="18">
        <f>'5203-510 Furnishings'!N4</f>
        <v>0</v>
      </c>
      <c r="O83" s="19">
        <f>'5203-510 Furnishings'!O4</f>
        <v>39131.699999999997</v>
      </c>
      <c r="Q83" s="33">
        <f>O83-O81</f>
        <v>39131.699999999997</v>
      </c>
      <c r="R83" t="s">
        <v>54</v>
      </c>
    </row>
    <row r="84" spans="1:18" x14ac:dyDescent="0.3">
      <c r="A84" s="263"/>
      <c r="B84" s="5" t="s">
        <v>32</v>
      </c>
      <c r="C84" s="16">
        <f>'5203-510 Furnishings'!C6</f>
        <v>0</v>
      </c>
      <c r="D84" s="16">
        <f>'5203-510 Furnishings'!D6</f>
        <v>0</v>
      </c>
      <c r="E84" s="16">
        <f>'5203-510 Furnishings'!E6</f>
        <v>40709.160000000003</v>
      </c>
      <c r="F84" s="16">
        <f>'5203-510 Furnishings'!F6</f>
        <v>3858.19</v>
      </c>
      <c r="G84" s="16">
        <f>'5203-510 Furnishings'!G6</f>
        <v>243.55</v>
      </c>
      <c r="H84" s="16">
        <f>'5203-510 Furnishings'!H6</f>
        <v>0</v>
      </c>
      <c r="I84" s="16">
        <f>'5203-510 Furnishings'!I6</f>
        <v>54.69</v>
      </c>
      <c r="J84" s="16">
        <f>'5203-510 Furnishings'!J6</f>
        <v>28.26</v>
      </c>
      <c r="K84" s="16">
        <f>'5203-510 Furnishings'!K6</f>
        <v>56.69</v>
      </c>
      <c r="L84" s="16">
        <f>'5203-510 Furnishings'!L6</f>
        <v>0</v>
      </c>
      <c r="M84" s="16">
        <f>'5203-510 Furnishings'!M6</f>
        <v>0</v>
      </c>
      <c r="N84" s="16">
        <f>'5203-510 Furnishings'!N6</f>
        <v>0</v>
      </c>
      <c r="O84" s="17">
        <f>'5203-510 Furnishings'!O6</f>
        <v>44950.54</v>
      </c>
    </row>
    <row r="85" spans="1:18" x14ac:dyDescent="0.3">
      <c r="A85" s="22"/>
      <c r="B85" s="23" t="s">
        <v>447</v>
      </c>
      <c r="C85" s="26">
        <f>'5203-510 Furnishings'!C7</f>
        <v>0</v>
      </c>
      <c r="D85" s="26">
        <f>'5203-510 Furnishings'!D7</f>
        <v>0</v>
      </c>
      <c r="E85" s="26">
        <f>'5203-510 Furnishings'!E7</f>
        <v>-40709.160000000003</v>
      </c>
      <c r="F85" s="26">
        <f>'5203-510 Furnishings'!F7</f>
        <v>-3858.19</v>
      </c>
      <c r="G85" s="26">
        <f>'5203-510 Furnishings'!G7</f>
        <v>-243.55</v>
      </c>
      <c r="H85" s="26">
        <f>'5203-510 Furnishings'!H7</f>
        <v>0</v>
      </c>
      <c r="I85" s="26">
        <f>'5203-510 Furnishings'!I7</f>
        <v>-54.69</v>
      </c>
      <c r="J85" s="26">
        <f>'5203-510 Furnishings'!J7</f>
        <v>-28.26</v>
      </c>
      <c r="K85" s="26">
        <f>'5203-510 Furnishings'!K7</f>
        <v>-56.69</v>
      </c>
      <c r="L85" s="26">
        <f>'5203-510 Furnishings'!L7</f>
        <v>0</v>
      </c>
      <c r="M85" s="26">
        <f>'5203-510 Furnishings'!M7</f>
        <v>0</v>
      </c>
      <c r="N85" s="26">
        <f>'5203-510 Furnishings'!N7</f>
        <v>0</v>
      </c>
      <c r="O85" s="24">
        <f>'5203-510 Furnishings'!O7</f>
        <v>-44950.54</v>
      </c>
    </row>
    <row r="86" spans="1:18" x14ac:dyDescent="0.3">
      <c r="O86" s="27"/>
    </row>
    <row r="87" spans="1:18" x14ac:dyDescent="0.3">
      <c r="A87" s="263" t="s">
        <v>56</v>
      </c>
      <c r="B87" s="5" t="s">
        <v>16</v>
      </c>
      <c r="C87" s="16">
        <f>'5312-510 General Contracted '!C3</f>
        <v>0</v>
      </c>
      <c r="D87" s="16">
        <f>'5312-510 General Contracted '!D3</f>
        <v>0</v>
      </c>
      <c r="E87" s="16">
        <f>'5312-510 General Contracted '!E3</f>
        <v>0</v>
      </c>
      <c r="F87" s="16">
        <f>'5312-510 General Contracted '!F3</f>
        <v>0</v>
      </c>
      <c r="G87" s="16">
        <f>'5312-510 General Contracted '!G3</f>
        <v>0</v>
      </c>
      <c r="H87" s="16">
        <f>'5312-510 General Contracted '!H3</f>
        <v>0</v>
      </c>
      <c r="I87" s="16">
        <f>'5312-510 General Contracted '!I3</f>
        <v>0</v>
      </c>
      <c r="J87" s="16">
        <f>'5312-510 General Contracted '!J3</f>
        <v>0</v>
      </c>
      <c r="K87" s="16">
        <f>'5312-510 General Contracted '!K3</f>
        <v>10240</v>
      </c>
      <c r="L87" s="16">
        <f>'5312-510 General Contracted '!L3</f>
        <v>10933.35</v>
      </c>
      <c r="M87" s="16">
        <f>'5312-510 General Contracted '!M3</f>
        <v>0</v>
      </c>
      <c r="N87" s="16">
        <f>'5312-510 General Contracted '!N3</f>
        <v>0</v>
      </c>
      <c r="O87" s="17">
        <f>'5312-510 General Contracted '!O3</f>
        <v>21173.35</v>
      </c>
    </row>
    <row r="88" spans="1:18" x14ac:dyDescent="0.3">
      <c r="A88" s="263"/>
      <c r="B88" s="5" t="s">
        <v>31</v>
      </c>
      <c r="C88" s="16">
        <f>'5312-510 General Contracted '!C5</f>
        <v>0</v>
      </c>
      <c r="D88" s="16">
        <f>'5312-510 General Contracted '!D5</f>
        <v>0</v>
      </c>
      <c r="E88" s="16">
        <f>'5312-510 General Contracted '!E5</f>
        <v>0</v>
      </c>
      <c r="F88" s="16">
        <f>'5312-510 General Contracted '!F5</f>
        <v>0</v>
      </c>
      <c r="G88" s="16">
        <f>'5312-510 General Contracted '!G5</f>
        <v>0</v>
      </c>
      <c r="H88" s="16">
        <f>'5312-510 General Contracted '!H5</f>
        <v>0</v>
      </c>
      <c r="I88" s="16">
        <f>'5312-510 General Contracted '!I5</f>
        <v>0</v>
      </c>
      <c r="J88" s="16">
        <f>'5312-510 General Contracted '!J5</f>
        <v>0</v>
      </c>
      <c r="K88" s="16">
        <f>'5312-510 General Contracted '!K5</f>
        <v>0</v>
      </c>
      <c r="L88" s="16">
        <f>'5312-510 General Contracted '!L5</f>
        <v>0</v>
      </c>
      <c r="M88" s="16">
        <f>'5312-510 General Contracted '!M5</f>
        <v>0</v>
      </c>
      <c r="N88" s="16">
        <f>'5312-510 General Contracted '!N5</f>
        <v>0</v>
      </c>
      <c r="O88" s="17">
        <f>'5312-510 General Contracted '!O5</f>
        <v>0</v>
      </c>
    </row>
    <row r="89" spans="1:18" x14ac:dyDescent="0.3">
      <c r="A89" s="263"/>
      <c r="B89" s="6" t="s">
        <v>29</v>
      </c>
      <c r="C89" s="18">
        <f>'5312-510 General Contracted '!C4</f>
        <v>0</v>
      </c>
      <c r="D89" s="18">
        <f>'5312-510 General Contracted '!D4</f>
        <v>0</v>
      </c>
      <c r="E89" s="18">
        <f>'5312-510 General Contracted '!E4</f>
        <v>0</v>
      </c>
      <c r="F89" s="18">
        <f>'5312-510 General Contracted '!F4</f>
        <v>0</v>
      </c>
      <c r="G89" s="18">
        <f>'5312-510 General Contracted '!G4</f>
        <v>0</v>
      </c>
      <c r="H89" s="18">
        <f>'5312-510 General Contracted '!H4</f>
        <v>0</v>
      </c>
      <c r="I89" s="18">
        <f>'5312-510 General Contracted '!I4</f>
        <v>0</v>
      </c>
      <c r="J89" s="18">
        <f>'5312-510 General Contracted '!J4</f>
        <v>0</v>
      </c>
      <c r="K89" s="18">
        <f>'5312-510 General Contracted '!K4</f>
        <v>0</v>
      </c>
      <c r="L89" s="18">
        <f>'5312-510 General Contracted '!L4</f>
        <v>0</v>
      </c>
      <c r="M89" s="18">
        <f>'5312-510 General Contracted '!M4</f>
        <v>0</v>
      </c>
      <c r="N89" s="18">
        <f>'5312-510 General Contracted '!N4</f>
        <v>0</v>
      </c>
      <c r="O89" s="19">
        <f>'5312-510 General Contracted '!O4</f>
        <v>0</v>
      </c>
      <c r="Q89" s="33">
        <f>O89-O87</f>
        <v>-21173.35</v>
      </c>
    </row>
    <row r="90" spans="1:18" x14ac:dyDescent="0.3">
      <c r="A90" s="263"/>
      <c r="B90" s="5" t="s">
        <v>32</v>
      </c>
      <c r="C90" s="16">
        <f>'5312-510 General Contracted '!C6</f>
        <v>0</v>
      </c>
      <c r="D90" s="16">
        <f>'5312-510 General Contracted '!D6</f>
        <v>0</v>
      </c>
      <c r="E90" s="16">
        <f>'5312-510 General Contracted '!E6</f>
        <v>0</v>
      </c>
      <c r="F90" s="16">
        <f>'5312-510 General Contracted '!F6</f>
        <v>0</v>
      </c>
      <c r="G90" s="16">
        <f>'5312-510 General Contracted '!G6</f>
        <v>0</v>
      </c>
      <c r="H90" s="16">
        <f>'5312-510 General Contracted '!H6</f>
        <v>0</v>
      </c>
      <c r="I90" s="16">
        <f>'5312-510 General Contracted '!I6</f>
        <v>0</v>
      </c>
      <c r="J90" s="16">
        <f>'5312-510 General Contracted '!J6</f>
        <v>0</v>
      </c>
      <c r="K90" s="16">
        <f>'5312-510 General Contracted '!K6</f>
        <v>0</v>
      </c>
      <c r="L90" s="16">
        <f>'5312-510 General Contracted '!L6</f>
        <v>0</v>
      </c>
      <c r="M90" s="16">
        <f>'5312-510 General Contracted '!M6</f>
        <v>0</v>
      </c>
      <c r="N90" s="16">
        <f>'5312-510 General Contracted '!N6</f>
        <v>0</v>
      </c>
      <c r="O90" s="17">
        <f>'5312-510 General Contracted '!O6</f>
        <v>0</v>
      </c>
    </row>
    <row r="91" spans="1:18" x14ac:dyDescent="0.3">
      <c r="A91" s="264"/>
      <c r="B91" s="23" t="s">
        <v>447</v>
      </c>
      <c r="C91" s="26">
        <f>'5312-510 General Contracted '!C7</f>
        <v>0</v>
      </c>
      <c r="D91" s="26">
        <f>'5312-510 General Contracted '!D7</f>
        <v>0</v>
      </c>
      <c r="E91" s="26">
        <f>'5312-510 General Contracted '!E7</f>
        <v>0</v>
      </c>
      <c r="F91" s="26">
        <f>'5312-510 General Contracted '!F7</f>
        <v>0</v>
      </c>
      <c r="G91" s="26">
        <f>'5312-510 General Contracted '!G7</f>
        <v>0</v>
      </c>
      <c r="H91" s="26">
        <f>'5312-510 General Contracted '!H7</f>
        <v>0</v>
      </c>
      <c r="I91" s="26">
        <f>'5312-510 General Contracted '!I7</f>
        <v>0</v>
      </c>
      <c r="J91" s="26">
        <f>'5312-510 General Contracted '!J7</f>
        <v>0</v>
      </c>
      <c r="K91" s="26">
        <f>'5312-510 General Contracted '!K7</f>
        <v>0</v>
      </c>
      <c r="L91" s="26">
        <f>'5312-510 General Contracted '!L7</f>
        <v>0</v>
      </c>
      <c r="M91" s="26">
        <f>'5312-510 General Contracted '!M7</f>
        <v>0</v>
      </c>
      <c r="N91" s="26">
        <f>'5312-510 General Contracted '!N7</f>
        <v>0</v>
      </c>
      <c r="O91" s="24">
        <f>'5312-510 General Contracted '!O7</f>
        <v>0</v>
      </c>
    </row>
    <row r="92" spans="1:18" x14ac:dyDescent="0.3">
      <c r="O92" s="27"/>
    </row>
    <row r="93" spans="1:18" x14ac:dyDescent="0.3">
      <c r="A93" s="263" t="s">
        <v>58</v>
      </c>
      <c r="B93" s="5" t="s">
        <v>16</v>
      </c>
      <c r="C93" s="16">
        <f>'5313-510 Telecommunications'!C3</f>
        <v>216.67</v>
      </c>
      <c r="D93" s="16">
        <f>'5313-510 Telecommunications'!D3</f>
        <v>216.67</v>
      </c>
      <c r="E93" s="16">
        <f>'5313-510 Telecommunications'!E3</f>
        <v>216.67</v>
      </c>
      <c r="F93" s="16">
        <f>'5313-510 Telecommunications'!F3</f>
        <v>216.67</v>
      </c>
      <c r="G93" s="16">
        <f>'5313-510 Telecommunications'!G3</f>
        <v>216.67</v>
      </c>
      <c r="H93" s="16">
        <f>'5313-510 Telecommunications'!H3</f>
        <v>216.67</v>
      </c>
      <c r="I93" s="16">
        <f>'5313-510 Telecommunications'!I3</f>
        <v>216.67</v>
      </c>
      <c r="J93" s="16">
        <f>'5313-510 Telecommunications'!J3</f>
        <v>216.67</v>
      </c>
      <c r="K93" s="16">
        <f>'5313-510 Telecommunications'!K3</f>
        <v>216.67</v>
      </c>
      <c r="L93" s="16">
        <f>'5313-510 Telecommunications'!L3</f>
        <v>216.67</v>
      </c>
      <c r="M93" s="16">
        <f>'5313-510 Telecommunications'!M3</f>
        <v>216.67</v>
      </c>
      <c r="N93" s="16">
        <f>'5313-510 Telecommunications'!N3</f>
        <v>216.67</v>
      </c>
      <c r="O93" s="17">
        <f>'5313-510 Telecommunications'!O3</f>
        <v>2600.0400000000004</v>
      </c>
    </row>
    <row r="94" spans="1:18" x14ac:dyDescent="0.3">
      <c r="A94" s="263"/>
      <c r="B94" s="5" t="s">
        <v>31</v>
      </c>
      <c r="C94" s="16">
        <f>'5313-510 Telecommunications'!C5</f>
        <v>216.67</v>
      </c>
      <c r="D94" s="16">
        <f>'5313-510 Telecommunications'!D5</f>
        <v>216.67</v>
      </c>
      <c r="E94" s="16">
        <f>'5313-510 Telecommunications'!E5</f>
        <v>216.67</v>
      </c>
      <c r="F94" s="16">
        <f>'5313-510 Telecommunications'!F5</f>
        <v>216.67</v>
      </c>
      <c r="G94" s="16">
        <f>'5313-510 Telecommunications'!G5</f>
        <v>216.67</v>
      </c>
      <c r="H94" s="16">
        <f>'5313-510 Telecommunications'!H5</f>
        <v>216.67</v>
      </c>
      <c r="I94" s="16">
        <f>'5313-510 Telecommunications'!I5</f>
        <v>216.67</v>
      </c>
      <c r="J94" s="16">
        <f>'5313-510 Telecommunications'!J5</f>
        <v>216.67</v>
      </c>
      <c r="K94" s="16">
        <f>'5313-510 Telecommunications'!K5</f>
        <v>216.67</v>
      </c>
      <c r="L94" s="16">
        <f>'5313-510 Telecommunications'!L5</f>
        <v>216.67</v>
      </c>
      <c r="M94" s="16">
        <f>'5313-510 Telecommunications'!M5</f>
        <v>216.67</v>
      </c>
      <c r="N94" s="16">
        <f>'5313-510 Telecommunications'!N5</f>
        <v>216.67</v>
      </c>
      <c r="O94" s="17">
        <f>'5313-510 Telecommunications'!O5</f>
        <v>2600.0400000000004</v>
      </c>
    </row>
    <row r="95" spans="1:18" x14ac:dyDescent="0.3">
      <c r="A95" s="263"/>
      <c r="B95" s="6" t="s">
        <v>29</v>
      </c>
      <c r="C95" s="18">
        <f>'5313-510 Telecommunications'!C4</f>
        <v>216.67</v>
      </c>
      <c r="D95" s="18">
        <f>'5313-510 Telecommunications'!D4</f>
        <v>216.67</v>
      </c>
      <c r="E95" s="18">
        <f>'5313-510 Telecommunications'!E4</f>
        <v>216.67</v>
      </c>
      <c r="F95" s="18">
        <f>'5313-510 Telecommunications'!F4</f>
        <v>216.67</v>
      </c>
      <c r="G95" s="18">
        <f>'5313-510 Telecommunications'!G4</f>
        <v>216.67</v>
      </c>
      <c r="H95" s="18">
        <f>'5313-510 Telecommunications'!H4</f>
        <v>216.67</v>
      </c>
      <c r="I95" s="18">
        <f>'5313-510 Telecommunications'!I4</f>
        <v>216.67</v>
      </c>
      <c r="J95" s="18">
        <f>'5313-510 Telecommunications'!J4</f>
        <v>216.67</v>
      </c>
      <c r="K95" s="18">
        <f>'5313-510 Telecommunications'!K4</f>
        <v>216.67</v>
      </c>
      <c r="L95" s="18">
        <f>'5313-510 Telecommunications'!L4</f>
        <v>216.67</v>
      </c>
      <c r="M95" s="18">
        <f>'5313-510 Telecommunications'!M4</f>
        <v>216.67</v>
      </c>
      <c r="N95" s="18">
        <f>'5313-510 Telecommunications'!N4</f>
        <v>216.67</v>
      </c>
      <c r="O95" s="19">
        <f>'5313-510 Telecommunications'!O4</f>
        <v>2600.0400000000004</v>
      </c>
      <c r="Q95" s="33">
        <f>O95-O93</f>
        <v>0</v>
      </c>
      <c r="R95" t="s">
        <v>59</v>
      </c>
    </row>
    <row r="96" spans="1:18" x14ac:dyDescent="0.3">
      <c r="A96" s="263"/>
      <c r="B96" s="5" t="s">
        <v>32</v>
      </c>
      <c r="C96" s="16">
        <f>'5313-510 Telecommunications'!C6</f>
        <v>0</v>
      </c>
      <c r="D96" s="16">
        <f>'5313-510 Telecommunications'!D6</f>
        <v>0</v>
      </c>
      <c r="E96" s="16">
        <f>'5313-510 Telecommunications'!E6</f>
        <v>0</v>
      </c>
      <c r="F96" s="16">
        <f>'5313-510 Telecommunications'!F6</f>
        <v>0</v>
      </c>
      <c r="G96" s="16">
        <f>'5313-510 Telecommunications'!G6</f>
        <v>0</v>
      </c>
      <c r="H96" s="16">
        <f>'5313-510 Telecommunications'!H6</f>
        <v>0</v>
      </c>
      <c r="I96" s="16">
        <f>'5313-510 Telecommunications'!I6</f>
        <v>0</v>
      </c>
      <c r="J96" s="16">
        <f>'5313-510 Telecommunications'!J6</f>
        <v>0</v>
      </c>
      <c r="K96" s="16">
        <f>'5313-510 Telecommunications'!K6</f>
        <v>0</v>
      </c>
      <c r="L96" s="16">
        <f>'5313-510 Telecommunications'!L6</f>
        <v>0</v>
      </c>
      <c r="M96" s="16">
        <f>'5313-510 Telecommunications'!M6</f>
        <v>0</v>
      </c>
      <c r="N96" s="16">
        <f>'5313-510 Telecommunications'!N6</f>
        <v>0</v>
      </c>
      <c r="O96" s="17">
        <f>'5313-510 Telecommunications'!O6</f>
        <v>0</v>
      </c>
    </row>
    <row r="97" spans="1:18" x14ac:dyDescent="0.3">
      <c r="A97" s="264"/>
      <c r="B97" s="23" t="s">
        <v>447</v>
      </c>
      <c r="C97" s="26">
        <f>'5313-510 Telecommunications'!C7</f>
        <v>216.67</v>
      </c>
      <c r="D97" s="26">
        <f>'5313-510 Telecommunications'!D7</f>
        <v>216.67</v>
      </c>
      <c r="E97" s="26">
        <f>'5313-510 Telecommunications'!E7</f>
        <v>216.67</v>
      </c>
      <c r="F97" s="26">
        <f>'5313-510 Telecommunications'!F7</f>
        <v>216.67</v>
      </c>
      <c r="G97" s="26">
        <f>'5313-510 Telecommunications'!G7</f>
        <v>216.67</v>
      </c>
      <c r="H97" s="26">
        <f>'5313-510 Telecommunications'!H7</f>
        <v>216.67</v>
      </c>
      <c r="I97" s="26">
        <f>'5313-510 Telecommunications'!I7</f>
        <v>216.67</v>
      </c>
      <c r="J97" s="26">
        <f>'5313-510 Telecommunications'!J7</f>
        <v>216.67</v>
      </c>
      <c r="K97" s="26">
        <f>'5313-510 Telecommunications'!K7</f>
        <v>216.67</v>
      </c>
      <c r="L97" s="26">
        <f>'5313-510 Telecommunications'!L7</f>
        <v>216.67</v>
      </c>
      <c r="M97" s="26">
        <f>'5313-510 Telecommunications'!M7</f>
        <v>216.67</v>
      </c>
      <c r="N97" s="26">
        <f>'5313-510 Telecommunications'!N7</f>
        <v>216.67</v>
      </c>
      <c r="O97" s="24">
        <f>'5313-510 Telecommunications'!O7</f>
        <v>2600.0400000000004</v>
      </c>
    </row>
    <row r="98" spans="1:18" x14ac:dyDescent="0.3">
      <c r="O98" s="27"/>
    </row>
    <row r="99" spans="1:18" ht="15" customHeight="1" x14ac:dyDescent="0.3">
      <c r="A99" s="263" t="s">
        <v>61</v>
      </c>
      <c r="B99" s="5" t="s">
        <v>16</v>
      </c>
      <c r="C99" s="16">
        <f>'5314-510 Postage &amp; Freight'!C3</f>
        <v>0</v>
      </c>
      <c r="D99" s="16">
        <f>'5314-510 Postage &amp; Freight'!D3</f>
        <v>0</v>
      </c>
      <c r="E99" s="16">
        <f>'5314-510 Postage &amp; Freight'!E3</f>
        <v>0</v>
      </c>
      <c r="F99" s="16">
        <f>'5314-510 Postage &amp; Freight'!F3</f>
        <v>0</v>
      </c>
      <c r="G99" s="16">
        <f>'5314-510 Postage &amp; Freight'!G3</f>
        <v>0</v>
      </c>
      <c r="H99" s="16">
        <f>'5314-510 Postage &amp; Freight'!H3</f>
        <v>0</v>
      </c>
      <c r="I99" s="16">
        <f>'5314-510 Postage &amp; Freight'!I3</f>
        <v>0</v>
      </c>
      <c r="J99" s="16">
        <f>'5314-510 Postage &amp; Freight'!J3</f>
        <v>0</v>
      </c>
      <c r="K99" s="16">
        <f>'5314-510 Postage &amp; Freight'!K3</f>
        <v>734.55000000000007</v>
      </c>
      <c r="L99" s="16">
        <f>'5314-510 Postage &amp; Freight'!L3</f>
        <v>0</v>
      </c>
      <c r="M99" s="16">
        <f>'5314-510 Postage &amp; Freight'!M3</f>
        <v>0</v>
      </c>
      <c r="N99" s="16">
        <f>'5314-510 Postage &amp; Freight'!N3</f>
        <v>0</v>
      </c>
      <c r="O99" s="17">
        <f>'5314-510 Postage &amp; Freight'!O3</f>
        <v>734.55000000000007</v>
      </c>
    </row>
    <row r="100" spans="1:18" x14ac:dyDescent="0.3">
      <c r="A100" s="263"/>
      <c r="B100" s="5" t="s">
        <v>31</v>
      </c>
      <c r="C100" s="16">
        <f>'5314-510 Postage &amp; Freight'!C5</f>
        <v>0</v>
      </c>
      <c r="D100" s="16">
        <f>'5314-510 Postage &amp; Freight'!D5</f>
        <v>0</v>
      </c>
      <c r="E100" s="16">
        <f>'5314-510 Postage &amp; Freight'!E5</f>
        <v>0</v>
      </c>
      <c r="F100" s="16">
        <f>'5314-510 Postage &amp; Freight'!F5</f>
        <v>0</v>
      </c>
      <c r="G100" s="16">
        <f>'5314-510 Postage &amp; Freight'!G5</f>
        <v>0</v>
      </c>
      <c r="H100" s="16">
        <f>'5314-510 Postage &amp; Freight'!H5</f>
        <v>0</v>
      </c>
      <c r="I100" s="16">
        <f>'5314-510 Postage &amp; Freight'!I5</f>
        <v>0</v>
      </c>
      <c r="J100" s="16">
        <f>'5314-510 Postage &amp; Freight'!J5</f>
        <v>0</v>
      </c>
      <c r="K100" s="16">
        <f>'5314-510 Postage &amp; Freight'!K5</f>
        <v>0</v>
      </c>
      <c r="L100" s="16">
        <f>'5314-510 Postage &amp; Freight'!L5</f>
        <v>0</v>
      </c>
      <c r="M100" s="16">
        <f>'5314-510 Postage &amp; Freight'!M5</f>
        <v>0</v>
      </c>
      <c r="N100" s="16">
        <f>'5314-510 Postage &amp; Freight'!N5</f>
        <v>0</v>
      </c>
      <c r="O100" s="17">
        <f>'5314-510 Postage &amp; Freight'!O5</f>
        <v>0</v>
      </c>
    </row>
    <row r="101" spans="1:18" x14ac:dyDescent="0.3">
      <c r="A101" s="263"/>
      <c r="B101" s="6" t="s">
        <v>29</v>
      </c>
      <c r="C101" s="18">
        <f>'5314-510 Postage &amp; Freight'!C4</f>
        <v>0</v>
      </c>
      <c r="D101" s="18">
        <f>'5314-510 Postage &amp; Freight'!D4</f>
        <v>0</v>
      </c>
      <c r="E101" s="18">
        <f>'5314-510 Postage &amp; Freight'!E4</f>
        <v>0</v>
      </c>
      <c r="F101" s="18">
        <f>'5314-510 Postage &amp; Freight'!F4</f>
        <v>0</v>
      </c>
      <c r="G101" s="18">
        <v>0</v>
      </c>
      <c r="H101" s="18">
        <f>'5314-510 Postage &amp; Freight'!H4</f>
        <v>0</v>
      </c>
      <c r="I101" s="18">
        <f>'5314-510 Postage &amp; Freight'!I4</f>
        <v>0</v>
      </c>
      <c r="J101" s="18">
        <f>'5314-510 Postage &amp; Freight'!J4</f>
        <v>0</v>
      </c>
      <c r="K101" s="18">
        <v>0</v>
      </c>
      <c r="L101" s="18">
        <f>'5314-510 Postage &amp; Freight'!L4</f>
        <v>0</v>
      </c>
      <c r="M101" s="18">
        <f>'5314-510 Postage &amp; Freight'!M4</f>
        <v>0</v>
      </c>
      <c r="N101" s="18">
        <f>'5314-510 Postage &amp; Freight'!N4</f>
        <v>0</v>
      </c>
      <c r="O101" s="19">
        <f>'5314-510 Postage &amp; Freight'!O4</f>
        <v>734</v>
      </c>
      <c r="Q101" s="33">
        <f>O101-O99</f>
        <v>-0.55000000000006821</v>
      </c>
    </row>
    <row r="102" spans="1:18" x14ac:dyDescent="0.3">
      <c r="A102" s="263"/>
      <c r="B102" s="5" t="s">
        <v>32</v>
      </c>
      <c r="C102" s="16">
        <f>'5314-510 Postage &amp; Freight'!C6</f>
        <v>0</v>
      </c>
      <c r="D102" s="16">
        <f>'5314-510 Postage &amp; Freight'!D6</f>
        <v>0</v>
      </c>
      <c r="E102" s="16">
        <f>'5314-510 Postage &amp; Freight'!E6</f>
        <v>33.94</v>
      </c>
      <c r="F102" s="16">
        <f>'5314-510 Postage &amp; Freight'!F6</f>
        <v>0</v>
      </c>
      <c r="G102" s="16">
        <f>'5314-510 Postage &amp; Freight'!G6</f>
        <v>0</v>
      </c>
      <c r="H102" s="16">
        <f>'5314-510 Postage &amp; Freight'!H6</f>
        <v>241.55</v>
      </c>
      <c r="I102" s="16">
        <f>'5314-510 Postage &amp; Freight'!I6</f>
        <v>194.31</v>
      </c>
      <c r="J102" s="16">
        <f>'5314-510 Postage &amp; Freight'!J6</f>
        <v>249.19</v>
      </c>
      <c r="K102" s="16">
        <f>'5314-510 Postage &amp; Freight'!K6</f>
        <v>78.099999999999994</v>
      </c>
      <c r="L102" s="16">
        <f>'5314-510 Postage &amp; Freight'!L6</f>
        <v>0</v>
      </c>
      <c r="M102" s="16">
        <f>'5314-510 Postage &amp; Freight'!M6</f>
        <v>0</v>
      </c>
      <c r="N102" s="16">
        <f>'5314-510 Postage &amp; Freight'!N6</f>
        <v>0</v>
      </c>
      <c r="O102" s="17">
        <f>'5314-510 Postage &amp; Freight'!O6</f>
        <v>797.09</v>
      </c>
    </row>
    <row r="103" spans="1:18" x14ac:dyDescent="0.3">
      <c r="A103" s="264"/>
      <c r="B103" s="23" t="s">
        <v>447</v>
      </c>
      <c r="C103" s="26">
        <f>'5314-510 Postage &amp; Freight'!C7</f>
        <v>0</v>
      </c>
      <c r="D103" s="26">
        <f>'5314-510 Postage &amp; Freight'!D7</f>
        <v>0</v>
      </c>
      <c r="E103" s="26">
        <f>'5314-510 Postage &amp; Freight'!E7</f>
        <v>-33.94</v>
      </c>
      <c r="F103" s="26">
        <f>'5314-510 Postage &amp; Freight'!F7</f>
        <v>0</v>
      </c>
      <c r="G103" s="26">
        <f>'5314-510 Postage &amp; Freight'!G7</f>
        <v>0</v>
      </c>
      <c r="H103" s="26">
        <f>'5314-510 Postage &amp; Freight'!H7</f>
        <v>-241.55</v>
      </c>
      <c r="I103" s="26">
        <f>'5314-510 Postage &amp; Freight'!I7</f>
        <v>-194.31</v>
      </c>
      <c r="J103" s="26">
        <f>'5314-510 Postage &amp; Freight'!J7</f>
        <v>-249.19</v>
      </c>
      <c r="K103" s="26">
        <f>'5314-510 Postage &amp; Freight'!K7</f>
        <v>-78.099999999999994</v>
      </c>
      <c r="L103" s="26">
        <f>'5314-510 Postage &amp; Freight'!L7</f>
        <v>0</v>
      </c>
      <c r="M103" s="26">
        <f>'5314-510 Postage &amp; Freight'!M7</f>
        <v>0</v>
      </c>
      <c r="N103" s="26">
        <f>'5314-510 Postage &amp; Freight'!N7</f>
        <v>0</v>
      </c>
      <c r="O103" s="26">
        <f>'5314-510 Postage &amp; Freight'!O7</f>
        <v>-797.09</v>
      </c>
    </row>
    <row r="104" spans="1:18" x14ac:dyDescent="0.3">
      <c r="O104" s="27"/>
    </row>
    <row r="105" spans="1:18" x14ac:dyDescent="0.3">
      <c r="A105" s="263" t="s">
        <v>63</v>
      </c>
      <c r="B105" s="5" t="s">
        <v>16</v>
      </c>
      <c r="C105" s="16">
        <f>'5315-510 Technology Services'!C3</f>
        <v>6906.24</v>
      </c>
      <c r="D105" s="16">
        <f>'5315-510 Technology Services'!D3</f>
        <v>6134.72</v>
      </c>
      <c r="E105" s="16">
        <f>'5315-510 Technology Services'!E3</f>
        <v>5579.6100000000006</v>
      </c>
      <c r="F105" s="16">
        <f>'5315-510 Technology Services'!F3</f>
        <v>7145.87</v>
      </c>
      <c r="G105" s="16">
        <f>'5315-510 Technology Services'!G3</f>
        <v>6555.0599999999995</v>
      </c>
      <c r="H105" s="16">
        <f>'5315-510 Technology Services'!H3</f>
        <v>6400.36</v>
      </c>
      <c r="I105" s="16">
        <f>'5315-510 Technology Services'!I3</f>
        <v>6958.6900000000005</v>
      </c>
      <c r="J105" s="16">
        <f>'5315-510 Technology Services'!J3</f>
        <v>15241.24</v>
      </c>
      <c r="K105" s="16">
        <f>'5315-510 Technology Services'!K3</f>
        <v>7692.81</v>
      </c>
      <c r="L105" s="16">
        <f>'5315-510 Technology Services'!L3</f>
        <v>7421.04</v>
      </c>
      <c r="M105" s="16">
        <f>'5315-510 Technology Services'!M3</f>
        <v>11233.49</v>
      </c>
      <c r="N105" s="16">
        <f>'5315-510 Technology Services'!N3</f>
        <v>7521.5500000000011</v>
      </c>
      <c r="O105" s="17">
        <f>'5315-510 Technology Services'!O3</f>
        <v>94790.68</v>
      </c>
    </row>
    <row r="106" spans="1:18" x14ac:dyDescent="0.3">
      <c r="A106" s="263"/>
      <c r="B106" s="5" t="s">
        <v>31</v>
      </c>
      <c r="C106" s="16">
        <f>'5315-510 Technology Services'!C5</f>
        <v>500</v>
      </c>
      <c r="D106" s="16">
        <f>'5315-510 Technology Services'!D5</f>
        <v>500</v>
      </c>
      <c r="E106" s="16">
        <f>'5315-510 Technology Services'!E5</f>
        <v>500</v>
      </c>
      <c r="F106" s="16">
        <f>'5315-510 Technology Services'!F5</f>
        <v>500</v>
      </c>
      <c r="G106" s="16">
        <f>'5315-510 Technology Services'!G5</f>
        <v>500</v>
      </c>
      <c r="H106" s="16">
        <f>'5315-510 Technology Services'!H5</f>
        <v>500</v>
      </c>
      <c r="I106" s="16">
        <f>'5315-510 Technology Services'!I5</f>
        <v>500</v>
      </c>
      <c r="J106" s="16">
        <f>'5315-510 Technology Services'!J5</f>
        <v>500</v>
      </c>
      <c r="K106" s="16">
        <f>'5315-510 Technology Services'!K5</f>
        <v>500</v>
      </c>
      <c r="L106" s="16">
        <f>'5315-510 Technology Services'!L5</f>
        <v>500</v>
      </c>
      <c r="M106" s="16">
        <f>'5315-510 Technology Services'!M5</f>
        <v>500</v>
      </c>
      <c r="N106" s="16">
        <f>'5315-510 Technology Services'!N5</f>
        <v>500</v>
      </c>
      <c r="O106" s="17">
        <f>'5315-510 Technology Services'!O5</f>
        <v>6000</v>
      </c>
    </row>
    <row r="107" spans="1:18" x14ac:dyDescent="0.3">
      <c r="A107" s="263"/>
      <c r="B107" s="6" t="s">
        <v>29</v>
      </c>
      <c r="C107" s="18">
        <f>'5315-510 Technology Services'!C4</f>
        <v>8473.64</v>
      </c>
      <c r="D107" s="18">
        <f>'5315-510 Technology Services'!D4</f>
        <v>9183.16</v>
      </c>
      <c r="E107" s="18">
        <f>'5315-510 Technology Services'!E4</f>
        <v>8023.21</v>
      </c>
      <c r="F107" s="18">
        <f>'5315-510 Technology Services'!F4</f>
        <v>12423.21</v>
      </c>
      <c r="G107" s="18">
        <f>'5315-510 Technology Services'!G4</f>
        <v>8023.21</v>
      </c>
      <c r="H107" s="18">
        <f>'5315-510 Technology Services'!H4</f>
        <v>8923.2099999999991</v>
      </c>
      <c r="I107" s="18">
        <f>'5315-510 Technology Services'!I4</f>
        <v>8173.21</v>
      </c>
      <c r="J107" s="18">
        <f>'5315-510 Technology Services'!J4</f>
        <v>18462.829999999998</v>
      </c>
      <c r="K107" s="18">
        <f>'5315-510 Technology Services'!K4</f>
        <v>9453.7999999999993</v>
      </c>
      <c r="L107" s="18">
        <f>'5315-510 Technology Services'!L4</f>
        <v>14748.21</v>
      </c>
      <c r="M107" s="18">
        <f>'5315-510 Technology Services'!M4</f>
        <v>13522.21</v>
      </c>
      <c r="N107" s="18">
        <f>'5315-510 Technology Services'!N4</f>
        <v>8223.2099999999991</v>
      </c>
      <c r="O107" s="19">
        <f>'5315-510 Technology Services'!O4</f>
        <v>127633.11000000002</v>
      </c>
      <c r="Q107" s="33">
        <f>O107-O105</f>
        <v>32842.430000000022</v>
      </c>
      <c r="R107" t="s">
        <v>64</v>
      </c>
    </row>
    <row r="108" spans="1:18" x14ac:dyDescent="0.3">
      <c r="A108" s="263"/>
      <c r="B108" s="5" t="s">
        <v>32</v>
      </c>
      <c r="C108" s="16">
        <f>'5315-510 Technology Services'!C6</f>
        <v>6731.17</v>
      </c>
      <c r="D108" s="16">
        <f>'5315-510 Technology Services'!D6</f>
        <v>7121.81</v>
      </c>
      <c r="E108" s="16">
        <f>'5315-510 Technology Services'!E6</f>
        <v>7581.9399999999987</v>
      </c>
      <c r="F108" s="16">
        <f>'5315-510 Technology Services'!F6</f>
        <v>6799.1499999999987</v>
      </c>
      <c r="G108" s="16">
        <f>'5315-510 Technology Services'!G6</f>
        <v>10575.96</v>
      </c>
      <c r="H108" s="16">
        <f>'5315-510 Technology Services'!H6</f>
        <v>9434.81</v>
      </c>
      <c r="I108" s="16">
        <f>'5315-510 Technology Services'!I6</f>
        <v>7708.8899999999994</v>
      </c>
      <c r="J108" s="16">
        <f>'5315-510 Technology Services'!J6</f>
        <v>17798.099999999999</v>
      </c>
      <c r="K108" s="16">
        <f>'5315-510 Technology Services'!K6</f>
        <v>6392.619999999999</v>
      </c>
      <c r="L108" s="16">
        <f>'5315-510 Technology Services'!L6</f>
        <v>4818.82</v>
      </c>
      <c r="M108" s="16">
        <f>'5315-510 Technology Services'!M6</f>
        <v>6854.37</v>
      </c>
      <c r="N108" s="16">
        <f>'5315-510 Technology Services'!N6</f>
        <v>0</v>
      </c>
      <c r="O108" s="17">
        <f>'5315-510 Technology Services'!O6</f>
        <v>91817.640000000029</v>
      </c>
      <c r="R108" t="s">
        <v>65</v>
      </c>
    </row>
    <row r="109" spans="1:18" x14ac:dyDescent="0.3">
      <c r="A109" s="264"/>
      <c r="B109" s="23" t="s">
        <v>447</v>
      </c>
      <c r="C109" s="26">
        <f>'5315-510 Technology Services'!C7</f>
        <v>-6231.17</v>
      </c>
      <c r="D109" s="26">
        <f>'5315-510 Technology Services'!D7</f>
        <v>-6621.81</v>
      </c>
      <c r="E109" s="26">
        <f>'5315-510 Technology Services'!E7</f>
        <v>-7081.9399999999987</v>
      </c>
      <c r="F109" s="26">
        <f>'5315-510 Technology Services'!F7</f>
        <v>-6299.1499999999987</v>
      </c>
      <c r="G109" s="26">
        <f>'5315-510 Technology Services'!G7</f>
        <v>-10075.959999999999</v>
      </c>
      <c r="H109" s="26">
        <f>'5315-510 Technology Services'!H7</f>
        <v>-8934.81</v>
      </c>
      <c r="I109" s="26">
        <f>'5315-510 Technology Services'!I7</f>
        <v>-7208.8899999999994</v>
      </c>
      <c r="J109" s="26">
        <f>'5315-510 Technology Services'!J7</f>
        <v>-17298.099999999999</v>
      </c>
      <c r="K109" s="26">
        <f>'5315-510 Technology Services'!K7</f>
        <v>-5892.619999999999</v>
      </c>
      <c r="L109" s="26">
        <f>'5315-510 Technology Services'!L7</f>
        <v>-4318.82</v>
      </c>
      <c r="M109" s="26">
        <f>'5315-510 Technology Services'!M7</f>
        <v>-6354.37</v>
      </c>
      <c r="N109" s="26">
        <f>'5315-510 Technology Services'!N7</f>
        <v>500</v>
      </c>
      <c r="O109" s="24">
        <f>'5315-510 Technology Services'!O7</f>
        <v>-85817.640000000029</v>
      </c>
    </row>
    <row r="110" spans="1:18" x14ac:dyDescent="0.3">
      <c r="O110" s="27"/>
    </row>
    <row r="111" spans="1:18" x14ac:dyDescent="0.3">
      <c r="A111" s="263" t="s">
        <v>67</v>
      </c>
      <c r="B111" s="5" t="s">
        <v>16</v>
      </c>
      <c r="C111" s="16">
        <f>'5322-510 Gifts'!C3</f>
        <v>0</v>
      </c>
      <c r="D111" s="16">
        <f>'5322-510 Gifts'!D3</f>
        <v>0</v>
      </c>
      <c r="E111" s="16">
        <f>'5322-510 Gifts'!E3</f>
        <v>0</v>
      </c>
      <c r="F111" s="16">
        <f>'5322-510 Gifts'!F3</f>
        <v>0</v>
      </c>
      <c r="G111" s="16">
        <f>'5322-510 Gifts'!G3</f>
        <v>0</v>
      </c>
      <c r="H111" s="16">
        <f>'5322-510 Gifts'!H3</f>
        <v>0</v>
      </c>
      <c r="I111" s="16">
        <f>'5322-510 Gifts'!I3</f>
        <v>0</v>
      </c>
      <c r="J111" s="16">
        <f>'5322-510 Gifts'!J3</f>
        <v>0</v>
      </c>
      <c r="K111" s="16">
        <f>'5322-510 Gifts'!K3</f>
        <v>0</v>
      </c>
      <c r="L111" s="16">
        <f>'5322-510 Gifts'!L3</f>
        <v>0</v>
      </c>
      <c r="M111" s="16">
        <f>'5322-510 Gifts'!M3</f>
        <v>0</v>
      </c>
      <c r="N111" s="16">
        <f>'5322-510 Gifts'!N3</f>
        <v>0</v>
      </c>
      <c r="O111" s="17">
        <f>'5322-510 Gifts'!O3</f>
        <v>0</v>
      </c>
    </row>
    <row r="112" spans="1:18" x14ac:dyDescent="0.3">
      <c r="A112" s="263"/>
      <c r="B112" s="5" t="s">
        <v>31</v>
      </c>
      <c r="C112" s="16">
        <f>'5322-510 Gifts'!C5</f>
        <v>0</v>
      </c>
      <c r="D112" s="16">
        <f>'5322-510 Gifts'!D5</f>
        <v>0</v>
      </c>
      <c r="E112" s="16">
        <f>'5322-510 Gifts'!E5</f>
        <v>0</v>
      </c>
      <c r="F112" s="16">
        <f>'5322-510 Gifts'!F5</f>
        <v>0</v>
      </c>
      <c r="G112" s="16">
        <f>'5322-510 Gifts'!G5</f>
        <v>0</v>
      </c>
      <c r="H112" s="16">
        <f>'5322-510 Gifts'!H5</f>
        <v>0</v>
      </c>
      <c r="I112" s="16">
        <f>'5322-510 Gifts'!I5</f>
        <v>0</v>
      </c>
      <c r="J112" s="16">
        <f>'5322-510 Gifts'!J5</f>
        <v>0</v>
      </c>
      <c r="K112" s="16">
        <f>'5322-510 Gifts'!K5</f>
        <v>0</v>
      </c>
      <c r="L112" s="16">
        <f>'5322-510 Gifts'!L5</f>
        <v>0</v>
      </c>
      <c r="M112" s="16">
        <f>'5322-510 Gifts'!M5</f>
        <v>0</v>
      </c>
      <c r="N112" s="16">
        <f>'5322-510 Gifts'!N5</f>
        <v>0</v>
      </c>
      <c r="O112" s="17">
        <f>'5322-510 Gifts'!O5</f>
        <v>0</v>
      </c>
    </row>
    <row r="113" spans="1:17" x14ac:dyDescent="0.3">
      <c r="A113" s="263"/>
      <c r="B113" s="6" t="s">
        <v>29</v>
      </c>
      <c r="C113" s="18">
        <f>'5322-510 Gifts'!C4</f>
        <v>0</v>
      </c>
      <c r="D113" s="18">
        <f>'5322-510 Gifts'!D4</f>
        <v>0</v>
      </c>
      <c r="E113" s="18">
        <f>'5322-510 Gifts'!E4</f>
        <v>0</v>
      </c>
      <c r="F113" s="18">
        <f>'5322-510 Gifts'!F4</f>
        <v>0</v>
      </c>
      <c r="G113" s="18">
        <f>'5322-510 Gifts'!G4</f>
        <v>0</v>
      </c>
      <c r="H113" s="18">
        <f>'5322-510 Gifts'!H4</f>
        <v>0</v>
      </c>
      <c r="I113" s="18">
        <f>'5322-510 Gifts'!I4</f>
        <v>0</v>
      </c>
      <c r="J113" s="18">
        <f>'5322-510 Gifts'!J4</f>
        <v>0</v>
      </c>
      <c r="K113" s="18">
        <f>'5322-510 Gifts'!K4</f>
        <v>0</v>
      </c>
      <c r="L113" s="18">
        <f>'5322-510 Gifts'!L4</f>
        <v>0</v>
      </c>
      <c r="M113" s="18">
        <f>'5322-510 Gifts'!M4</f>
        <v>0</v>
      </c>
      <c r="N113" s="18">
        <f>'5322-510 Gifts'!N4</f>
        <v>0</v>
      </c>
      <c r="O113" s="19">
        <f>'5322-510 Gifts'!O4</f>
        <v>0</v>
      </c>
      <c r="Q113" s="33">
        <f>O113-O111</f>
        <v>0</v>
      </c>
    </row>
    <row r="114" spans="1:17" x14ac:dyDescent="0.3">
      <c r="A114" s="263"/>
      <c r="B114" s="5" t="s">
        <v>32</v>
      </c>
      <c r="C114" s="16">
        <f>'5322-510 Gifts'!C6</f>
        <v>0</v>
      </c>
      <c r="D114" s="16">
        <f>'5322-510 Gifts'!D6</f>
        <v>0</v>
      </c>
      <c r="E114" s="16">
        <f>'5322-510 Gifts'!E6</f>
        <v>340.31</v>
      </c>
      <c r="F114" s="16">
        <f>'5322-510 Gifts'!F6</f>
        <v>865.97</v>
      </c>
      <c r="G114" s="16">
        <f>'5322-510 Gifts'!G6</f>
        <v>161.86000000000001</v>
      </c>
      <c r="H114" s="16">
        <f>'5322-510 Gifts'!H6</f>
        <v>0</v>
      </c>
      <c r="I114" s="16">
        <f>'5322-510 Gifts'!I6</f>
        <v>51.29</v>
      </c>
      <c r="J114" s="16">
        <f>'5322-510 Gifts'!J6</f>
        <v>0</v>
      </c>
      <c r="K114" s="16">
        <f>'5322-510 Gifts'!K6</f>
        <v>0</v>
      </c>
      <c r="L114" s="16">
        <f>'5322-510 Gifts'!L6</f>
        <v>0</v>
      </c>
      <c r="M114" s="16">
        <f>'5322-510 Gifts'!M6</f>
        <v>0</v>
      </c>
      <c r="N114" s="16">
        <f>'5322-510 Gifts'!N6</f>
        <v>0</v>
      </c>
      <c r="O114" s="17">
        <f>'5322-510 Gifts'!O6</f>
        <v>1419.4299999999998</v>
      </c>
    </row>
    <row r="115" spans="1:17" x14ac:dyDescent="0.3">
      <c r="A115" s="264"/>
      <c r="B115" s="23" t="s">
        <v>447</v>
      </c>
      <c r="C115" s="26">
        <f>'5323-510 Employee enrichment'!C1</f>
        <v>0</v>
      </c>
      <c r="D115" s="26">
        <f>'5323-510 Employee enrichment'!D1</f>
        <v>0</v>
      </c>
      <c r="E115" s="26">
        <f>'5323-510 Employee enrichment'!E1</f>
        <v>0</v>
      </c>
      <c r="F115" s="26">
        <f>'5323-510 Employee enrichment'!F1</f>
        <v>0</v>
      </c>
      <c r="G115" s="26">
        <f>'5323-510 Employee enrichment'!G1</f>
        <v>0</v>
      </c>
      <c r="H115" s="26">
        <f>'5323-510 Employee enrichment'!H1</f>
        <v>0</v>
      </c>
      <c r="I115" s="26">
        <f>'5323-510 Employee enrichment'!I1</f>
        <v>0</v>
      </c>
      <c r="J115" s="26">
        <f>'5323-510 Employee enrichment'!J1</f>
        <v>0</v>
      </c>
      <c r="K115" s="26">
        <f>'5323-510 Employee enrichment'!K1</f>
        <v>0</v>
      </c>
      <c r="L115" s="26">
        <f>'5323-510 Employee enrichment'!L1</f>
        <v>0</v>
      </c>
      <c r="M115" s="26">
        <f>'5323-510 Employee enrichment'!M1</f>
        <v>0</v>
      </c>
      <c r="N115" s="26">
        <f>'5323-510 Employee enrichment'!N1</f>
        <v>0</v>
      </c>
      <c r="O115" s="24">
        <f>'5323-510 Employee enrichment'!O1</f>
        <v>0</v>
      </c>
    </row>
    <row r="116" spans="1:17" x14ac:dyDescent="0.3">
      <c r="O116" s="27"/>
    </row>
    <row r="117" spans="1:17" x14ac:dyDescent="0.3">
      <c r="A117" s="263" t="s">
        <v>69</v>
      </c>
      <c r="B117" s="5" t="s">
        <v>16</v>
      </c>
      <c r="C117" s="16">
        <f>'5323-510 Employee enrichment'!C3</f>
        <v>1207.48</v>
      </c>
      <c r="D117" s="16">
        <f>'5323-510 Employee enrichment'!D3</f>
        <v>264.64</v>
      </c>
      <c r="E117" s="16">
        <f>'5323-510 Employee enrichment'!E3</f>
        <v>187.5</v>
      </c>
      <c r="F117" s="16">
        <f>'5323-510 Employee enrichment'!F3</f>
        <v>621.59</v>
      </c>
      <c r="G117" s="16">
        <f>'5323-510 Employee enrichment'!G3</f>
        <v>81.39</v>
      </c>
      <c r="H117" s="16">
        <f>'5323-510 Employee enrichment'!H3</f>
        <v>138.1</v>
      </c>
      <c r="I117" s="16">
        <f>'5323-510 Employee enrichment'!I3</f>
        <v>147.74</v>
      </c>
      <c r="J117" s="16">
        <f>'5323-510 Employee enrichment'!J3</f>
        <v>277.14</v>
      </c>
      <c r="K117" s="16">
        <f>'5323-510 Employee enrichment'!K3</f>
        <v>568.61</v>
      </c>
      <c r="L117" s="16">
        <f>'5323-510 Employee enrichment'!L3</f>
        <v>438.14000000000004</v>
      </c>
      <c r="M117" s="16">
        <f>'5323-510 Employee enrichment'!M3</f>
        <v>142.62</v>
      </c>
      <c r="N117" s="16">
        <f>'5323-510 Employee enrichment'!N3</f>
        <v>0</v>
      </c>
      <c r="O117" s="17">
        <f>'5323-510 Employee enrichment'!O3</f>
        <v>4074.9500000000003</v>
      </c>
    </row>
    <row r="118" spans="1:17" x14ac:dyDescent="0.3">
      <c r="A118" s="263"/>
      <c r="B118" s="5" t="s">
        <v>31</v>
      </c>
      <c r="C118" s="16">
        <f>'5323-510 Employee enrichment'!C5</f>
        <v>260</v>
      </c>
      <c r="D118" s="16">
        <f>'5323-510 Employee enrichment'!D5</f>
        <v>260</v>
      </c>
      <c r="E118" s="16">
        <f>'5323-510 Employee enrichment'!E5</f>
        <v>260</v>
      </c>
      <c r="F118" s="16">
        <f>'5323-510 Employee enrichment'!F5</f>
        <v>260</v>
      </c>
      <c r="G118" s="16">
        <f>'5323-510 Employee enrichment'!G5</f>
        <v>260</v>
      </c>
      <c r="H118" s="16">
        <f>'5323-510 Employee enrichment'!H5</f>
        <v>260</v>
      </c>
      <c r="I118" s="16">
        <f>'5323-510 Employee enrichment'!I5</f>
        <v>260</v>
      </c>
      <c r="J118" s="16">
        <f>'5323-510 Employee enrichment'!J5</f>
        <v>260</v>
      </c>
      <c r="K118" s="16">
        <f>'5323-510 Employee enrichment'!K5</f>
        <v>260</v>
      </c>
      <c r="L118" s="16">
        <f>'5323-510 Employee enrichment'!L5</f>
        <v>260</v>
      </c>
      <c r="M118" s="16">
        <f>'5323-510 Employee enrichment'!M5</f>
        <v>260</v>
      </c>
      <c r="N118" s="16">
        <f>'5323-510 Employee enrichment'!N5</f>
        <v>260</v>
      </c>
      <c r="O118" s="17">
        <f>'5323-510 Employee enrichment'!O5</f>
        <v>3120</v>
      </c>
    </row>
    <row r="119" spans="1:17" x14ac:dyDescent="0.3">
      <c r="A119" s="263"/>
      <c r="B119" s="6" t="s">
        <v>29</v>
      </c>
      <c r="C119" s="18">
        <f>'5323-510 Employee enrichment'!C4</f>
        <v>170</v>
      </c>
      <c r="D119" s="18">
        <f>'5323-510 Employee enrichment'!D4</f>
        <v>170</v>
      </c>
      <c r="E119" s="18">
        <f>'5323-510 Employee enrichment'!E4</f>
        <v>870</v>
      </c>
      <c r="F119" s="18">
        <f>'5323-510 Employee enrichment'!F4</f>
        <v>170</v>
      </c>
      <c r="G119" s="18">
        <f>'5323-510 Employee enrichment'!G4</f>
        <v>170</v>
      </c>
      <c r="H119" s="18">
        <f>'5323-510 Employee enrichment'!H4</f>
        <v>420</v>
      </c>
      <c r="I119" s="18">
        <f>'5323-510 Employee enrichment'!I4</f>
        <v>170</v>
      </c>
      <c r="J119" s="18">
        <f>'5323-510 Employee enrichment'!J4</f>
        <v>570</v>
      </c>
      <c r="K119" s="18">
        <f>'5323-510 Employee enrichment'!K4</f>
        <v>170</v>
      </c>
      <c r="L119" s="18">
        <f>'5323-510 Employee enrichment'!L4</f>
        <v>170</v>
      </c>
      <c r="M119" s="18">
        <f>'5323-510 Employee enrichment'!M4</f>
        <v>170</v>
      </c>
      <c r="N119" s="18">
        <f>'5323-510 Employee enrichment'!N4</f>
        <v>740</v>
      </c>
      <c r="O119" s="19">
        <f>'5323-510 Employee enrichment'!O4</f>
        <v>3960</v>
      </c>
      <c r="Q119" s="33">
        <f>O119-O117</f>
        <v>-114.95000000000027</v>
      </c>
    </row>
    <row r="120" spans="1:17" x14ac:dyDescent="0.3">
      <c r="A120" s="263"/>
      <c r="B120" s="5" t="s">
        <v>32</v>
      </c>
      <c r="C120" s="16">
        <f>'5323-510 Employee enrichment'!C6</f>
        <v>113.19</v>
      </c>
      <c r="D120" s="16">
        <f>'5323-510 Employee enrichment'!D6</f>
        <v>104.2</v>
      </c>
      <c r="E120" s="16">
        <f>'5323-510 Employee enrichment'!E6</f>
        <v>631.22</v>
      </c>
      <c r="F120" s="16">
        <f>'5323-510 Employee enrichment'!F6</f>
        <v>397.59999999999997</v>
      </c>
      <c r="G120" s="16">
        <f>'5323-510 Employee enrichment'!G6</f>
        <v>44.32</v>
      </c>
      <c r="H120" s="16">
        <f>'5323-510 Employee enrichment'!H6</f>
        <v>351.67</v>
      </c>
      <c r="I120" s="16">
        <f>'5323-510 Employee enrichment'!I6</f>
        <v>248.54999999999998</v>
      </c>
      <c r="J120" s="16">
        <f>'5323-510 Employee enrichment'!J6</f>
        <v>103.86</v>
      </c>
      <c r="K120" s="16">
        <f>'5323-510 Employee enrichment'!K6</f>
        <v>361.36</v>
      </c>
      <c r="L120" s="16">
        <f>'5323-510 Employee enrichment'!L6</f>
        <v>307.81</v>
      </c>
      <c r="M120" s="16">
        <f>'5323-510 Employee enrichment'!M6</f>
        <v>122.41</v>
      </c>
      <c r="N120" s="16">
        <f>'5323-510 Employee enrichment'!N6</f>
        <v>0</v>
      </c>
      <c r="O120" s="17">
        <f>'5323-510 Employee enrichment'!O6</f>
        <v>2786.19</v>
      </c>
    </row>
    <row r="121" spans="1:17" x14ac:dyDescent="0.3">
      <c r="A121" s="264"/>
      <c r="B121" s="23" t="s">
        <v>447</v>
      </c>
      <c r="C121" s="26">
        <f>'5323-510 Employee enrichment'!C7</f>
        <v>146.81</v>
      </c>
      <c r="D121" s="26">
        <f>'5323-510 Employee enrichment'!D7</f>
        <v>155.80000000000001</v>
      </c>
      <c r="E121" s="26">
        <f>'5323-510 Employee enrichment'!E7</f>
        <v>-371.22</v>
      </c>
      <c r="F121" s="26">
        <f>'5323-510 Employee enrichment'!F7</f>
        <v>-137.59999999999997</v>
      </c>
      <c r="G121" s="26">
        <f>'5323-510 Employee enrichment'!G7</f>
        <v>215.68</v>
      </c>
      <c r="H121" s="26">
        <f>'5323-510 Employee enrichment'!H7</f>
        <v>-91.670000000000016</v>
      </c>
      <c r="I121" s="26">
        <f>'5323-510 Employee enrichment'!I7</f>
        <v>11.450000000000017</v>
      </c>
      <c r="J121" s="26">
        <f>'5323-510 Employee enrichment'!J7</f>
        <v>156.13999999999999</v>
      </c>
      <c r="K121" s="26">
        <f>'5323-510 Employee enrichment'!K7</f>
        <v>-101.36000000000001</v>
      </c>
      <c r="L121" s="26">
        <f>'5323-510 Employee enrichment'!L7</f>
        <v>-47.81</v>
      </c>
      <c r="M121" s="26">
        <f>'5323-510 Employee enrichment'!M7</f>
        <v>137.59</v>
      </c>
      <c r="N121" s="26">
        <f>'5323-510 Employee enrichment'!N7</f>
        <v>260</v>
      </c>
      <c r="O121" s="24">
        <f>'5323-510 Employee enrichment'!O7</f>
        <v>333.80999999999995</v>
      </c>
    </row>
    <row r="122" spans="1:17" x14ac:dyDescent="0.3">
      <c r="O122" s="27"/>
    </row>
    <row r="123" spans="1:17" x14ac:dyDescent="0.3">
      <c r="A123" s="263" t="s">
        <v>71</v>
      </c>
      <c r="B123" s="5" t="s">
        <v>16</v>
      </c>
      <c r="C123" s="16">
        <f>'5324-510 Miscellaneous'!C3</f>
        <v>442</v>
      </c>
      <c r="D123" s="16">
        <f>'5324-510 Miscellaneous'!D3</f>
        <v>539.83000000000004</v>
      </c>
      <c r="E123" s="16">
        <f>'5324-510 Miscellaneous'!E3</f>
        <v>77.430000000000007</v>
      </c>
      <c r="F123" s="16">
        <f>'5324-510 Miscellaneous'!F3</f>
        <v>853.32999999999993</v>
      </c>
      <c r="G123" s="16">
        <f>'5324-510 Miscellaneous'!G3</f>
        <v>0</v>
      </c>
      <c r="H123" s="16">
        <f>'5324-510 Miscellaneous'!H3</f>
        <v>0</v>
      </c>
      <c r="I123" s="16">
        <f>'5324-510 Miscellaneous'!I3</f>
        <v>0</v>
      </c>
      <c r="J123" s="16">
        <f>'5324-510 Miscellaneous'!J3</f>
        <v>0</v>
      </c>
      <c r="K123" s="16">
        <f>'5324-510 Miscellaneous'!K3</f>
        <v>110.77</v>
      </c>
      <c r="L123" s="16">
        <f>'5324-510 Miscellaneous'!L3</f>
        <v>0</v>
      </c>
      <c r="M123" s="16">
        <f>'5324-510 Miscellaneous'!M3</f>
        <v>0</v>
      </c>
      <c r="N123" s="16">
        <f>'5324-510 Miscellaneous'!N3</f>
        <v>0</v>
      </c>
      <c r="O123" s="17">
        <f>'5324-510 Miscellaneous'!O3</f>
        <v>2023.3600000000001</v>
      </c>
    </row>
    <row r="124" spans="1:17" x14ac:dyDescent="0.3">
      <c r="A124" s="263"/>
      <c r="B124" s="5" t="s">
        <v>31</v>
      </c>
      <c r="C124" s="16">
        <f>'5324-510 Miscellaneous'!C5</f>
        <v>0</v>
      </c>
      <c r="D124" s="16">
        <f>'5324-510 Miscellaneous'!D5</f>
        <v>0</v>
      </c>
      <c r="E124" s="16">
        <f>'5324-510 Miscellaneous'!E5</f>
        <v>0</v>
      </c>
      <c r="F124" s="16">
        <f>'5324-510 Miscellaneous'!F5</f>
        <v>0</v>
      </c>
      <c r="G124" s="16">
        <f>'5324-510 Miscellaneous'!G5</f>
        <v>0</v>
      </c>
      <c r="H124" s="16">
        <f>'5324-510 Miscellaneous'!H5</f>
        <v>0</v>
      </c>
      <c r="I124" s="16">
        <f>'5324-510 Miscellaneous'!I5</f>
        <v>0</v>
      </c>
      <c r="J124" s="16">
        <f>'5324-510 Miscellaneous'!J5</f>
        <v>0</v>
      </c>
      <c r="K124" s="16">
        <f>'5324-510 Miscellaneous'!K5</f>
        <v>500</v>
      </c>
      <c r="L124" s="16">
        <f>'5324-510 Miscellaneous'!L5</f>
        <v>0</v>
      </c>
      <c r="M124" s="16">
        <f>'5324-510 Miscellaneous'!M5</f>
        <v>0</v>
      </c>
      <c r="N124" s="16">
        <f>'5324-510 Miscellaneous'!N5</f>
        <v>0</v>
      </c>
      <c r="O124" s="17">
        <f>'5324-510 Miscellaneous'!O5</f>
        <v>500</v>
      </c>
    </row>
    <row r="125" spans="1:17" x14ac:dyDescent="0.3">
      <c r="A125" s="263"/>
      <c r="B125" s="6" t="s">
        <v>29</v>
      </c>
      <c r="C125" s="18">
        <f>'5324-510 Miscellaneous'!C4</f>
        <v>0</v>
      </c>
      <c r="D125" s="18">
        <f>'5324-510 Miscellaneous'!D4</f>
        <v>0</v>
      </c>
      <c r="E125" s="18">
        <f>'5324-510 Miscellaneous'!E4</f>
        <v>0</v>
      </c>
      <c r="F125" s="18">
        <f>'5324-510 Miscellaneous'!F4</f>
        <v>0</v>
      </c>
      <c r="G125" s="18">
        <f>'5324-510 Miscellaneous'!G4</f>
        <v>0</v>
      </c>
      <c r="H125" s="18">
        <f>'5324-510 Miscellaneous'!H4</f>
        <v>0</v>
      </c>
      <c r="I125" s="18">
        <f>'5324-510 Miscellaneous'!I4</f>
        <v>0</v>
      </c>
      <c r="J125" s="18">
        <f>'5324-510 Miscellaneous'!J4</f>
        <v>0</v>
      </c>
      <c r="K125" s="18">
        <f>'5324-510 Miscellaneous'!K4</f>
        <v>618.89</v>
      </c>
      <c r="L125" s="18">
        <f>'5324-510 Miscellaneous'!L4</f>
        <v>0</v>
      </c>
      <c r="M125" s="18">
        <f>'5324-510 Miscellaneous'!M4</f>
        <v>0</v>
      </c>
      <c r="N125" s="18">
        <f>'5324-510 Miscellaneous'!N4</f>
        <v>0</v>
      </c>
      <c r="O125" s="19">
        <f>'5324-510 Miscellaneous'!O4</f>
        <v>618.89</v>
      </c>
      <c r="Q125" s="33">
        <f>O125-O123</f>
        <v>-1404.4700000000003</v>
      </c>
    </row>
    <row r="126" spans="1:17" x14ac:dyDescent="0.3">
      <c r="A126" s="263"/>
      <c r="B126" s="5" t="s">
        <v>32</v>
      </c>
      <c r="C126" s="16">
        <f>'5324-510 Miscellaneous'!C6</f>
        <v>0</v>
      </c>
      <c r="D126" s="16">
        <f>'5324-510 Miscellaneous'!D6</f>
        <v>0</v>
      </c>
      <c r="E126" s="16">
        <f>'5324-510 Miscellaneous'!E6</f>
        <v>0</v>
      </c>
      <c r="F126" s="16">
        <f>'5324-510 Miscellaneous'!F6</f>
        <v>0</v>
      </c>
      <c r="G126" s="16">
        <f>'5324-510 Miscellaneous'!G6</f>
        <v>0</v>
      </c>
      <c r="H126" s="16">
        <f>'5324-510 Miscellaneous'!H6</f>
        <v>214.68</v>
      </c>
      <c r="I126" s="16">
        <f>'5324-510 Miscellaneous'!I6</f>
        <v>0</v>
      </c>
      <c r="J126" s="16">
        <f>'5324-510 Miscellaneous'!J6</f>
        <v>0</v>
      </c>
      <c r="K126" s="16">
        <f>'5324-510 Miscellaneous'!K6</f>
        <v>118.89</v>
      </c>
      <c r="L126" s="16">
        <f>'5324-510 Miscellaneous'!L6</f>
        <v>0</v>
      </c>
      <c r="M126" s="16">
        <f>'5324-510 Miscellaneous'!M6</f>
        <v>0</v>
      </c>
      <c r="N126" s="16">
        <f>'5324-510 Miscellaneous'!N6</f>
        <v>0</v>
      </c>
      <c r="O126" s="17">
        <f>'5324-510 Miscellaneous'!O6</f>
        <v>1931.4900000000002</v>
      </c>
    </row>
    <row r="127" spans="1:17" x14ac:dyDescent="0.3">
      <c r="A127" s="264"/>
      <c r="B127" s="23" t="s">
        <v>447</v>
      </c>
      <c r="C127" s="26">
        <f>'5324-510 Miscellaneous'!C7</f>
        <v>0</v>
      </c>
      <c r="D127" s="26">
        <f>'5324-510 Miscellaneous'!D7</f>
        <v>0</v>
      </c>
      <c r="E127" s="26">
        <f>'5324-510 Miscellaneous'!E7</f>
        <v>0</v>
      </c>
      <c r="F127" s="26">
        <f>'5324-510 Miscellaneous'!F7</f>
        <v>0</v>
      </c>
      <c r="G127" s="26">
        <f>'5324-510 Miscellaneous'!G7</f>
        <v>0</v>
      </c>
      <c r="H127" s="26">
        <f>'5324-510 Miscellaneous'!H7</f>
        <v>-214.68</v>
      </c>
      <c r="I127" s="26">
        <f>'5324-510 Miscellaneous'!I7</f>
        <v>0</v>
      </c>
      <c r="J127" s="26">
        <f>'5324-510 Miscellaneous'!J7</f>
        <v>0</v>
      </c>
      <c r="K127" s="26">
        <f>'5324-510 Miscellaneous'!K7</f>
        <v>381.11</v>
      </c>
      <c r="L127" s="26">
        <f>'5324-510 Miscellaneous'!L7</f>
        <v>0</v>
      </c>
      <c r="M127" s="26">
        <f>'5324-510 Miscellaneous'!M7</f>
        <v>0</v>
      </c>
      <c r="N127" s="26">
        <f>'5324-510 Miscellaneous'!N7</f>
        <v>0</v>
      </c>
      <c r="O127" s="24">
        <f>'5324-510 Miscellaneous'!O7</f>
        <v>-1431.4900000000002</v>
      </c>
    </row>
    <row r="128" spans="1:17" x14ac:dyDescent="0.3">
      <c r="O128" s="27"/>
    </row>
    <row r="129" spans="1:18" x14ac:dyDescent="0.3">
      <c r="A129" s="263" t="s">
        <v>73</v>
      </c>
      <c r="B129" s="5" t="s">
        <v>16</v>
      </c>
      <c r="C129" s="16">
        <f>'5325-510 Subscriptions &amp; Dues'!C3</f>
        <v>0</v>
      </c>
      <c r="D129" s="16">
        <f>'5325-510 Subscriptions &amp; Dues'!D3</f>
        <v>0</v>
      </c>
      <c r="E129" s="16">
        <f>'5325-510 Subscriptions &amp; Dues'!E3</f>
        <v>84.71</v>
      </c>
      <c r="F129" s="16">
        <f>'5325-510 Subscriptions &amp; Dues'!F3</f>
        <v>0</v>
      </c>
      <c r="G129" s="16">
        <f>'5325-510 Subscriptions &amp; Dues'!G3</f>
        <v>0</v>
      </c>
      <c r="H129" s="16">
        <f>'5325-510 Subscriptions &amp; Dues'!H3</f>
        <v>0</v>
      </c>
      <c r="I129" s="16">
        <f>'5325-510 Subscriptions &amp; Dues'!I3</f>
        <v>0</v>
      </c>
      <c r="J129" s="16">
        <f>'5325-510 Subscriptions &amp; Dues'!J3</f>
        <v>0</v>
      </c>
      <c r="K129" s="16">
        <f>'5325-510 Subscriptions &amp; Dues'!K3</f>
        <v>225</v>
      </c>
      <c r="L129" s="16">
        <f>'5325-510 Subscriptions &amp; Dues'!L3</f>
        <v>0</v>
      </c>
      <c r="M129" s="16">
        <f>'5325-510 Subscriptions &amp; Dues'!M3</f>
        <v>573.71</v>
      </c>
      <c r="N129" s="16">
        <f>'5325-510 Subscriptions &amp; Dues'!N3</f>
        <v>0</v>
      </c>
      <c r="O129" s="17">
        <f>'5325-510 Subscriptions &amp; Dues'!O3</f>
        <v>883.42000000000007</v>
      </c>
    </row>
    <row r="130" spans="1:18" x14ac:dyDescent="0.3">
      <c r="A130" s="263"/>
      <c r="B130" s="5" t="s">
        <v>31</v>
      </c>
      <c r="C130" s="16">
        <f>'5325-510 Subscriptions &amp; Dues'!C5</f>
        <v>0</v>
      </c>
      <c r="D130" s="16">
        <f>'5325-510 Subscriptions &amp; Dues'!D5</f>
        <v>0</v>
      </c>
      <c r="E130" s="16">
        <f>'5325-510 Subscriptions &amp; Dues'!E5</f>
        <v>0</v>
      </c>
      <c r="F130" s="16">
        <f>'5325-510 Subscriptions &amp; Dues'!F5</f>
        <v>0</v>
      </c>
      <c r="G130" s="16">
        <f>'5325-510 Subscriptions &amp; Dues'!G5</f>
        <v>0</v>
      </c>
      <c r="H130" s="16">
        <f>'5325-510 Subscriptions &amp; Dues'!H5</f>
        <v>0</v>
      </c>
      <c r="I130" s="16">
        <f>'5325-510 Subscriptions &amp; Dues'!I5</f>
        <v>0</v>
      </c>
      <c r="J130" s="16">
        <f>'5325-510 Subscriptions &amp; Dues'!J5</f>
        <v>0</v>
      </c>
      <c r="K130" s="16">
        <f>'5325-510 Subscriptions &amp; Dues'!K5</f>
        <v>0</v>
      </c>
      <c r="L130" s="16">
        <f>'5325-510 Subscriptions &amp; Dues'!L5</f>
        <v>0</v>
      </c>
      <c r="M130" s="16">
        <f>'5325-510 Subscriptions &amp; Dues'!M5</f>
        <v>0</v>
      </c>
      <c r="N130" s="16">
        <f>'5325-510 Subscriptions &amp; Dues'!N5</f>
        <v>0</v>
      </c>
      <c r="O130" s="17">
        <f>'5325-510 Subscriptions &amp; Dues'!O5</f>
        <v>0</v>
      </c>
    </row>
    <row r="131" spans="1:18" x14ac:dyDescent="0.3">
      <c r="A131" s="263"/>
      <c r="B131" s="6" t="s">
        <v>29</v>
      </c>
      <c r="C131" s="18">
        <f>'5325-510 Subscriptions &amp; Dues'!C4</f>
        <v>0</v>
      </c>
      <c r="D131" s="18">
        <f>'5325-510 Subscriptions &amp; Dues'!D4</f>
        <v>0</v>
      </c>
      <c r="E131" s="18">
        <f>'5325-510 Subscriptions &amp; Dues'!E4</f>
        <v>0</v>
      </c>
      <c r="F131" s="18">
        <f>'5325-510 Subscriptions &amp; Dues'!F4</f>
        <v>0</v>
      </c>
      <c r="G131" s="18">
        <f>'5325-510 Subscriptions &amp; Dues'!G4</f>
        <v>0</v>
      </c>
      <c r="H131" s="18">
        <f>'5325-510 Subscriptions &amp; Dues'!H4</f>
        <v>0</v>
      </c>
      <c r="I131" s="18">
        <f>'5325-510 Subscriptions &amp; Dues'!I4</f>
        <v>0</v>
      </c>
      <c r="J131" s="18">
        <f>'5325-510 Subscriptions &amp; Dues'!J4</f>
        <v>0</v>
      </c>
      <c r="K131" s="18">
        <f>'5325-510 Subscriptions &amp; Dues'!K4</f>
        <v>0</v>
      </c>
      <c r="L131" s="18">
        <f>'5325-510 Subscriptions &amp; Dues'!L4</f>
        <v>0</v>
      </c>
      <c r="M131" s="18">
        <f>'5325-510 Subscriptions &amp; Dues'!M4</f>
        <v>0</v>
      </c>
      <c r="N131" s="18">
        <f>'5325-510 Subscriptions &amp; Dues'!N4</f>
        <v>0</v>
      </c>
      <c r="O131" s="19">
        <f>'5325-510 Subscriptions &amp; Dues'!O4</f>
        <v>0</v>
      </c>
      <c r="Q131" s="33">
        <f>O131-O129</f>
        <v>-883.42000000000007</v>
      </c>
    </row>
    <row r="132" spans="1:18" x14ac:dyDescent="0.3">
      <c r="A132" s="263"/>
      <c r="B132" s="5" t="s">
        <v>32</v>
      </c>
      <c r="C132" s="16">
        <f>'5325-510 Subscriptions &amp; Dues'!C6</f>
        <v>0</v>
      </c>
      <c r="D132" s="16">
        <f>'5325-510 Subscriptions &amp; Dues'!D6</f>
        <v>0</v>
      </c>
      <c r="E132" s="16">
        <f>'5325-510 Subscriptions &amp; Dues'!E6</f>
        <v>0</v>
      </c>
      <c r="F132" s="16">
        <f>'5325-510 Subscriptions &amp; Dues'!F6</f>
        <v>0</v>
      </c>
      <c r="G132" s="16">
        <f>'5325-510 Subscriptions &amp; Dues'!G6</f>
        <v>54.07</v>
      </c>
      <c r="H132" s="16">
        <f>'5325-510 Subscriptions &amp; Dues'!H6</f>
        <v>0</v>
      </c>
      <c r="I132" s="16">
        <f>'5325-510 Subscriptions &amp; Dues'!I6</f>
        <v>0</v>
      </c>
      <c r="J132" s="16">
        <f>'5325-510 Subscriptions &amp; Dues'!J6</f>
        <v>0</v>
      </c>
      <c r="K132" s="16">
        <f>'5325-510 Subscriptions &amp; Dues'!K6</f>
        <v>407</v>
      </c>
      <c r="L132" s="16">
        <f>'5325-510 Subscriptions &amp; Dues'!L6</f>
        <v>0</v>
      </c>
      <c r="M132" s="16">
        <f>'5325-510 Subscriptions &amp; Dues'!M6</f>
        <v>0</v>
      </c>
      <c r="N132" s="16">
        <f>'5325-510 Subscriptions &amp; Dues'!N6</f>
        <v>0</v>
      </c>
      <c r="O132" s="17">
        <f>'5325-510 Subscriptions &amp; Dues'!O6</f>
        <v>461.07</v>
      </c>
    </row>
    <row r="133" spans="1:18" x14ac:dyDescent="0.3">
      <c r="A133" s="264"/>
      <c r="B133" s="23" t="s">
        <v>447</v>
      </c>
      <c r="C133" s="26">
        <f>'5325-510 Subscriptions &amp; Dues'!C7</f>
        <v>0</v>
      </c>
      <c r="D133" s="26">
        <f>'5325-510 Subscriptions &amp; Dues'!D7</f>
        <v>0</v>
      </c>
      <c r="E133" s="26">
        <f>'5325-510 Subscriptions &amp; Dues'!E7</f>
        <v>0</v>
      </c>
      <c r="F133" s="26">
        <f>'5325-510 Subscriptions &amp; Dues'!F7</f>
        <v>0</v>
      </c>
      <c r="G133" s="26">
        <f>'5325-510 Subscriptions &amp; Dues'!G7</f>
        <v>-54.07</v>
      </c>
      <c r="H133" s="26">
        <f>'5325-510 Subscriptions &amp; Dues'!H7</f>
        <v>0</v>
      </c>
      <c r="I133" s="26">
        <f>'5325-510 Subscriptions &amp; Dues'!I7</f>
        <v>0</v>
      </c>
      <c r="J133" s="26">
        <f>'5325-510 Subscriptions &amp; Dues'!J7</f>
        <v>0</v>
      </c>
      <c r="K133" s="26">
        <f>'5325-510 Subscriptions &amp; Dues'!K7</f>
        <v>-407</v>
      </c>
      <c r="L133" s="26">
        <f>'5325-510 Subscriptions &amp; Dues'!L7</f>
        <v>0</v>
      </c>
      <c r="M133" s="26">
        <f>'5325-510 Subscriptions &amp; Dues'!M7</f>
        <v>0</v>
      </c>
      <c r="N133" s="26">
        <f>'5325-510 Subscriptions &amp; Dues'!N7</f>
        <v>0</v>
      </c>
      <c r="O133" s="24">
        <f>'5325-510 Subscriptions &amp; Dues'!O7</f>
        <v>-461.07</v>
      </c>
    </row>
    <row r="134" spans="1:18" x14ac:dyDescent="0.3">
      <c r="O134" s="27"/>
    </row>
    <row r="135" spans="1:18" x14ac:dyDescent="0.3">
      <c r="A135" s="263" t="s">
        <v>75</v>
      </c>
      <c r="B135" s="5" t="s">
        <v>16</v>
      </c>
      <c r="C135" s="16">
        <f>'5326-510 Travel'!C3</f>
        <v>0</v>
      </c>
      <c r="D135" s="16">
        <f>'5326-510 Travel'!D3</f>
        <v>0</v>
      </c>
      <c r="E135" s="16">
        <f>'5326-510 Travel'!E3</f>
        <v>0</v>
      </c>
      <c r="F135" s="16">
        <f>'5326-510 Travel'!F3</f>
        <v>23371.3</v>
      </c>
      <c r="G135" s="16">
        <f>'5326-510 Travel'!G3</f>
        <v>-405.78999999999996</v>
      </c>
      <c r="H135" s="16">
        <f>'5326-510 Travel'!H3</f>
        <v>0</v>
      </c>
      <c r="I135" s="16">
        <f>'5326-510 Travel'!I3</f>
        <v>5447.23</v>
      </c>
      <c r="J135" s="16">
        <f>'5326-510 Travel'!J3</f>
        <v>0</v>
      </c>
      <c r="K135" s="16">
        <f>'5326-510 Travel'!K3</f>
        <v>7345.85</v>
      </c>
      <c r="L135" s="16">
        <f>'5326-510 Travel'!L3</f>
        <v>1608.74</v>
      </c>
      <c r="M135" s="16">
        <f>'5326-510 Travel'!M3</f>
        <v>1394.43</v>
      </c>
      <c r="N135" s="16">
        <f>'5326-510 Travel'!N3</f>
        <v>0</v>
      </c>
      <c r="O135" s="17">
        <f>'5326-510 Travel'!O3</f>
        <v>38761.760000000009</v>
      </c>
    </row>
    <row r="136" spans="1:18" x14ac:dyDescent="0.3">
      <c r="A136" s="263"/>
      <c r="B136" s="5" t="s">
        <v>31</v>
      </c>
      <c r="C136" s="16">
        <f>'5326-510 Travel'!C5</f>
        <v>0</v>
      </c>
      <c r="D136" s="16">
        <f>'5326-510 Travel'!D5</f>
        <v>6000</v>
      </c>
      <c r="E136" s="16">
        <f>'5326-510 Travel'!E5</f>
        <v>0</v>
      </c>
      <c r="F136" s="16">
        <f>'5326-510 Travel'!F5</f>
        <v>0</v>
      </c>
      <c r="G136" s="16">
        <f>'5326-510 Travel'!G5</f>
        <v>6000</v>
      </c>
      <c r="H136" s="16">
        <f>'5326-510 Travel'!H5</f>
        <v>0</v>
      </c>
      <c r="I136" s="16">
        <f>'5326-510 Travel'!I5</f>
        <v>0</v>
      </c>
      <c r="J136" s="16">
        <f>'5326-510 Travel'!J5</f>
        <v>0</v>
      </c>
      <c r="K136" s="16">
        <f>'5326-510 Travel'!K5</f>
        <v>6000</v>
      </c>
      <c r="L136" s="16">
        <f>'5326-510 Travel'!L5</f>
        <v>0</v>
      </c>
      <c r="M136" s="16">
        <f>'5326-510 Travel'!M5</f>
        <v>6000</v>
      </c>
      <c r="N136" s="16">
        <f>'5326-510 Travel'!N5</f>
        <v>0</v>
      </c>
      <c r="O136" s="17">
        <f>'5326-510 Travel'!O5</f>
        <v>24000</v>
      </c>
    </row>
    <row r="137" spans="1:18" x14ac:dyDescent="0.3">
      <c r="A137" s="263"/>
      <c r="B137" s="6" t="s">
        <v>29</v>
      </c>
      <c r="C137" s="18">
        <f>'5326-510 Travel'!C4</f>
        <v>0</v>
      </c>
      <c r="D137" s="18">
        <f>'5326-510 Travel'!D4</f>
        <v>5170</v>
      </c>
      <c r="E137" s="18">
        <f>'5326-510 Travel'!E4</f>
        <v>300</v>
      </c>
      <c r="F137" s="18">
        <f>'5326-510 Travel'!F4</f>
        <v>0</v>
      </c>
      <c r="G137" s="18">
        <f>'5326-510 Travel'!G4</f>
        <v>17800</v>
      </c>
      <c r="H137" s="18">
        <f>'5326-510 Travel'!H4</f>
        <v>4500</v>
      </c>
      <c r="I137" s="18">
        <f>'5326-510 Travel'!I4</f>
        <v>0</v>
      </c>
      <c r="J137" s="18">
        <f>'5326-510 Travel'!J4</f>
        <v>0</v>
      </c>
      <c r="K137" s="18">
        <f>'5326-510 Travel'!K4</f>
        <v>8000</v>
      </c>
      <c r="L137" s="18">
        <f>'5326-510 Travel'!L4</f>
        <v>0</v>
      </c>
      <c r="M137" s="18">
        <f>'5326-510 Travel'!M4</f>
        <v>7800</v>
      </c>
      <c r="N137" s="18">
        <f>'5326-510 Travel'!N4</f>
        <v>0</v>
      </c>
      <c r="O137" s="19">
        <f>'5326-510 Travel'!O4</f>
        <v>43570</v>
      </c>
      <c r="Q137" s="33">
        <f>O137-O135</f>
        <v>4808.2399999999907</v>
      </c>
      <c r="R137" t="s">
        <v>76</v>
      </c>
    </row>
    <row r="138" spans="1:18" x14ac:dyDescent="0.3">
      <c r="A138" s="263"/>
      <c r="B138" s="5" t="s">
        <v>32</v>
      </c>
      <c r="C138" s="16">
        <f>'5326-510 Travel'!C6</f>
        <v>0</v>
      </c>
      <c r="D138" s="16">
        <f>'5326-510 Travel'!D6</f>
        <v>0</v>
      </c>
      <c r="E138" s="16">
        <f>'5326-510 Travel'!E6</f>
        <v>12709.199999999999</v>
      </c>
      <c r="F138" s="16">
        <f>'5326-510 Travel'!F6</f>
        <v>2030.4099999999999</v>
      </c>
      <c r="G138" s="16">
        <f>'5326-510 Travel'!G6</f>
        <v>12593.92</v>
      </c>
      <c r="H138" s="16">
        <f>'5326-510 Travel'!H6</f>
        <v>1175.17</v>
      </c>
      <c r="I138" s="16">
        <f>'5326-510 Travel'!I6</f>
        <v>0</v>
      </c>
      <c r="J138" s="16">
        <f>'5326-510 Travel'!J6</f>
        <v>478.2</v>
      </c>
      <c r="K138" s="16">
        <f>'5326-510 Travel'!K6</f>
        <v>2625.13</v>
      </c>
      <c r="L138" s="16">
        <f>'5326-510 Travel'!L6</f>
        <v>0</v>
      </c>
      <c r="M138" s="16">
        <f>'5326-510 Travel'!M6</f>
        <v>0</v>
      </c>
      <c r="N138" s="16">
        <f>'5326-510 Travel'!N6</f>
        <v>0</v>
      </c>
      <c r="O138" s="17">
        <f>'5326-510 Travel'!O6</f>
        <v>31612.030000000002</v>
      </c>
    </row>
    <row r="139" spans="1:18" x14ac:dyDescent="0.3">
      <c r="A139" s="264"/>
      <c r="B139" s="23" t="s">
        <v>447</v>
      </c>
      <c r="C139" s="26">
        <f>'5326-510 Travel'!C7</f>
        <v>0</v>
      </c>
      <c r="D139" s="26">
        <f>'5326-510 Travel'!D7</f>
        <v>6000</v>
      </c>
      <c r="E139" s="26">
        <f>'5326-510 Travel'!E7</f>
        <v>-12709.199999999999</v>
      </c>
      <c r="F139" s="26">
        <f>'5326-510 Travel'!F7</f>
        <v>-2030.4099999999999</v>
      </c>
      <c r="G139" s="26">
        <f>'5326-510 Travel'!G7</f>
        <v>-6593.92</v>
      </c>
      <c r="H139" s="26">
        <f>'5326-510 Travel'!H7</f>
        <v>-1175.17</v>
      </c>
      <c r="I139" s="26">
        <f>'5326-510 Travel'!I7</f>
        <v>0</v>
      </c>
      <c r="J139" s="26">
        <f>'5326-510 Travel'!J7</f>
        <v>-478.2</v>
      </c>
      <c r="K139" s="26">
        <f>'5326-510 Travel'!K7</f>
        <v>3374.87</v>
      </c>
      <c r="L139" s="26">
        <f>'5326-510 Travel'!L7</f>
        <v>0</v>
      </c>
      <c r="M139" s="26">
        <f>'5326-510 Travel'!M7</f>
        <v>6000</v>
      </c>
      <c r="N139" s="26">
        <f>'5326-510 Travel'!N7</f>
        <v>0</v>
      </c>
      <c r="O139" s="24">
        <f>'5326-510 Travel'!O7</f>
        <v>-7612.0300000000025</v>
      </c>
    </row>
    <row r="140" spans="1:18" x14ac:dyDescent="0.3">
      <c r="O140" s="27"/>
    </row>
    <row r="141" spans="1:18" x14ac:dyDescent="0.3">
      <c r="A141" s="263" t="s">
        <v>78</v>
      </c>
      <c r="B141" s="5" t="s">
        <v>16</v>
      </c>
      <c r="C141" s="16">
        <f>'5327-510 Meals, Hosting'!C3</f>
        <v>0</v>
      </c>
      <c r="D141" s="16">
        <f>'5327-510 Meals, Hosting'!D3</f>
        <v>335.24</v>
      </c>
      <c r="E141" s="16">
        <f>'5327-510 Meals, Hosting'!E3</f>
        <v>0</v>
      </c>
      <c r="F141" s="16">
        <f>'5327-510 Meals, Hosting'!F3</f>
        <v>138.76999999999998</v>
      </c>
      <c r="G141" s="16">
        <f>'5327-510 Meals, Hosting'!G3</f>
        <v>371.93</v>
      </c>
      <c r="H141" s="16">
        <f>'5327-510 Meals, Hosting'!H3</f>
        <v>0</v>
      </c>
      <c r="I141" s="16">
        <f>'5327-510 Meals, Hosting'!I3</f>
        <v>0</v>
      </c>
      <c r="J141" s="16">
        <f>'5327-510 Meals, Hosting'!J3</f>
        <v>0</v>
      </c>
      <c r="K141" s="16">
        <f>'5327-510 Meals, Hosting'!K3</f>
        <v>0</v>
      </c>
      <c r="L141" s="16">
        <f>'5327-510 Meals, Hosting'!L3</f>
        <v>0</v>
      </c>
      <c r="M141" s="16">
        <f>'5327-510 Meals, Hosting'!M3</f>
        <v>0</v>
      </c>
      <c r="N141" s="16">
        <f>'5327-510 Meals, Hosting'!N3</f>
        <v>0</v>
      </c>
      <c r="O141" s="17">
        <f>'5327-510 Meals, Hosting'!O3</f>
        <v>845.94</v>
      </c>
    </row>
    <row r="142" spans="1:18" x14ac:dyDescent="0.3">
      <c r="A142" s="263"/>
      <c r="B142" s="5" t="s">
        <v>31</v>
      </c>
      <c r="C142" s="16">
        <f>'5327-510 Meals, Hosting'!C5</f>
        <v>500</v>
      </c>
      <c r="D142" s="16">
        <f>'5327-510 Meals, Hosting'!D5</f>
        <v>500</v>
      </c>
      <c r="E142" s="16">
        <f>'5327-510 Meals, Hosting'!E5</f>
        <v>500</v>
      </c>
      <c r="F142" s="16">
        <f>'5327-510 Meals, Hosting'!F5</f>
        <v>500</v>
      </c>
      <c r="G142" s="16">
        <f>'5327-510 Meals, Hosting'!G5</f>
        <v>500</v>
      </c>
      <c r="H142" s="16">
        <f>'5327-510 Meals, Hosting'!H5</f>
        <v>500</v>
      </c>
      <c r="I142" s="16">
        <f>'5327-510 Meals, Hosting'!I5</f>
        <v>500</v>
      </c>
      <c r="J142" s="16">
        <f>'5327-510 Meals, Hosting'!J5</f>
        <v>500</v>
      </c>
      <c r="K142" s="16">
        <f>'5327-510 Meals, Hosting'!K5</f>
        <v>500</v>
      </c>
      <c r="L142" s="16">
        <f>'5327-510 Meals, Hosting'!L5</f>
        <v>500</v>
      </c>
      <c r="M142" s="16">
        <f>'5327-510 Meals, Hosting'!M5</f>
        <v>500</v>
      </c>
      <c r="N142" s="16">
        <f>'5327-510 Meals, Hosting'!N5</f>
        <v>500</v>
      </c>
      <c r="O142" s="17">
        <f>'5327-510 Meals, Hosting'!O5</f>
        <v>6000</v>
      </c>
    </row>
    <row r="143" spans="1:18" x14ac:dyDescent="0.3">
      <c r="A143" s="263"/>
      <c r="B143" s="6" t="s">
        <v>29</v>
      </c>
      <c r="C143" s="18">
        <f>'5327-510 Meals, Hosting'!C4</f>
        <v>400</v>
      </c>
      <c r="D143" s="18">
        <f>'5327-510 Meals, Hosting'!D4</f>
        <v>400</v>
      </c>
      <c r="E143" s="18">
        <f>'5327-510 Meals, Hosting'!E4</f>
        <v>400</v>
      </c>
      <c r="F143" s="18">
        <f>'5327-510 Meals, Hosting'!F4</f>
        <v>400</v>
      </c>
      <c r="G143" s="18">
        <f>'5327-510 Meals, Hosting'!G4</f>
        <v>400</v>
      </c>
      <c r="H143" s="18">
        <f>'5327-510 Meals, Hosting'!H4</f>
        <v>400</v>
      </c>
      <c r="I143" s="18">
        <f>'5327-510 Meals, Hosting'!I4</f>
        <v>400</v>
      </c>
      <c r="J143" s="18">
        <f>'5327-510 Meals, Hosting'!J4</f>
        <v>400</v>
      </c>
      <c r="K143" s="18">
        <f>'5327-510 Meals, Hosting'!K4</f>
        <v>400</v>
      </c>
      <c r="L143" s="18">
        <f>'5327-510 Meals, Hosting'!L4</f>
        <v>400</v>
      </c>
      <c r="M143" s="18">
        <f>'5327-510 Meals, Hosting'!M4</f>
        <v>400</v>
      </c>
      <c r="N143" s="18">
        <f>'5327-510 Meals, Hosting'!N4</f>
        <v>400</v>
      </c>
      <c r="O143" s="19">
        <f>'5327-510 Meals, Hosting'!O4</f>
        <v>4800</v>
      </c>
      <c r="Q143" s="33">
        <f>O143-O141</f>
        <v>3954.06</v>
      </c>
    </row>
    <row r="144" spans="1:18" x14ac:dyDescent="0.3">
      <c r="A144" s="263"/>
      <c r="B144" s="5" t="s">
        <v>32</v>
      </c>
      <c r="C144" s="16">
        <f>'5327-510 Meals, Hosting'!C6</f>
        <v>0</v>
      </c>
      <c r="D144" s="16">
        <f>'5327-510 Meals, Hosting'!D6</f>
        <v>1553.88</v>
      </c>
      <c r="E144" s="16">
        <f>'5327-510 Meals, Hosting'!E6</f>
        <v>0</v>
      </c>
      <c r="F144" s="16">
        <f>'5327-510 Meals, Hosting'!F6</f>
        <v>0</v>
      </c>
      <c r="G144" s="16">
        <f>'5327-510 Meals, Hosting'!G6</f>
        <v>71.64</v>
      </c>
      <c r="H144" s="16">
        <f>'5327-510 Meals, Hosting'!H6</f>
        <v>98.97</v>
      </c>
      <c r="I144" s="16">
        <f>'5327-510 Meals, Hosting'!I6</f>
        <v>0</v>
      </c>
      <c r="J144" s="16">
        <f>'5327-510 Meals, Hosting'!J6</f>
        <v>78.569999999999993</v>
      </c>
      <c r="K144" s="16">
        <f>'5327-510 Meals, Hosting'!K6</f>
        <v>0</v>
      </c>
      <c r="L144" s="16">
        <f>'5327-510 Meals, Hosting'!L6</f>
        <v>0</v>
      </c>
      <c r="M144" s="16">
        <f>'5327-510 Meals, Hosting'!M6</f>
        <v>0</v>
      </c>
      <c r="N144" s="16">
        <f>'5327-510 Meals, Hosting'!N6</f>
        <v>0</v>
      </c>
      <c r="O144" s="17">
        <f>'5327-510 Meals, Hosting'!O6</f>
        <v>1803.0600000000002</v>
      </c>
    </row>
    <row r="145" spans="1:17" x14ac:dyDescent="0.3">
      <c r="A145" s="264"/>
      <c r="B145" s="23" t="s">
        <v>447</v>
      </c>
      <c r="C145" s="26">
        <f>'5327-510 Meals, Hosting'!C7</f>
        <v>500</v>
      </c>
      <c r="D145" s="26">
        <f>'5327-510 Meals, Hosting'!D7</f>
        <v>-1053.8800000000001</v>
      </c>
      <c r="E145" s="26">
        <f>'5327-510 Meals, Hosting'!E7</f>
        <v>500</v>
      </c>
      <c r="F145" s="26">
        <f>'5327-510 Meals, Hosting'!F7</f>
        <v>500</v>
      </c>
      <c r="G145" s="26">
        <f>'5327-510 Meals, Hosting'!G7</f>
        <v>428.36</v>
      </c>
      <c r="H145" s="26">
        <f>'5327-510 Meals, Hosting'!H7</f>
        <v>401.03</v>
      </c>
      <c r="I145" s="26">
        <f>'5327-510 Meals, Hosting'!I7</f>
        <v>500</v>
      </c>
      <c r="J145" s="26">
        <f>'5327-510 Meals, Hosting'!J7</f>
        <v>421.43</v>
      </c>
      <c r="K145" s="26">
        <f>'5327-510 Meals, Hosting'!K7</f>
        <v>500</v>
      </c>
      <c r="L145" s="26">
        <f>'5327-510 Meals, Hosting'!L7</f>
        <v>500</v>
      </c>
      <c r="M145" s="26">
        <f>'5327-510 Meals, Hosting'!M7</f>
        <v>500</v>
      </c>
      <c r="N145" s="26">
        <f>'5327-510 Meals, Hosting'!N7</f>
        <v>500</v>
      </c>
      <c r="O145" s="24">
        <f>'5327-510 Meals, Hosting'!O7</f>
        <v>4196.9399999999996</v>
      </c>
    </row>
    <row r="146" spans="1:17" x14ac:dyDescent="0.3">
      <c r="O146" s="27"/>
    </row>
    <row r="147" spans="1:17" x14ac:dyDescent="0.3">
      <c r="A147" s="263" t="s">
        <v>80</v>
      </c>
      <c r="B147" s="5" t="s">
        <v>16</v>
      </c>
      <c r="C147" s="16">
        <f>'5328-510 Vehicle Expense'!C3</f>
        <v>27.84</v>
      </c>
      <c r="D147" s="16">
        <f>'5328-510 Vehicle Expense'!D3</f>
        <v>0</v>
      </c>
      <c r="E147" s="16">
        <f>'5328-510 Vehicle Expense'!E3</f>
        <v>0</v>
      </c>
      <c r="F147" s="16">
        <f>'5328-510 Vehicle Expense'!F3</f>
        <v>20</v>
      </c>
      <c r="G147" s="16">
        <f>'5328-510 Vehicle Expense'!G3</f>
        <v>0</v>
      </c>
      <c r="H147" s="16">
        <f>'5328-510 Vehicle Expense'!H3</f>
        <v>251.31</v>
      </c>
      <c r="I147" s="16">
        <f>'5328-510 Vehicle Expense'!I3</f>
        <v>0</v>
      </c>
      <c r="J147" s="16">
        <f>'5328-510 Vehicle Expense'!J3</f>
        <v>0</v>
      </c>
      <c r="K147" s="16">
        <f>'5328-510 Vehicle Expense'!K3</f>
        <v>0</v>
      </c>
      <c r="L147" s="16">
        <f>'5328-510 Vehicle Expense'!L3</f>
        <v>0</v>
      </c>
      <c r="M147" s="16">
        <f>'5328-510 Vehicle Expense'!M3</f>
        <v>4.5</v>
      </c>
      <c r="N147" s="16">
        <f>'5328-510 Vehicle Expense'!N3</f>
        <v>0</v>
      </c>
      <c r="O147" s="17">
        <f>'5328-510 Vehicle Expense'!O3</f>
        <v>303.64999999999998</v>
      </c>
    </row>
    <row r="148" spans="1:17" x14ac:dyDescent="0.3">
      <c r="A148" s="263"/>
      <c r="B148" s="5" t="s">
        <v>31</v>
      </c>
      <c r="C148" s="16">
        <f>'5328-510 Vehicle Expense'!C5</f>
        <v>150</v>
      </c>
      <c r="D148" s="16">
        <f>'5328-510 Vehicle Expense'!D5</f>
        <v>150</v>
      </c>
      <c r="E148" s="16">
        <f>'5328-510 Vehicle Expense'!E5</f>
        <v>150</v>
      </c>
      <c r="F148" s="16">
        <f>'5328-510 Vehicle Expense'!F5</f>
        <v>150</v>
      </c>
      <c r="G148" s="16">
        <f>'5328-510 Vehicle Expense'!G5</f>
        <v>150</v>
      </c>
      <c r="H148" s="16">
        <f>'5328-510 Vehicle Expense'!H5</f>
        <v>150</v>
      </c>
      <c r="I148" s="16">
        <f>'5328-510 Vehicle Expense'!I5</f>
        <v>155</v>
      </c>
      <c r="J148" s="16">
        <f>'5328-510 Vehicle Expense'!J5</f>
        <v>173</v>
      </c>
      <c r="K148" s="16">
        <f>'5328-510 Vehicle Expense'!K5</f>
        <v>164</v>
      </c>
      <c r="L148" s="16">
        <f>'5328-510 Vehicle Expense'!L5</f>
        <v>150</v>
      </c>
      <c r="M148" s="16">
        <f>'5328-510 Vehicle Expense'!M5</f>
        <v>150</v>
      </c>
      <c r="N148" s="16">
        <f>'5328-510 Vehicle Expense'!N5</f>
        <v>150</v>
      </c>
      <c r="O148" s="17">
        <f>'5328-510 Vehicle Expense'!O5</f>
        <v>1842</v>
      </c>
    </row>
    <row r="149" spans="1:17" x14ac:dyDescent="0.3">
      <c r="A149" s="263"/>
      <c r="B149" s="6" t="s">
        <v>29</v>
      </c>
      <c r="C149" s="18">
        <f>'5328-510 Vehicle Expense'!C4</f>
        <v>150</v>
      </c>
      <c r="D149" s="18">
        <f>'5328-510 Vehicle Expense'!D4</f>
        <v>150</v>
      </c>
      <c r="E149" s="18">
        <f>'5328-510 Vehicle Expense'!E4</f>
        <v>150</v>
      </c>
      <c r="F149" s="18">
        <f>'5328-510 Vehicle Expense'!F4</f>
        <v>150</v>
      </c>
      <c r="G149" s="18">
        <f>'5328-510 Vehicle Expense'!G4</f>
        <v>150</v>
      </c>
      <c r="H149" s="18">
        <f>'5328-510 Vehicle Expense'!H4</f>
        <v>150</v>
      </c>
      <c r="I149" s="18">
        <f>'5328-510 Vehicle Expense'!I4</f>
        <v>155</v>
      </c>
      <c r="J149" s="18">
        <f>'5328-510 Vehicle Expense'!J4</f>
        <v>173</v>
      </c>
      <c r="K149" s="18">
        <f>'5328-510 Vehicle Expense'!K4</f>
        <v>164</v>
      </c>
      <c r="L149" s="18">
        <f>'5328-510 Vehicle Expense'!L4</f>
        <v>150</v>
      </c>
      <c r="M149" s="18">
        <f>'5328-510 Vehicle Expense'!M4</f>
        <v>150</v>
      </c>
      <c r="N149" s="18">
        <f>'5328-510 Vehicle Expense'!N4</f>
        <v>150</v>
      </c>
      <c r="O149" s="19">
        <f>'5328-510 Vehicle Expense'!O4</f>
        <v>1842</v>
      </c>
      <c r="Q149" s="33">
        <f>O149-O147</f>
        <v>1538.35</v>
      </c>
    </row>
    <row r="150" spans="1:17" x14ac:dyDescent="0.3">
      <c r="A150" s="263"/>
      <c r="B150" s="5" t="s">
        <v>32</v>
      </c>
      <c r="C150" s="16">
        <f>'5328-510 Vehicle Expense'!C6</f>
        <v>0</v>
      </c>
      <c r="D150" s="16">
        <f>'5328-510 Vehicle Expense'!D6</f>
        <v>3</v>
      </c>
      <c r="E150" s="16">
        <f>'5328-510 Vehicle Expense'!E6</f>
        <v>0</v>
      </c>
      <c r="F150" s="16">
        <f>'5328-510 Vehicle Expense'!F6</f>
        <v>145.35000000000002</v>
      </c>
      <c r="G150" s="16">
        <f>'5328-510 Vehicle Expense'!G6</f>
        <v>0</v>
      </c>
      <c r="H150" s="16">
        <f>'5328-510 Vehicle Expense'!H6</f>
        <v>0</v>
      </c>
      <c r="I150" s="16">
        <f>'5328-510 Vehicle Expense'!I6</f>
        <v>0</v>
      </c>
      <c r="J150" s="16">
        <f>'5328-510 Vehicle Expense'!J6</f>
        <v>95.2</v>
      </c>
      <c r="K150" s="16">
        <f>'5328-510 Vehicle Expense'!K6</f>
        <v>0</v>
      </c>
      <c r="L150" s="16">
        <f>'5328-510 Vehicle Expense'!L6</f>
        <v>0</v>
      </c>
      <c r="M150" s="16">
        <f>'5328-510 Vehicle Expense'!M6</f>
        <v>0</v>
      </c>
      <c r="N150" s="16">
        <f>'5328-510 Vehicle Expense'!N6</f>
        <v>0</v>
      </c>
      <c r="O150" s="17">
        <f>'5328-510 Vehicle Expense'!O6</f>
        <v>243.55</v>
      </c>
    </row>
    <row r="151" spans="1:17" x14ac:dyDescent="0.3">
      <c r="A151" s="264"/>
      <c r="B151" s="23" t="s">
        <v>447</v>
      </c>
      <c r="C151" s="26">
        <f>'5328-510 Vehicle Expense'!C7</f>
        <v>150</v>
      </c>
      <c r="D151" s="26">
        <f>'5328-510 Vehicle Expense'!D7</f>
        <v>147</v>
      </c>
      <c r="E151" s="26">
        <f>'5328-510 Vehicle Expense'!E7</f>
        <v>150</v>
      </c>
      <c r="F151" s="26">
        <f>'5328-510 Vehicle Expense'!F7</f>
        <v>4.6499999999999773</v>
      </c>
      <c r="G151" s="26">
        <f>'5328-510 Vehicle Expense'!G7</f>
        <v>150</v>
      </c>
      <c r="H151" s="26">
        <f>'5328-510 Vehicle Expense'!H7</f>
        <v>150</v>
      </c>
      <c r="I151" s="26">
        <f>'5328-510 Vehicle Expense'!I7</f>
        <v>155</v>
      </c>
      <c r="J151" s="26">
        <f>'5328-510 Vehicle Expense'!J7</f>
        <v>77.8</v>
      </c>
      <c r="K151" s="26">
        <f>'5328-510 Vehicle Expense'!K7</f>
        <v>164</v>
      </c>
      <c r="L151" s="26">
        <f>'5328-510 Vehicle Expense'!L7</f>
        <v>150</v>
      </c>
      <c r="M151" s="26">
        <f>'5328-510 Vehicle Expense'!M7</f>
        <v>150</v>
      </c>
      <c r="N151" s="26">
        <f>'5328-510 Vehicle Expense'!N7</f>
        <v>150</v>
      </c>
      <c r="O151" s="24">
        <f>'5328-510 Vehicle Expense'!O7</f>
        <v>1598.45</v>
      </c>
    </row>
    <row r="152" spans="1:17" x14ac:dyDescent="0.3">
      <c r="O152" s="27"/>
    </row>
    <row r="153" spans="1:17" x14ac:dyDescent="0.3">
      <c r="A153" s="263" t="s">
        <v>82</v>
      </c>
      <c r="B153" s="5" t="s">
        <v>16</v>
      </c>
      <c r="C153" s="16">
        <f>'5333-510 Consulting'!C3</f>
        <v>0</v>
      </c>
      <c r="D153" s="16">
        <f>'5333-510 Consulting'!D3</f>
        <v>0</v>
      </c>
      <c r="E153" s="16">
        <f>'5333-510 Consulting'!E3</f>
        <v>0</v>
      </c>
      <c r="F153" s="16">
        <f>'5333-510 Consulting'!F3</f>
        <v>0</v>
      </c>
      <c r="G153" s="16">
        <f>'5333-510 Consulting'!G3</f>
        <v>0</v>
      </c>
      <c r="H153" s="16">
        <f>'5333-510 Consulting'!H3</f>
        <v>0</v>
      </c>
      <c r="I153" s="16">
        <f>'5333-510 Consulting'!I3</f>
        <v>0</v>
      </c>
      <c r="J153" s="16">
        <f>'5333-510 Consulting'!J3</f>
        <v>0</v>
      </c>
      <c r="K153" s="16">
        <f>'5333-510 Consulting'!K3</f>
        <v>0</v>
      </c>
      <c r="L153" s="16">
        <f>'5333-510 Consulting'!L3</f>
        <v>0</v>
      </c>
      <c r="M153" s="16">
        <f>'5333-510 Consulting'!M3</f>
        <v>0</v>
      </c>
      <c r="N153" s="16">
        <f>'5333-510 Consulting'!N3</f>
        <v>0</v>
      </c>
      <c r="O153" s="17">
        <f>'5333-510 Consulting'!O3</f>
        <v>0</v>
      </c>
    </row>
    <row r="154" spans="1:17" x14ac:dyDescent="0.3">
      <c r="A154" s="263"/>
      <c r="B154" s="5" t="s">
        <v>31</v>
      </c>
      <c r="C154" s="16">
        <f>'5333-510 Consulting'!C5</f>
        <v>0</v>
      </c>
      <c r="D154" s="16">
        <f>'5333-510 Consulting'!D5</f>
        <v>0</v>
      </c>
      <c r="E154" s="16">
        <f>'5333-510 Consulting'!E5</f>
        <v>0</v>
      </c>
      <c r="F154" s="16">
        <f>'5333-510 Consulting'!F5</f>
        <v>0</v>
      </c>
      <c r="G154" s="16">
        <f>'5333-510 Consulting'!G5</f>
        <v>0</v>
      </c>
      <c r="H154" s="16">
        <f>'5333-510 Consulting'!H5</f>
        <v>0</v>
      </c>
      <c r="I154" s="16">
        <f>'5333-510 Consulting'!I5</f>
        <v>0</v>
      </c>
      <c r="J154" s="16">
        <f>'5333-510 Consulting'!J5</f>
        <v>0</v>
      </c>
      <c r="K154" s="16">
        <f>'5333-510 Consulting'!K5</f>
        <v>0</v>
      </c>
      <c r="L154" s="16">
        <f>'5333-510 Consulting'!L5</f>
        <v>0</v>
      </c>
      <c r="M154" s="16">
        <f>'5333-510 Consulting'!M5</f>
        <v>0</v>
      </c>
      <c r="N154" s="16">
        <f>'5333-510 Consulting'!N5</f>
        <v>0</v>
      </c>
      <c r="O154" s="17">
        <f>'5333-510 Consulting'!O5</f>
        <v>0</v>
      </c>
    </row>
    <row r="155" spans="1:17" x14ac:dyDescent="0.3">
      <c r="A155" s="263"/>
      <c r="B155" s="6" t="s">
        <v>29</v>
      </c>
      <c r="C155" s="18">
        <f>'5333-510 Consulting'!C4</f>
        <v>0</v>
      </c>
      <c r="D155" s="18">
        <f>'5333-510 Consulting'!D4</f>
        <v>0</v>
      </c>
      <c r="E155" s="18">
        <f>'5333-510 Consulting'!E4</f>
        <v>0</v>
      </c>
      <c r="F155" s="18">
        <f>'5333-510 Consulting'!F4</f>
        <v>0</v>
      </c>
      <c r="G155" s="18">
        <f>'5333-510 Consulting'!G4</f>
        <v>0</v>
      </c>
      <c r="H155" s="18">
        <f>'5333-510 Consulting'!H4</f>
        <v>0</v>
      </c>
      <c r="I155" s="18">
        <f>'5333-510 Consulting'!I4</f>
        <v>0</v>
      </c>
      <c r="J155" s="18">
        <f>'5333-510 Consulting'!J4</f>
        <v>0</v>
      </c>
      <c r="K155" s="18">
        <f>'5333-510 Consulting'!K4</f>
        <v>0</v>
      </c>
      <c r="L155" s="18">
        <f>'5333-510 Consulting'!L4</f>
        <v>0</v>
      </c>
      <c r="M155" s="18">
        <f>'5333-510 Consulting'!M4</f>
        <v>0</v>
      </c>
      <c r="N155" s="18">
        <f>'5333-510 Consulting'!N4</f>
        <v>0</v>
      </c>
      <c r="O155" s="19">
        <f>'5333-510 Consulting'!O4</f>
        <v>0</v>
      </c>
      <c r="Q155" s="33">
        <f>O155-O153</f>
        <v>0</v>
      </c>
    </row>
    <row r="156" spans="1:17" x14ac:dyDescent="0.3">
      <c r="A156" s="263"/>
      <c r="B156" s="5" t="s">
        <v>32</v>
      </c>
      <c r="C156" s="16">
        <f>'5333-510 Consulting'!C6</f>
        <v>0</v>
      </c>
      <c r="D156" s="16">
        <f>'5333-510 Consulting'!D6</f>
        <v>0</v>
      </c>
      <c r="E156" s="16">
        <f>'5333-510 Consulting'!E6</f>
        <v>0</v>
      </c>
      <c r="F156" s="16">
        <f>'5333-510 Consulting'!F6</f>
        <v>0</v>
      </c>
      <c r="G156" s="16">
        <f>'5333-510 Consulting'!G6</f>
        <v>0</v>
      </c>
      <c r="H156" s="16">
        <f>'5333-510 Consulting'!H6</f>
        <v>0</v>
      </c>
      <c r="I156" s="16">
        <f>'5333-510 Consulting'!I6</f>
        <v>0</v>
      </c>
      <c r="J156" s="16">
        <f>'5333-510 Consulting'!J6</f>
        <v>0</v>
      </c>
      <c r="K156" s="16">
        <f>'5333-510 Consulting'!K6</f>
        <v>0</v>
      </c>
      <c r="L156" s="16">
        <f>'5333-510 Consulting'!L6</f>
        <v>0</v>
      </c>
      <c r="M156" s="16">
        <f>'5333-510 Consulting'!M6</f>
        <v>0</v>
      </c>
      <c r="N156" s="16">
        <f>'5333-510 Consulting'!N6</f>
        <v>0</v>
      </c>
      <c r="O156" s="17">
        <f>'5333-510 Consulting'!O6</f>
        <v>0</v>
      </c>
    </row>
    <row r="157" spans="1:17" x14ac:dyDescent="0.3">
      <c r="A157" s="264"/>
      <c r="B157" s="23" t="s">
        <v>447</v>
      </c>
      <c r="C157" s="26">
        <f>'5333-510 Consulting'!C7</f>
        <v>0</v>
      </c>
      <c r="D157" s="26">
        <f>'5333-510 Consulting'!D7</f>
        <v>0</v>
      </c>
      <c r="E157" s="26">
        <f>'5333-510 Consulting'!E7</f>
        <v>0</v>
      </c>
      <c r="F157" s="26">
        <f>'5333-510 Consulting'!F7</f>
        <v>0</v>
      </c>
      <c r="G157" s="26">
        <f>'5333-510 Consulting'!G7</f>
        <v>0</v>
      </c>
      <c r="H157" s="26">
        <f>'5333-510 Consulting'!H7</f>
        <v>0</v>
      </c>
      <c r="I157" s="26">
        <f>'5333-510 Consulting'!I7</f>
        <v>0</v>
      </c>
      <c r="J157" s="26">
        <f>'5333-510 Consulting'!J7</f>
        <v>0</v>
      </c>
      <c r="K157" s="26">
        <f>'5333-510 Consulting'!K7</f>
        <v>0</v>
      </c>
      <c r="L157" s="26">
        <f>'5333-510 Consulting'!L7</f>
        <v>0</v>
      </c>
      <c r="M157" s="26">
        <f>'5333-510 Consulting'!M7</f>
        <v>0</v>
      </c>
      <c r="N157" s="26">
        <f>'5333-510 Consulting'!N7</f>
        <v>0</v>
      </c>
      <c r="O157" s="24">
        <f>'5333-510 Consulting'!O7</f>
        <v>0</v>
      </c>
    </row>
    <row r="158" spans="1:17" x14ac:dyDescent="0.3">
      <c r="O158" s="27"/>
    </row>
    <row r="159" spans="1:17" x14ac:dyDescent="0.3">
      <c r="A159" s="263" t="s">
        <v>83</v>
      </c>
      <c r="B159" s="5" t="s">
        <v>16</v>
      </c>
      <c r="C159" s="16">
        <f>'5336-510 Excise Tax'!C3</f>
        <v>0</v>
      </c>
      <c r="D159" s="16">
        <f>'5336-510 Excise Tax'!D3</f>
        <v>0</v>
      </c>
      <c r="E159" s="16">
        <f>'5336-510 Excise Tax'!E3</f>
        <v>0</v>
      </c>
      <c r="F159" s="16">
        <f>'5336-510 Excise Tax'!F3</f>
        <v>0</v>
      </c>
      <c r="G159" s="16">
        <f>'5336-510 Excise Tax'!G3</f>
        <v>0</v>
      </c>
      <c r="H159" s="16">
        <f>'5336-510 Excise Tax'!H3</f>
        <v>0</v>
      </c>
      <c r="I159" s="16">
        <f>'5336-510 Excise Tax'!I3</f>
        <v>0</v>
      </c>
      <c r="J159" s="16">
        <f>'5336-510 Excise Tax'!J3</f>
        <v>0</v>
      </c>
      <c r="K159" s="16">
        <f>'5336-510 Excise Tax'!K3</f>
        <v>0</v>
      </c>
      <c r="L159" s="16">
        <f>'5336-510 Excise Tax'!L3</f>
        <v>0</v>
      </c>
      <c r="M159" s="16">
        <f>'5336-510 Excise Tax'!M3</f>
        <v>0</v>
      </c>
      <c r="N159" s="16">
        <f>'5336-510 Excise Tax'!N3</f>
        <v>0</v>
      </c>
      <c r="O159" s="17">
        <f>'5336-510 Excise Tax'!O3</f>
        <v>0</v>
      </c>
    </row>
    <row r="160" spans="1:17" x14ac:dyDescent="0.3">
      <c r="A160" s="263"/>
      <c r="B160" s="5" t="s">
        <v>31</v>
      </c>
      <c r="C160" s="16">
        <f>'5336-510 Excise Tax'!C5</f>
        <v>0</v>
      </c>
      <c r="D160" s="16">
        <f>'5336-510 Excise Tax'!D5</f>
        <v>0</v>
      </c>
      <c r="E160" s="16">
        <f>'5336-510 Excise Tax'!E5</f>
        <v>0</v>
      </c>
      <c r="F160" s="16">
        <f>'5336-510 Excise Tax'!F5</f>
        <v>0</v>
      </c>
      <c r="G160" s="16">
        <f>'5336-510 Excise Tax'!G5</f>
        <v>0</v>
      </c>
      <c r="H160" s="16">
        <f>'5336-510 Excise Tax'!H5</f>
        <v>0</v>
      </c>
      <c r="I160" s="16">
        <f>'5336-510 Excise Tax'!I5</f>
        <v>0</v>
      </c>
      <c r="J160" s="16">
        <f>'5336-510 Excise Tax'!J5</f>
        <v>0</v>
      </c>
      <c r="K160" s="16">
        <f>'5336-510 Excise Tax'!K5</f>
        <v>0</v>
      </c>
      <c r="L160" s="16">
        <f>'5336-510 Excise Tax'!L5</f>
        <v>0</v>
      </c>
      <c r="M160" s="16">
        <f>'5336-510 Excise Tax'!M5</f>
        <v>0</v>
      </c>
      <c r="N160" s="16">
        <f>'5336-510 Excise Tax'!N5</f>
        <v>0</v>
      </c>
      <c r="O160" s="17">
        <f>'5336-510 Excise Tax'!O5</f>
        <v>0</v>
      </c>
    </row>
    <row r="161" spans="1:18" x14ac:dyDescent="0.3">
      <c r="A161" s="263"/>
      <c r="B161" s="6" t="s">
        <v>29</v>
      </c>
      <c r="C161" s="18">
        <f>'5336-510 Excise Tax'!C4</f>
        <v>0</v>
      </c>
      <c r="D161" s="18">
        <f>'5336-510 Excise Tax'!D4</f>
        <v>0</v>
      </c>
      <c r="E161" s="18">
        <f>'5336-510 Excise Tax'!E4</f>
        <v>0</v>
      </c>
      <c r="F161" s="18">
        <f>'5336-510 Excise Tax'!F4</f>
        <v>0</v>
      </c>
      <c r="G161" s="18">
        <f>'5336-510 Excise Tax'!G4</f>
        <v>0</v>
      </c>
      <c r="H161" s="18">
        <f>'5336-510 Excise Tax'!H4</f>
        <v>0</v>
      </c>
      <c r="I161" s="18">
        <f>'5336-510 Excise Tax'!I4</f>
        <v>0</v>
      </c>
      <c r="J161" s="18">
        <f>'5336-510 Excise Tax'!J4</f>
        <v>0</v>
      </c>
      <c r="K161" s="18">
        <f>'5336-510 Excise Tax'!K4</f>
        <v>0</v>
      </c>
      <c r="L161" s="18">
        <f>'5336-510 Excise Tax'!L4</f>
        <v>0</v>
      </c>
      <c r="M161" s="18">
        <f>'5336-510 Excise Tax'!M4</f>
        <v>0</v>
      </c>
      <c r="N161" s="18">
        <f>'5336-510 Excise Tax'!N4</f>
        <v>0</v>
      </c>
      <c r="O161" s="19">
        <f>'5336-510 Excise Tax'!O4</f>
        <v>0</v>
      </c>
      <c r="Q161" s="33">
        <f>O161-O159</f>
        <v>0</v>
      </c>
    </row>
    <row r="162" spans="1:18" x14ac:dyDescent="0.3">
      <c r="A162" s="263"/>
      <c r="B162" s="5" t="s">
        <v>32</v>
      </c>
      <c r="C162" s="16">
        <f>'5336-510 Excise Tax'!C6</f>
        <v>0</v>
      </c>
      <c r="D162" s="16">
        <f>'5336-510 Excise Tax'!D6</f>
        <v>0</v>
      </c>
      <c r="E162" s="16">
        <f>'5336-510 Excise Tax'!E6</f>
        <v>0</v>
      </c>
      <c r="F162" s="16">
        <f>'5336-510 Excise Tax'!F6</f>
        <v>0</v>
      </c>
      <c r="G162" s="16">
        <f>'5336-510 Excise Tax'!G6</f>
        <v>0</v>
      </c>
      <c r="H162" s="16">
        <f>'5336-510 Excise Tax'!H6</f>
        <v>0</v>
      </c>
      <c r="I162" s="16">
        <f>'5336-510 Excise Tax'!I6</f>
        <v>0</v>
      </c>
      <c r="J162" s="16">
        <f>'5336-510 Excise Tax'!J6</f>
        <v>0</v>
      </c>
      <c r="K162" s="16">
        <f>'5336-510 Excise Tax'!K6</f>
        <v>0</v>
      </c>
      <c r="L162" s="16">
        <f>'5336-510 Excise Tax'!L6</f>
        <v>0</v>
      </c>
      <c r="M162" s="16">
        <f>'5336-510 Excise Tax'!M6</f>
        <v>0</v>
      </c>
      <c r="N162" s="16">
        <f>'5336-510 Excise Tax'!N6</f>
        <v>0</v>
      </c>
      <c r="O162" s="17">
        <f>'5336-510 Excise Tax'!O6</f>
        <v>0</v>
      </c>
    </row>
    <row r="163" spans="1:18" x14ac:dyDescent="0.3">
      <c r="A163" s="264"/>
      <c r="B163" s="23" t="s">
        <v>447</v>
      </c>
      <c r="C163" s="26">
        <f>'5336-510 Excise Tax'!C7</f>
        <v>0</v>
      </c>
      <c r="D163" s="26">
        <f>'5336-510 Excise Tax'!D7</f>
        <v>0</v>
      </c>
      <c r="E163" s="26">
        <f>'5336-510 Excise Tax'!E7</f>
        <v>0</v>
      </c>
      <c r="F163" s="26">
        <f>'5336-510 Excise Tax'!F7</f>
        <v>0</v>
      </c>
      <c r="G163" s="26">
        <f>'5336-510 Excise Tax'!G7</f>
        <v>0</v>
      </c>
      <c r="H163" s="26">
        <f>'5336-510 Excise Tax'!H7</f>
        <v>0</v>
      </c>
      <c r="I163" s="26">
        <f>'5336-510 Excise Tax'!I7</f>
        <v>0</v>
      </c>
      <c r="J163" s="26">
        <f>'5336-510 Excise Tax'!J7</f>
        <v>0</v>
      </c>
      <c r="K163" s="26">
        <f>'5336-510 Excise Tax'!K7</f>
        <v>0</v>
      </c>
      <c r="L163" s="26">
        <f>'5336-510 Excise Tax'!L7</f>
        <v>0</v>
      </c>
      <c r="M163" s="26">
        <f>'5336-510 Excise Tax'!M7</f>
        <v>0</v>
      </c>
      <c r="N163" s="26">
        <f>'5336-510 Excise Tax'!N7</f>
        <v>0</v>
      </c>
      <c r="O163" s="24">
        <f>'5336-510 Excise Tax'!O7</f>
        <v>0</v>
      </c>
    </row>
    <row r="167" spans="1:18" x14ac:dyDescent="0.3">
      <c r="O167" s="27"/>
    </row>
    <row r="168" spans="1:18" x14ac:dyDescent="0.3">
      <c r="A168" s="263" t="str">
        <f>'5315-630 Technology (MIS)'!A1</f>
        <v>5315-630 Technology Services (Cost Center MIS)</v>
      </c>
      <c r="B168" s="5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7"/>
    </row>
    <row r="169" spans="1:18" x14ac:dyDescent="0.3">
      <c r="A169" s="263" t="s">
        <v>84</v>
      </c>
      <c r="B169" s="5" t="s">
        <v>16</v>
      </c>
      <c r="C169" s="16">
        <f>'5315-630 Technology (MIS)'!C3</f>
        <v>2933.06</v>
      </c>
      <c r="D169" s="16">
        <f>'5315-630 Technology (MIS)'!D3</f>
        <v>4322.33</v>
      </c>
      <c r="E169" s="16">
        <f>'5315-630 Technology (MIS)'!E3</f>
        <v>43334.07</v>
      </c>
      <c r="F169" s="16">
        <f>'5315-630 Technology (MIS)'!F3</f>
        <v>7210.8600000000006</v>
      </c>
      <c r="G169" s="16">
        <f>'5315-630 Technology (MIS)'!G3</f>
        <v>4411.6499999999996</v>
      </c>
      <c r="H169" s="16">
        <f>'5315-630 Technology (MIS)'!H3</f>
        <v>4692.3099999999995</v>
      </c>
      <c r="I169" s="16">
        <f>'5315-630 Technology (MIS)'!I3</f>
        <v>5262.45</v>
      </c>
      <c r="J169" s="16">
        <f>'5315-630 Technology (MIS)'!J3</f>
        <v>4715.6899999999996</v>
      </c>
      <c r="K169" s="16">
        <f>'5315-630 Technology (MIS)'!K3</f>
        <v>7064.16</v>
      </c>
      <c r="L169" s="16">
        <f>'5315-630 Technology (MIS)'!L3</f>
        <v>6939.98</v>
      </c>
      <c r="M169" s="16">
        <f>'5315-630 Technology (MIS)'!M3</f>
        <v>4745.24</v>
      </c>
      <c r="N169" s="16">
        <f>'5315-630 Technology (MIS)'!N3</f>
        <v>4721.7199999999993</v>
      </c>
      <c r="O169" s="16">
        <f>'5315-630 Technology (MIS)'!O3</f>
        <v>100353.52000000002</v>
      </c>
    </row>
    <row r="170" spans="1:18" x14ac:dyDescent="0.3">
      <c r="A170" s="263"/>
      <c r="B170" s="6" t="s">
        <v>18</v>
      </c>
      <c r="C170" s="18">
        <f>'5315-630 Technology (MIS)'!C5</f>
        <v>0</v>
      </c>
      <c r="D170" s="18">
        <f>'5315-630 Technology (MIS)'!D5</f>
        <v>0</v>
      </c>
      <c r="E170" s="18">
        <f>'5315-630 Technology (MIS)'!E5</f>
        <v>0</v>
      </c>
      <c r="F170" s="18">
        <f>'5315-630 Technology (MIS)'!F5</f>
        <v>0</v>
      </c>
      <c r="G170" s="18">
        <f>'5315-630 Technology (MIS)'!G5</f>
        <v>0</v>
      </c>
      <c r="H170" s="18">
        <f>'5315-630 Technology (MIS)'!H5</f>
        <v>0</v>
      </c>
      <c r="I170" s="18">
        <f>'5315-630 Technology (MIS)'!I5</f>
        <v>0</v>
      </c>
      <c r="J170" s="18">
        <f>'5315-630 Technology (MIS)'!J5</f>
        <v>0</v>
      </c>
      <c r="K170" s="18">
        <f>'5315-630 Technology (MIS)'!K5</f>
        <v>0</v>
      </c>
      <c r="L170" s="18">
        <f>'5315-630 Technology (MIS)'!L5</f>
        <v>0</v>
      </c>
      <c r="M170" s="18">
        <f>'5315-630 Technology (MIS)'!M5</f>
        <v>0</v>
      </c>
      <c r="N170" s="18">
        <f>'5315-630 Technology (MIS)'!N5</f>
        <v>0</v>
      </c>
      <c r="O170" s="18">
        <f>'5315-630 Technology (MIS)'!O5</f>
        <v>0</v>
      </c>
      <c r="Q170" s="33"/>
    </row>
    <row r="171" spans="1:18" x14ac:dyDescent="0.3">
      <c r="A171" s="263"/>
      <c r="B171" s="5" t="s">
        <v>27</v>
      </c>
      <c r="C171" s="16">
        <f>'5315-630 Technology (MIS)'!C4</f>
        <v>2984.8</v>
      </c>
      <c r="D171" s="16">
        <f>'5315-630 Technology (MIS)'!D4</f>
        <v>38680</v>
      </c>
      <c r="E171" s="16">
        <f>'5315-630 Technology (MIS)'!E4</f>
        <v>60292.81</v>
      </c>
      <c r="F171" s="16">
        <f>'5315-630 Technology (MIS)'!F4</f>
        <v>2544.3100000000004</v>
      </c>
      <c r="G171" s="16">
        <f>'5315-630 Technology (MIS)'!G4</f>
        <v>1612.94</v>
      </c>
      <c r="H171" s="16">
        <f>'5315-630 Technology (MIS)'!H4</f>
        <v>1605.6100000000001</v>
      </c>
      <c r="I171" s="16">
        <f>'5315-630 Technology (MIS)'!I4</f>
        <v>11339.4</v>
      </c>
      <c r="J171" s="16">
        <f>'5315-630 Technology (MIS)'!J4</f>
        <v>4205.6100000000006</v>
      </c>
      <c r="K171" s="16">
        <f>'5315-630 Technology (MIS)'!K4</f>
        <v>2511.29</v>
      </c>
      <c r="L171" s="16">
        <f>'5315-630 Technology (MIS)'!L4</f>
        <v>2056.4299999999998</v>
      </c>
      <c r="M171" s="16">
        <f>'5315-630 Technology (MIS)'!M4</f>
        <v>1605.6100000000001</v>
      </c>
      <c r="N171" s="16">
        <f>'5315-630 Technology (MIS)'!N4</f>
        <v>1605.6100000000001</v>
      </c>
      <c r="O171" s="16">
        <f>'5315-630 Technology (MIS)'!O4</f>
        <v>131044.42000000001</v>
      </c>
      <c r="Q171">
        <f>O171-O169</f>
        <v>30690.899999999994</v>
      </c>
      <c r="R171" t="s">
        <v>85</v>
      </c>
    </row>
    <row r="172" spans="1:18" x14ac:dyDescent="0.3">
      <c r="A172" s="264"/>
      <c r="B172" s="23" t="s">
        <v>19</v>
      </c>
      <c r="C172" s="26">
        <f>'5315-630 Technology (MIS)'!C6</f>
        <v>3692.29</v>
      </c>
      <c r="D172" s="26">
        <f>'5315-630 Technology (MIS)'!D6</f>
        <v>38805.870000000003</v>
      </c>
      <c r="E172" s="26">
        <f>'5315-630 Technology (MIS)'!E6</f>
        <v>61092.63</v>
      </c>
      <c r="F172" s="26">
        <f>'5315-630 Technology (MIS)'!F6</f>
        <v>21354.829999999998</v>
      </c>
      <c r="G172" s="26">
        <f>'5315-630 Technology (MIS)'!G6</f>
        <v>2325.79</v>
      </c>
      <c r="H172" s="26">
        <f>'5315-630 Technology (MIS)'!H6</f>
        <v>1536.3600000000001</v>
      </c>
      <c r="I172" s="26">
        <f>'5315-630 Technology (MIS)'!I6</f>
        <v>1381.8400000000001</v>
      </c>
      <c r="J172" s="26">
        <f>'5315-630 Technology (MIS)'!J6</f>
        <v>1381.69</v>
      </c>
      <c r="K172" s="26">
        <f>'5315-630 Technology (MIS)'!K6</f>
        <v>0</v>
      </c>
      <c r="L172" s="26">
        <f>'5315-630 Technology (MIS)'!L6</f>
        <v>0</v>
      </c>
      <c r="M172" s="26">
        <f>'5315-630 Technology (MIS)'!M6</f>
        <v>0</v>
      </c>
      <c r="N172" s="26">
        <f>'5315-630 Technology (MIS)'!N6</f>
        <v>0</v>
      </c>
      <c r="O172" s="26">
        <f>'5315-630 Technology (MIS)'!O6</f>
        <v>131571.29999999999</v>
      </c>
    </row>
    <row r="173" spans="1:18" x14ac:dyDescent="0.3">
      <c r="B173" t="s">
        <v>447</v>
      </c>
      <c r="C173" s="16">
        <f>'5315-630 Technology (MIS)'!C7</f>
        <v>-3692.29</v>
      </c>
      <c r="D173" s="16">
        <f>'5315-630 Technology (MIS)'!D7</f>
        <v>-38805.870000000003</v>
      </c>
      <c r="E173" s="16">
        <f>'5315-630 Technology (MIS)'!E7</f>
        <v>-61092.63</v>
      </c>
      <c r="F173" s="16">
        <f>'5315-630 Technology (MIS)'!F7</f>
        <v>-21354.829999999998</v>
      </c>
      <c r="G173" s="16">
        <f>'5315-630 Technology (MIS)'!G7</f>
        <v>-2325.79</v>
      </c>
      <c r="H173" s="16">
        <f>'5315-630 Technology (MIS)'!H7</f>
        <v>-1536.3600000000001</v>
      </c>
      <c r="I173" s="16">
        <f>'5315-630 Technology (MIS)'!I7</f>
        <v>-1381.8400000000001</v>
      </c>
      <c r="J173" s="16">
        <f>'5315-630 Technology (MIS)'!J7</f>
        <v>-1381.69</v>
      </c>
      <c r="K173" s="16">
        <f>'5315-630 Technology (MIS)'!K7</f>
        <v>0</v>
      </c>
      <c r="L173" s="16">
        <f>'5315-630 Technology (MIS)'!L7</f>
        <v>0</v>
      </c>
      <c r="M173" s="16">
        <f>'5315-630 Technology (MIS)'!M7</f>
        <v>0</v>
      </c>
      <c r="N173" s="16">
        <f>'5315-630 Technology (MIS)'!N7</f>
        <v>0</v>
      </c>
      <c r="O173" s="16">
        <f>'5315-630 Technology (MIS)'!O7</f>
        <v>-131571.29999999999</v>
      </c>
    </row>
  </sheetData>
  <mergeCells count="26">
    <mergeCell ref="A159:A163"/>
    <mergeCell ref="A168:A172"/>
    <mergeCell ref="A123:A127"/>
    <mergeCell ref="A129:A133"/>
    <mergeCell ref="A135:A139"/>
    <mergeCell ref="A141:A145"/>
    <mergeCell ref="A147:A151"/>
    <mergeCell ref="A153:A157"/>
    <mergeCell ref="A117:A121"/>
    <mergeCell ref="A44:A47"/>
    <mergeCell ref="A52:A55"/>
    <mergeCell ref="A60:A63"/>
    <mergeCell ref="A69:A72"/>
    <mergeCell ref="A75:A78"/>
    <mergeCell ref="A81:A84"/>
    <mergeCell ref="A87:A91"/>
    <mergeCell ref="A93:A97"/>
    <mergeCell ref="A99:A103"/>
    <mergeCell ref="A105:A109"/>
    <mergeCell ref="A111:A115"/>
    <mergeCell ref="A34:A37"/>
    <mergeCell ref="A1:B1"/>
    <mergeCell ref="A2:A5"/>
    <mergeCell ref="A10:A13"/>
    <mergeCell ref="A17:A20"/>
    <mergeCell ref="A26:A29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7"/>
  <dimension ref="A1:X163"/>
  <sheetViews>
    <sheetView workbookViewId="0">
      <pane xSplit="2" ySplit="1" topLeftCell="L97" activePane="bottomRight" state="frozen"/>
      <selection pane="topRight"/>
      <selection pane="bottomLeft"/>
      <selection pane="bottomRight" activeCell="R127" sqref="R127"/>
    </sheetView>
  </sheetViews>
  <sheetFormatPr defaultRowHeight="14.4" x14ac:dyDescent="0.3"/>
  <cols>
    <col min="1" max="1" width="30.5546875" customWidth="1"/>
    <col min="2" max="2" width="19" customWidth="1"/>
    <col min="3" max="14" width="14.44140625" customWidth="1"/>
    <col min="15" max="15" width="16.109375" customWidth="1"/>
    <col min="17" max="17" width="26.5546875" bestFit="1" customWidth="1"/>
    <col min="18" max="18" width="27.5546875" customWidth="1"/>
  </cols>
  <sheetData>
    <row r="1" spans="1:24" x14ac:dyDescent="0.3">
      <c r="A1" s="8"/>
      <c r="B1" s="8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9" t="s">
        <v>13</v>
      </c>
      <c r="Q1" t="s">
        <v>14</v>
      </c>
    </row>
    <row r="2" spans="1:24" x14ac:dyDescent="0.3">
      <c r="A2" s="260" t="s">
        <v>15</v>
      </c>
      <c r="B2" s="2" t="s">
        <v>16</v>
      </c>
      <c r="C2" s="10">
        <f>C9</f>
        <v>276395.89</v>
      </c>
      <c r="D2" s="10">
        <f>D9</f>
        <v>265891.91000000003</v>
      </c>
      <c r="E2" s="10">
        <f t="shared" ref="E2:M2" si="0">E9</f>
        <v>318342.65999999997</v>
      </c>
      <c r="F2" s="10">
        <f t="shared" si="0"/>
        <v>332878.99000000005</v>
      </c>
      <c r="G2" s="10">
        <f t="shared" si="0"/>
        <v>348416.69</v>
      </c>
      <c r="H2" s="10">
        <f t="shared" si="0"/>
        <v>274374.53999999992</v>
      </c>
      <c r="I2" s="10">
        <f t="shared" si="0"/>
        <v>299083.15999999997</v>
      </c>
      <c r="J2" s="10">
        <f t="shared" si="0"/>
        <v>299928.01999999996</v>
      </c>
      <c r="K2" s="10">
        <f t="shared" si="0"/>
        <v>342022.56999999995</v>
      </c>
      <c r="L2" s="10">
        <f t="shared" si="0"/>
        <v>324898.73999999987</v>
      </c>
      <c r="M2" s="10">
        <f t="shared" si="0"/>
        <v>325486.21999999997</v>
      </c>
      <c r="N2" s="10">
        <f>N9</f>
        <v>295673.57999999996</v>
      </c>
      <c r="O2" s="30">
        <f>SUM(C2:N2)</f>
        <v>3703392.9699999997</v>
      </c>
    </row>
    <row r="3" spans="1:24" x14ac:dyDescent="0.3">
      <c r="A3" s="261"/>
      <c r="B3" s="2" t="s">
        <v>18</v>
      </c>
      <c r="C3" s="10">
        <f>C10</f>
        <v>343948.14999999997</v>
      </c>
      <c r="D3" s="10">
        <f t="shared" ref="D3:N3" si="1">D10</f>
        <v>389470.60000000003</v>
      </c>
      <c r="E3" s="10">
        <f t="shared" si="1"/>
        <v>369659.20999999996</v>
      </c>
      <c r="F3" s="10">
        <f t="shared" si="1"/>
        <v>337869.28</v>
      </c>
      <c r="G3" s="10">
        <f t="shared" si="1"/>
        <v>349380.65</v>
      </c>
      <c r="H3" s="10">
        <f t="shared" si="1"/>
        <v>323922</v>
      </c>
      <c r="I3" s="10">
        <f t="shared" si="1"/>
        <v>299871.66000000003</v>
      </c>
      <c r="J3" s="10">
        <f t="shared" si="1"/>
        <v>315111.09999999998</v>
      </c>
      <c r="K3" s="10">
        <f t="shared" si="1"/>
        <v>366615.42000000004</v>
      </c>
      <c r="L3" s="10">
        <f t="shared" si="1"/>
        <v>312007.58999999997</v>
      </c>
      <c r="M3" s="10">
        <f t="shared" si="1"/>
        <v>306270.67000000004</v>
      </c>
      <c r="N3" s="10">
        <f t="shared" si="1"/>
        <v>319183.58</v>
      </c>
      <c r="O3" s="30">
        <f t="shared" ref="O3:O6" si="2">SUM(C3:N3)</f>
        <v>4033309.91</v>
      </c>
      <c r="X3" t="e">
        <v>#VALUE!</v>
      </c>
    </row>
    <row r="4" spans="1:24" x14ac:dyDescent="0.3">
      <c r="A4" s="261"/>
      <c r="B4" s="3" t="s">
        <v>17</v>
      </c>
      <c r="C4" s="11">
        <f>C11</f>
        <v>386832.24000000005</v>
      </c>
      <c r="D4" s="11">
        <f t="shared" ref="D4:M4" si="3">D11</f>
        <v>390190.88</v>
      </c>
      <c r="E4" s="11">
        <f t="shared" si="3"/>
        <v>370736.10000000003</v>
      </c>
      <c r="F4" s="11">
        <f t="shared" si="3"/>
        <v>341182.5</v>
      </c>
      <c r="G4" s="11">
        <f t="shared" si="3"/>
        <v>361749.72000000003</v>
      </c>
      <c r="H4" s="11">
        <f t="shared" si="3"/>
        <v>330303.67000000004</v>
      </c>
      <c r="I4" s="11">
        <f t="shared" si="3"/>
        <v>298664.66000000003</v>
      </c>
      <c r="J4" s="11">
        <f t="shared" si="3"/>
        <v>327027.09000000003</v>
      </c>
      <c r="K4" s="11">
        <f t="shared" si="3"/>
        <v>371037.05</v>
      </c>
      <c r="L4" s="11">
        <f t="shared" si="3"/>
        <v>317977.02</v>
      </c>
      <c r="M4" s="11">
        <f t="shared" si="3"/>
        <v>314830.34000000003</v>
      </c>
      <c r="N4" s="11">
        <f>N11</f>
        <v>321172.34000000003</v>
      </c>
      <c r="O4" s="30">
        <f t="shared" si="2"/>
        <v>4131703.61</v>
      </c>
    </row>
    <row r="5" spans="1:24" x14ac:dyDescent="0.3">
      <c r="A5" s="261"/>
      <c r="B5" s="2" t="s">
        <v>19</v>
      </c>
      <c r="C5" s="10">
        <f>C12</f>
        <v>356907.3</v>
      </c>
      <c r="D5" s="10">
        <f t="shared" ref="D5:N5" si="4">D12</f>
        <v>344891.48000000004</v>
      </c>
      <c r="E5" s="10">
        <f t="shared" si="4"/>
        <v>403531.81999999995</v>
      </c>
      <c r="F5" s="10">
        <f t="shared" si="4"/>
        <v>381063.99</v>
      </c>
      <c r="G5" s="10">
        <f t="shared" si="4"/>
        <v>408641.75</v>
      </c>
      <c r="H5" s="10">
        <f t="shared" si="4"/>
        <v>384046.38999999996</v>
      </c>
      <c r="I5" s="10">
        <f t="shared" si="4"/>
        <v>392927.52</v>
      </c>
      <c r="J5" s="10">
        <f t="shared" si="4"/>
        <v>400678.58000000007</v>
      </c>
      <c r="K5" s="10">
        <f t="shared" si="4"/>
        <v>315723.39999999991</v>
      </c>
      <c r="L5" s="10">
        <f t="shared" si="4"/>
        <v>240948.19000000003</v>
      </c>
      <c r="M5" s="10">
        <f t="shared" si="4"/>
        <v>6976.78</v>
      </c>
      <c r="N5" s="10">
        <f t="shared" si="4"/>
        <v>0</v>
      </c>
      <c r="O5" s="30">
        <f t="shared" si="2"/>
        <v>3636337.1999999997</v>
      </c>
      <c r="Q5" s="33">
        <f>O4-O2</f>
        <v>428310.64000000013</v>
      </c>
      <c r="R5" t="s">
        <v>20</v>
      </c>
      <c r="S5" s="35">
        <f>Q5/O2</f>
        <v>0.11565357591527754</v>
      </c>
    </row>
    <row r="6" spans="1:24" x14ac:dyDescent="0.3">
      <c r="A6" s="2"/>
      <c r="B6" s="2" t="s">
        <v>447</v>
      </c>
      <c r="C6" s="28">
        <f>C13</f>
        <v>-12959.150000000023</v>
      </c>
      <c r="D6" s="28">
        <f t="shared" ref="D6:N6" si="5">D13</f>
        <v>44579.119999999995</v>
      </c>
      <c r="E6" s="28">
        <f t="shared" si="5"/>
        <v>-33872.609999999986</v>
      </c>
      <c r="F6" s="28">
        <f t="shared" si="5"/>
        <v>-43194.709999999963</v>
      </c>
      <c r="G6" s="28">
        <f>G13</f>
        <v>-59261.099999999977</v>
      </c>
      <c r="H6" s="28">
        <f t="shared" si="5"/>
        <v>-60124.389999999956</v>
      </c>
      <c r="I6" s="28">
        <f t="shared" si="5"/>
        <v>-93055.859999999986</v>
      </c>
      <c r="J6" s="28">
        <f t="shared" si="5"/>
        <v>-85567.480000000098</v>
      </c>
      <c r="K6" s="28">
        <f t="shared" si="5"/>
        <v>50892.020000000135</v>
      </c>
      <c r="L6" s="28">
        <f t="shared" si="5"/>
        <v>71059.399999999936</v>
      </c>
      <c r="M6" s="28">
        <f t="shared" si="5"/>
        <v>299293.89</v>
      </c>
      <c r="N6" s="28">
        <f t="shared" si="5"/>
        <v>319183.58</v>
      </c>
      <c r="O6" s="30">
        <f t="shared" si="2"/>
        <v>396972.71000000008</v>
      </c>
      <c r="Q6" s="34">
        <f>Q27</f>
        <v>65960.050000000047</v>
      </c>
      <c r="R6" t="s">
        <v>22</v>
      </c>
    </row>
    <row r="7" spans="1:24" x14ac:dyDescent="0.3">
      <c r="A7" s="2"/>
      <c r="B7" s="3" t="s">
        <v>448</v>
      </c>
      <c r="C7" s="3">
        <f>C14</f>
        <v>356907.3</v>
      </c>
      <c r="D7" s="3">
        <f t="shared" ref="D7:N7" si="6">D14</f>
        <v>701798.78</v>
      </c>
      <c r="E7" s="3">
        <f t="shared" si="6"/>
        <v>1105330.6000000001</v>
      </c>
      <c r="F7" s="3">
        <f t="shared" si="6"/>
        <v>1486394.59</v>
      </c>
      <c r="G7" s="3">
        <f t="shared" si="6"/>
        <v>1895036.34</v>
      </c>
      <c r="H7" s="3">
        <f t="shared" si="6"/>
        <v>2279082.73</v>
      </c>
      <c r="I7" s="3">
        <f t="shared" si="6"/>
        <v>2672010.25</v>
      </c>
      <c r="J7" s="3">
        <f t="shared" si="6"/>
        <v>3072688.83</v>
      </c>
      <c r="K7" s="3">
        <f t="shared" si="6"/>
        <v>3388412.23</v>
      </c>
      <c r="L7" s="3">
        <f t="shared" si="6"/>
        <v>3629360.42</v>
      </c>
      <c r="M7" s="3">
        <f t="shared" si="6"/>
        <v>3636337.1999999997</v>
      </c>
      <c r="N7" s="3">
        <f t="shared" si="6"/>
        <v>0</v>
      </c>
      <c r="O7" s="31">
        <f>O14</f>
        <v>0</v>
      </c>
      <c r="Q7" s="33">
        <f>Q5-Q6</f>
        <v>362350.59000000008</v>
      </c>
      <c r="R7" t="s">
        <v>24</v>
      </c>
      <c r="S7" s="35">
        <f>Q7/O2</f>
        <v>9.7842868130734742E-2</v>
      </c>
    </row>
    <row r="8" spans="1:24" x14ac:dyDescent="0.3">
      <c r="O8" s="27"/>
    </row>
    <row r="9" spans="1:24" x14ac:dyDescent="0.3">
      <c r="A9" s="260" t="s">
        <v>26</v>
      </c>
      <c r="B9" s="2" t="s">
        <v>16</v>
      </c>
      <c r="C9" s="10">
        <f t="shared" ref="C9:N9" si="7">SUMIFS(C16:C153,$B$16:$B$153,"Actual 2024")</f>
        <v>276395.89</v>
      </c>
      <c r="D9" s="10">
        <f t="shared" si="7"/>
        <v>265891.91000000003</v>
      </c>
      <c r="E9" s="10">
        <f t="shared" si="7"/>
        <v>318342.65999999997</v>
      </c>
      <c r="F9" s="10">
        <f t="shared" si="7"/>
        <v>332878.99000000005</v>
      </c>
      <c r="G9" s="10">
        <f t="shared" si="7"/>
        <v>348416.69</v>
      </c>
      <c r="H9" s="10">
        <f t="shared" si="7"/>
        <v>274374.53999999992</v>
      </c>
      <c r="I9" s="10">
        <f t="shared" si="7"/>
        <v>299083.15999999997</v>
      </c>
      <c r="J9" s="10">
        <f t="shared" si="7"/>
        <v>299928.01999999996</v>
      </c>
      <c r="K9" s="10">
        <f t="shared" si="7"/>
        <v>342022.56999999995</v>
      </c>
      <c r="L9" s="10">
        <f t="shared" si="7"/>
        <v>324898.73999999987</v>
      </c>
      <c r="M9" s="10">
        <f t="shared" si="7"/>
        <v>325486.21999999997</v>
      </c>
      <c r="N9" s="10">
        <f t="shared" si="7"/>
        <v>295673.57999999996</v>
      </c>
      <c r="O9" s="30">
        <f>SUM(C9:N9)</f>
        <v>3703392.9699999997</v>
      </c>
    </row>
    <row r="10" spans="1:24" x14ac:dyDescent="0.3">
      <c r="A10" s="261"/>
      <c r="B10" s="2" t="s">
        <v>18</v>
      </c>
      <c r="C10" s="10">
        <f t="shared" ref="C10:N10" si="8">SUMIFS(C16:C153,$B$16:$B$153,"Budget")</f>
        <v>343948.14999999997</v>
      </c>
      <c r="D10" s="10">
        <f t="shared" si="8"/>
        <v>389470.60000000003</v>
      </c>
      <c r="E10" s="10">
        <f t="shared" si="8"/>
        <v>369659.20999999996</v>
      </c>
      <c r="F10" s="10">
        <f t="shared" si="8"/>
        <v>337869.28</v>
      </c>
      <c r="G10" s="10">
        <f t="shared" si="8"/>
        <v>349380.65</v>
      </c>
      <c r="H10" s="10">
        <f t="shared" si="8"/>
        <v>323922</v>
      </c>
      <c r="I10" s="10">
        <f t="shared" si="8"/>
        <v>299871.66000000003</v>
      </c>
      <c r="J10" s="10">
        <f t="shared" si="8"/>
        <v>315111.09999999998</v>
      </c>
      <c r="K10" s="10">
        <f t="shared" si="8"/>
        <v>366615.42000000004</v>
      </c>
      <c r="L10" s="10">
        <f t="shared" si="8"/>
        <v>312007.58999999997</v>
      </c>
      <c r="M10" s="10">
        <f t="shared" si="8"/>
        <v>306270.67000000004</v>
      </c>
      <c r="N10" s="10">
        <f t="shared" si="8"/>
        <v>319183.58</v>
      </c>
      <c r="O10" s="30">
        <f t="shared" ref="O10:O13" si="9">SUM(C10:N10)</f>
        <v>4033309.91</v>
      </c>
    </row>
    <row r="11" spans="1:24" x14ac:dyDescent="0.3">
      <c r="A11" s="261"/>
      <c r="B11" s="3" t="s">
        <v>27</v>
      </c>
      <c r="C11" s="11">
        <f t="shared" ref="C11:N11" si="10">SUMIFS(C16:C153,$B$16:$B$153,"Estimated")</f>
        <v>386832.24000000005</v>
      </c>
      <c r="D11" s="11">
        <f t="shared" si="10"/>
        <v>390190.88</v>
      </c>
      <c r="E11" s="11">
        <f t="shared" si="10"/>
        <v>370736.10000000003</v>
      </c>
      <c r="F11" s="11">
        <f t="shared" si="10"/>
        <v>341182.5</v>
      </c>
      <c r="G11" s="11">
        <f t="shared" si="10"/>
        <v>361749.72000000003</v>
      </c>
      <c r="H11" s="11">
        <f t="shared" si="10"/>
        <v>330303.67000000004</v>
      </c>
      <c r="I11" s="11">
        <f t="shared" si="10"/>
        <v>298664.66000000003</v>
      </c>
      <c r="J11" s="11">
        <f t="shared" si="10"/>
        <v>327027.09000000003</v>
      </c>
      <c r="K11" s="11">
        <f t="shared" si="10"/>
        <v>371037.05</v>
      </c>
      <c r="L11" s="11">
        <f t="shared" si="10"/>
        <v>317977.02</v>
      </c>
      <c r="M11" s="11">
        <f t="shared" si="10"/>
        <v>314830.34000000003</v>
      </c>
      <c r="N11" s="11">
        <f t="shared" si="10"/>
        <v>321172.34000000003</v>
      </c>
      <c r="O11" s="30">
        <f t="shared" si="9"/>
        <v>4131703.61</v>
      </c>
    </row>
    <row r="12" spans="1:24" x14ac:dyDescent="0.3">
      <c r="A12" s="261"/>
      <c r="B12" s="2" t="s">
        <v>19</v>
      </c>
      <c r="C12" s="10">
        <f t="shared" ref="C12:N12" si="11">SUMIFS(C16:C153,$B$16:$B$153,"Actual")</f>
        <v>356907.3</v>
      </c>
      <c r="D12" s="10">
        <f t="shared" si="11"/>
        <v>344891.48000000004</v>
      </c>
      <c r="E12" s="10">
        <f t="shared" si="11"/>
        <v>403531.81999999995</v>
      </c>
      <c r="F12" s="10">
        <f t="shared" si="11"/>
        <v>381063.99</v>
      </c>
      <c r="G12" s="10">
        <f t="shared" si="11"/>
        <v>408641.75</v>
      </c>
      <c r="H12" s="10">
        <f t="shared" si="11"/>
        <v>384046.38999999996</v>
      </c>
      <c r="I12" s="10">
        <f t="shared" si="11"/>
        <v>392927.52</v>
      </c>
      <c r="J12" s="10">
        <f t="shared" si="11"/>
        <v>400678.58000000007</v>
      </c>
      <c r="K12" s="10">
        <f t="shared" si="11"/>
        <v>315723.39999999991</v>
      </c>
      <c r="L12" s="10">
        <f t="shared" si="11"/>
        <v>240948.19000000003</v>
      </c>
      <c r="M12" s="10">
        <f t="shared" si="11"/>
        <v>6976.78</v>
      </c>
      <c r="N12" s="10">
        <f t="shared" si="11"/>
        <v>0</v>
      </c>
      <c r="O12" s="30">
        <f t="shared" si="9"/>
        <v>3636337.1999999997</v>
      </c>
    </row>
    <row r="13" spans="1:24" x14ac:dyDescent="0.3">
      <c r="A13" s="2"/>
      <c r="B13" s="3" t="s">
        <v>447</v>
      </c>
      <c r="C13" s="28">
        <f>C10-C12</f>
        <v>-12959.150000000023</v>
      </c>
      <c r="D13" s="28">
        <f t="shared" ref="D13:N13" si="12">D10-D12</f>
        <v>44579.119999999995</v>
      </c>
      <c r="E13" s="28">
        <f t="shared" si="12"/>
        <v>-33872.609999999986</v>
      </c>
      <c r="F13" s="28">
        <f t="shared" si="12"/>
        <v>-43194.709999999963</v>
      </c>
      <c r="G13" s="28">
        <f t="shared" si="12"/>
        <v>-59261.099999999977</v>
      </c>
      <c r="H13" s="28">
        <f t="shared" si="12"/>
        <v>-60124.389999999956</v>
      </c>
      <c r="I13" s="28">
        <f t="shared" si="12"/>
        <v>-93055.859999999986</v>
      </c>
      <c r="J13" s="28">
        <f t="shared" si="12"/>
        <v>-85567.480000000098</v>
      </c>
      <c r="K13" s="28">
        <f t="shared" si="12"/>
        <v>50892.020000000135</v>
      </c>
      <c r="L13" s="28">
        <f t="shared" si="12"/>
        <v>71059.399999999936</v>
      </c>
      <c r="M13" s="28">
        <f t="shared" si="12"/>
        <v>299293.89</v>
      </c>
      <c r="N13" s="28">
        <f t="shared" si="12"/>
        <v>319183.58</v>
      </c>
      <c r="O13" s="30">
        <f t="shared" si="9"/>
        <v>396972.71000000008</v>
      </c>
    </row>
    <row r="14" spans="1:24" x14ac:dyDescent="0.3">
      <c r="A14" s="9"/>
      <c r="B14" s="3" t="s">
        <v>448</v>
      </c>
      <c r="C14" s="3">
        <f>C12</f>
        <v>356907.3</v>
      </c>
      <c r="D14" s="3">
        <f>IF(D12=0,0,C14+D12)</f>
        <v>701798.78</v>
      </c>
      <c r="E14" s="3">
        <f>IF(E12=0,0,D14+E12)</f>
        <v>1105330.6000000001</v>
      </c>
      <c r="F14" s="3">
        <f t="shared" ref="F14:G14" si="13">IF(F12=0,0,E14+F12)</f>
        <v>1486394.59</v>
      </c>
      <c r="G14" s="3">
        <f t="shared" si="13"/>
        <v>1895036.34</v>
      </c>
      <c r="H14" s="3">
        <f t="shared" ref="H14:N14" si="14">IF(H12=0,0,G14+H12)</f>
        <v>2279082.73</v>
      </c>
      <c r="I14" s="3">
        <f t="shared" si="14"/>
        <v>2672010.25</v>
      </c>
      <c r="J14" s="3">
        <f t="shared" si="14"/>
        <v>3072688.83</v>
      </c>
      <c r="K14" s="3">
        <f t="shared" si="14"/>
        <v>3388412.23</v>
      </c>
      <c r="L14" s="3">
        <f t="shared" si="14"/>
        <v>3629360.42</v>
      </c>
      <c r="M14" s="3">
        <f t="shared" si="14"/>
        <v>3636337.1999999997</v>
      </c>
      <c r="N14" s="3">
        <f t="shared" si="14"/>
        <v>0</v>
      </c>
      <c r="O14" s="31">
        <f>N14</f>
        <v>0</v>
      </c>
    </row>
    <row r="15" spans="1:24" x14ac:dyDescent="0.3">
      <c r="A15" s="12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</row>
    <row r="16" spans="1:24" x14ac:dyDescent="0.3">
      <c r="A16" s="262" t="s">
        <v>28</v>
      </c>
      <c r="B16" s="5" t="s">
        <v>16</v>
      </c>
      <c r="C16" s="16">
        <f>'5024-510 Individual Contractors'!C3</f>
        <v>15182.75</v>
      </c>
      <c r="D16" s="16">
        <f>'5024-510 Individual Contractors'!D3</f>
        <v>14877.45</v>
      </c>
      <c r="E16" s="16">
        <f>'5024-510 Individual Contractors'!E3</f>
        <v>15152.75</v>
      </c>
      <c r="F16" s="16">
        <f>'5024-510 Individual Contractors'!F3</f>
        <v>15467</v>
      </c>
      <c r="G16" s="16">
        <f>'5024-510 Individual Contractors'!G3</f>
        <v>16872.5</v>
      </c>
      <c r="H16" s="16">
        <f>'5024-510 Individual Contractors'!H3</f>
        <v>15506.5</v>
      </c>
      <c r="I16" s="16">
        <f>'5024-510 Individual Contractors'!I3</f>
        <v>22385.5</v>
      </c>
      <c r="J16" s="16">
        <f>'5024-510 Individual Contractors'!J3</f>
        <v>23444</v>
      </c>
      <c r="K16" s="16">
        <f>'5024-510 Individual Contractors'!K3</f>
        <v>22825</v>
      </c>
      <c r="L16" s="16">
        <f>'5024-510 Individual Contractors'!L3</f>
        <v>24565</v>
      </c>
      <c r="M16" s="16">
        <f>'5024-510 Individual Contractors'!M3</f>
        <v>24609</v>
      </c>
      <c r="N16" s="16">
        <f>'5024-510 Individual Contractors'!N3</f>
        <v>24363</v>
      </c>
      <c r="O16" s="17">
        <f>'5024-510 Individual Contractors'!O3</f>
        <v>235250.45</v>
      </c>
    </row>
    <row r="17" spans="1:18" x14ac:dyDescent="0.3">
      <c r="A17" s="259"/>
      <c r="B17" s="5" t="s">
        <v>31</v>
      </c>
      <c r="C17" s="16">
        <f>'5024-510 Individual Contractors'!C5</f>
        <v>23573</v>
      </c>
      <c r="D17" s="16">
        <f>'5024-510 Individual Contractors'!D5</f>
        <v>23573</v>
      </c>
      <c r="E17" s="16">
        <f>'5024-510 Individual Contractors'!E5</f>
        <v>23573</v>
      </c>
      <c r="F17" s="16">
        <f>'5024-510 Individual Contractors'!F5</f>
        <v>23573</v>
      </c>
      <c r="G17" s="16">
        <f>'5024-510 Individual Contractors'!G5</f>
        <v>23573</v>
      </c>
      <c r="H17" s="16">
        <f>'5024-510 Individual Contractors'!H5</f>
        <v>23573</v>
      </c>
      <c r="I17" s="16">
        <f>'5024-510 Individual Contractors'!I5</f>
        <v>23573</v>
      </c>
      <c r="J17" s="16">
        <f>'5024-510 Individual Contractors'!J5</f>
        <v>23573</v>
      </c>
      <c r="K17" s="16">
        <f>'5024-510 Individual Contractors'!K5</f>
        <v>23573</v>
      </c>
      <c r="L17" s="16">
        <f>'5024-510 Individual Contractors'!L5</f>
        <v>23573</v>
      </c>
      <c r="M17" s="16">
        <f>'5024-510 Individual Contractors'!M5</f>
        <v>23573</v>
      </c>
      <c r="N17" s="16">
        <f>'5024-510 Individual Contractors'!N5</f>
        <v>23573</v>
      </c>
      <c r="O17" s="17">
        <f>'5024-510 Individual Contractors'!O5</f>
        <v>282876</v>
      </c>
    </row>
    <row r="18" spans="1:18" x14ac:dyDescent="0.3">
      <c r="A18" s="259"/>
      <c r="B18" s="6" t="s">
        <v>29</v>
      </c>
      <c r="C18" s="18">
        <f>'5024-510 Individual Contractors'!C4</f>
        <v>25473</v>
      </c>
      <c r="D18" s="18">
        <f>'5024-510 Individual Contractors'!D4</f>
        <v>25473</v>
      </c>
      <c r="E18" s="18">
        <f>'5024-510 Individual Contractors'!E4</f>
        <v>25473</v>
      </c>
      <c r="F18" s="18">
        <f>'5024-510 Individual Contractors'!F4</f>
        <v>25473</v>
      </c>
      <c r="G18" s="18">
        <f>'5024-510 Individual Contractors'!G4</f>
        <v>25473</v>
      </c>
      <c r="H18" s="18">
        <f>'5024-510 Individual Contractors'!H4</f>
        <v>25473</v>
      </c>
      <c r="I18" s="18">
        <f>'5024-510 Individual Contractors'!I4</f>
        <v>25473</v>
      </c>
      <c r="J18" s="18">
        <f>'5024-510 Individual Contractors'!J4</f>
        <v>25473</v>
      </c>
      <c r="K18" s="18">
        <f>'5024-510 Individual Contractors'!K4</f>
        <v>25473</v>
      </c>
      <c r="L18" s="18">
        <f>'5024-510 Individual Contractors'!L4</f>
        <v>25473</v>
      </c>
      <c r="M18" s="18">
        <f>'5024-510 Individual Contractors'!M4</f>
        <v>25473</v>
      </c>
      <c r="N18" s="18">
        <f>'5024-510 Individual Contractors'!N4</f>
        <v>25473</v>
      </c>
      <c r="O18" s="19">
        <f>'5024-510 Individual Contractors'!O4</f>
        <v>305676</v>
      </c>
      <c r="Q18" s="33">
        <f>O18-O16</f>
        <v>70425.549999999988</v>
      </c>
      <c r="R18" t="s">
        <v>30</v>
      </c>
    </row>
    <row r="19" spans="1:18" x14ac:dyDescent="0.3">
      <c r="A19" s="259"/>
      <c r="B19" s="5" t="s">
        <v>32</v>
      </c>
      <c r="C19" s="16">
        <f>'5024-510 Individual Contractors'!C6</f>
        <v>25960.83</v>
      </c>
      <c r="D19" s="16">
        <f>'5024-510 Individual Contractors'!D6</f>
        <v>23257.83</v>
      </c>
      <c r="E19" s="16">
        <f>'5024-510 Individual Contractors'!E6</f>
        <v>26377</v>
      </c>
      <c r="F19" s="16">
        <f>'5024-510 Individual Contractors'!F6</f>
        <v>36213.01</v>
      </c>
      <c r="G19" s="16">
        <f>'5024-510 Individual Contractors'!G6</f>
        <v>66882.95</v>
      </c>
      <c r="H19" s="16">
        <f>'5024-510 Individual Contractors'!H6</f>
        <v>49229.950000000004</v>
      </c>
      <c r="I19" s="16">
        <f>'5024-510 Individual Contractors'!I6</f>
        <v>37253.5</v>
      </c>
      <c r="J19" s="16">
        <f>'5024-510 Individual Contractors'!J6</f>
        <v>19065</v>
      </c>
      <c r="K19" s="16">
        <f>'5024-510 Individual Contractors'!K6</f>
        <v>17310.5</v>
      </c>
      <c r="L19" s="16">
        <f>'5024-510 Individual Contractors'!L6</f>
        <v>17409</v>
      </c>
      <c r="M19" s="16">
        <f>'5024-510 Individual Contractors'!M6</f>
        <v>0</v>
      </c>
      <c r="N19" s="16">
        <f>'5024-510 Individual Contractors'!N6</f>
        <v>0</v>
      </c>
      <c r="O19" s="17">
        <f>'5024-510 Individual Contractors'!O6</f>
        <v>315566.74000000005</v>
      </c>
      <c r="Q19" s="33">
        <f>Q18+Q79</f>
        <v>49252.19999999999</v>
      </c>
      <c r="R19" t="s">
        <v>33</v>
      </c>
    </row>
    <row r="20" spans="1:18" x14ac:dyDescent="0.3">
      <c r="A20" s="39"/>
      <c r="B20" s="6" t="s">
        <v>447</v>
      </c>
      <c r="C20" s="16">
        <f>'5024-510 Individual Contractors'!C7</f>
        <v>-2387.8300000000017</v>
      </c>
      <c r="D20" s="16">
        <f>'5024-510 Individual Contractors'!D7</f>
        <v>315.16999999999825</v>
      </c>
      <c r="E20" s="16">
        <f>'5024-510 Individual Contractors'!E7</f>
        <v>-2804</v>
      </c>
      <c r="F20" s="16">
        <f>'5024-510 Individual Contractors'!F7</f>
        <v>-12640.010000000002</v>
      </c>
      <c r="G20" s="16">
        <f>'5024-510 Individual Contractors'!G7</f>
        <v>-43309.95</v>
      </c>
      <c r="H20" s="16">
        <f>'5024-510 Individual Contractors'!H7</f>
        <v>-25656.950000000004</v>
      </c>
      <c r="I20" s="16">
        <f>'5024-510 Individual Contractors'!I7</f>
        <v>-13680.5</v>
      </c>
      <c r="J20" s="16">
        <f>'5024-510 Individual Contractors'!J7</f>
        <v>4508</v>
      </c>
      <c r="K20" s="16">
        <f>'5024-510 Individual Contractors'!K7</f>
        <v>6262.5</v>
      </c>
      <c r="L20" s="16">
        <f>'5024-510 Individual Contractors'!L7</f>
        <v>6164</v>
      </c>
      <c r="M20" s="16">
        <f>'5024-510 Individual Contractors'!M7</f>
        <v>23573</v>
      </c>
      <c r="N20" s="16">
        <f>'5024-510 Individual Contractors'!N7</f>
        <v>23573</v>
      </c>
      <c r="O20" s="17">
        <f>'5024-510 Individual Contractors'!O7</f>
        <v>-32690.740000000049</v>
      </c>
      <c r="R20" t="s">
        <v>35</v>
      </c>
    </row>
    <row r="21" spans="1:18" x14ac:dyDescent="0.3">
      <c r="A21" s="39"/>
      <c r="B21" s="6" t="s">
        <v>449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</row>
    <row r="22" spans="1:18" x14ac:dyDescent="0.3">
      <c r="A22" s="39"/>
      <c r="B22" s="23" t="s">
        <v>450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/>
    </row>
    <row r="23" spans="1:18" x14ac:dyDescent="0.3">
      <c r="A23" s="40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8" x14ac:dyDescent="0.3">
      <c r="A24" s="2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21"/>
    </row>
    <row r="25" spans="1:18" x14ac:dyDescent="0.3">
      <c r="A25" s="262" t="s">
        <v>36</v>
      </c>
      <c r="B25" s="5" t="s">
        <v>16</v>
      </c>
      <c r="C25" s="16">
        <f>'5100-510 Performance based'!C3</f>
        <v>143539.30000000002</v>
      </c>
      <c r="D25" s="16">
        <f>'5100-510 Performance based'!D3</f>
        <v>147248.12999999998</v>
      </c>
      <c r="E25" s="16">
        <f>'5100-510 Performance based'!E3</f>
        <v>185140.96999999997</v>
      </c>
      <c r="F25" s="16">
        <f>'5100-510 Performance based'!F3</f>
        <v>169233.26</v>
      </c>
      <c r="G25" s="16">
        <f>'5100-510 Performance based'!G3</f>
        <v>176262.05999999997</v>
      </c>
      <c r="H25" s="16">
        <f>'5100-510 Performance based'!H3</f>
        <v>149970.94</v>
      </c>
      <c r="I25" s="16">
        <f>'5100-510 Performance based'!I3</f>
        <v>177140.26000000004</v>
      </c>
      <c r="J25" s="16">
        <f>'5100-510 Performance based'!J3</f>
        <v>155860.75</v>
      </c>
      <c r="K25" s="16">
        <f>'5100-510 Performance based'!K3</f>
        <v>160101.50999999998</v>
      </c>
      <c r="L25" s="16">
        <f>'5100-510 Performance based'!L3</f>
        <v>181197.25</v>
      </c>
      <c r="M25" s="16">
        <f>'5100-510 Performance based'!M3</f>
        <v>187060.81</v>
      </c>
      <c r="N25" s="16">
        <f>'5100-510 Performance based'!N3</f>
        <v>143695.43</v>
      </c>
      <c r="O25" s="17">
        <f>'5100-510 Performance based'!O3</f>
        <v>1976450.67</v>
      </c>
    </row>
    <row r="26" spans="1:18" x14ac:dyDescent="0.3">
      <c r="A26" s="259"/>
      <c r="B26" s="5" t="s">
        <v>31</v>
      </c>
      <c r="C26" s="16">
        <f>'5100-510 Performance based'!C5</f>
        <v>154148.07999999999</v>
      </c>
      <c r="D26" s="16">
        <f>'5100-510 Performance based'!D5</f>
        <v>189450.78</v>
      </c>
      <c r="E26" s="16">
        <f>'5100-510 Performance based'!E5</f>
        <v>196166.08</v>
      </c>
      <c r="F26" s="16">
        <f>'5100-510 Performance based'!F5</f>
        <v>183308.15</v>
      </c>
      <c r="G26" s="16">
        <f>'5100-510 Performance based'!G5</f>
        <v>185621.52</v>
      </c>
      <c r="H26" s="16">
        <f>'5100-510 Performance based'!H5</f>
        <v>182137.87</v>
      </c>
      <c r="I26" s="16">
        <f>'5100-510 Performance based'!I5</f>
        <v>184037.53</v>
      </c>
      <c r="J26" s="16">
        <f>'5100-510 Performance based'!J5</f>
        <v>174752.97</v>
      </c>
      <c r="K26" s="16">
        <f>'5100-510 Performance based'!K5</f>
        <v>179128.29</v>
      </c>
      <c r="L26" s="16">
        <f>'5100-510 Performance based'!L5</f>
        <v>171152.46</v>
      </c>
      <c r="M26" s="16">
        <f>'5100-510 Performance based'!M5</f>
        <v>170804.54</v>
      </c>
      <c r="N26" s="16">
        <f>'5100-510 Performance based'!N5</f>
        <v>171702.45</v>
      </c>
      <c r="O26" s="17">
        <f>'5100-510 Performance based'!O5</f>
        <v>2142410.7200000002</v>
      </c>
    </row>
    <row r="27" spans="1:18" x14ac:dyDescent="0.3">
      <c r="A27" s="259"/>
      <c r="B27" s="6" t="s">
        <v>29</v>
      </c>
      <c r="C27" s="18">
        <f>'5100-510 Performance based'!C4</f>
        <v>146953</v>
      </c>
      <c r="D27" s="18">
        <f>'5100-510 Performance based'!D4</f>
        <v>180607.9</v>
      </c>
      <c r="E27" s="18">
        <f>'5100-510 Performance based'!E4</f>
        <v>187009.76</v>
      </c>
      <c r="F27" s="18">
        <f>'5100-510 Performance based'!F4</f>
        <v>174751.99</v>
      </c>
      <c r="G27" s="18">
        <f>'5100-510 Performance based'!G4</f>
        <v>176957.38</v>
      </c>
      <c r="H27" s="18">
        <f>'5100-510 Performance based'!H4</f>
        <v>173636.33000000002</v>
      </c>
      <c r="I27" s="18">
        <f>'5100-510 Performance based'!I4</f>
        <v>175447.32</v>
      </c>
      <c r="J27" s="18">
        <f>'5100-510 Performance based'!J4</f>
        <v>166596.13</v>
      </c>
      <c r="K27" s="18">
        <f>'5100-510 Performance based'!K4</f>
        <v>170767.23</v>
      </c>
      <c r="L27" s="18">
        <f>'5100-510 Performance based'!L4</f>
        <v>163163.68</v>
      </c>
      <c r="M27" s="18">
        <f>'5100-510 Performance based'!M4</f>
        <v>162832</v>
      </c>
      <c r="N27" s="18">
        <f>'5100-510 Performance based'!N4</f>
        <v>163688</v>
      </c>
      <c r="O27" s="19">
        <f>'5100-510 Performance based'!O4</f>
        <v>2042410.72</v>
      </c>
      <c r="Q27" s="33">
        <f>O27-O25</f>
        <v>65960.050000000047</v>
      </c>
    </row>
    <row r="28" spans="1:18" x14ac:dyDescent="0.3">
      <c r="A28" s="259"/>
      <c r="B28" s="5" t="s">
        <v>32</v>
      </c>
      <c r="C28" s="16">
        <f>'5100-510 Performance based'!C6</f>
        <v>167533.56000000003</v>
      </c>
      <c r="D28" s="16">
        <f>'5100-510 Performance based'!D6</f>
        <v>177155.24000000002</v>
      </c>
      <c r="E28" s="16">
        <f>'5100-510 Performance based'!E6</f>
        <v>194641.19999999998</v>
      </c>
      <c r="F28" s="16">
        <f>'5100-510 Performance based'!F6</f>
        <v>189109.50000000006</v>
      </c>
      <c r="G28" s="16">
        <f>'5100-510 Performance based'!G6</f>
        <v>186083.65999999997</v>
      </c>
      <c r="H28" s="16">
        <f>'5100-510 Performance based'!H6</f>
        <v>186467.29</v>
      </c>
      <c r="I28" s="16">
        <f>'5100-510 Performance based'!I6</f>
        <v>218352.1</v>
      </c>
      <c r="J28" s="16">
        <f>'5100-510 Performance based'!J6</f>
        <v>206940.24000000002</v>
      </c>
      <c r="K28" s="16">
        <f>'5100-510 Performance based'!K6</f>
        <v>160392.99999999997</v>
      </c>
      <c r="L28" s="16">
        <f>'5100-510 Performance based'!L6</f>
        <v>141438.72</v>
      </c>
      <c r="M28" s="16">
        <f>'5100-510 Performance based'!M6</f>
        <v>0</v>
      </c>
      <c r="N28" s="16">
        <f>'5100-510 Performance based'!N6</f>
        <v>0</v>
      </c>
      <c r="O28" s="17">
        <f>'5100-510 Performance based'!O6</f>
        <v>1828114.51</v>
      </c>
    </row>
    <row r="29" spans="1:18" x14ac:dyDescent="0.3">
      <c r="A29" s="41"/>
      <c r="B29" s="6" t="s">
        <v>447</v>
      </c>
      <c r="C29" s="16">
        <f>'5100-510 Performance based'!C7</f>
        <v>-13385.48000000004</v>
      </c>
      <c r="D29" s="16">
        <f>'5100-510 Performance based'!D7</f>
        <v>12295.539999999979</v>
      </c>
      <c r="E29" s="16">
        <f>'5100-510 Performance based'!E7</f>
        <v>1524.8800000000047</v>
      </c>
      <c r="F29" s="16">
        <f>'5100-510 Performance based'!F7</f>
        <v>-5801.350000000064</v>
      </c>
      <c r="G29" s="16">
        <f>'5100-510 Performance based'!G7</f>
        <v>-462.13999999998487</v>
      </c>
      <c r="H29" s="16">
        <f>'5100-510 Performance based'!H7</f>
        <v>-4329.4200000000128</v>
      </c>
      <c r="I29" s="16">
        <f>'5100-510 Performance based'!I7</f>
        <v>-34314.570000000007</v>
      </c>
      <c r="J29" s="16">
        <f>'5100-510 Performance based'!J7</f>
        <v>-32187.270000000019</v>
      </c>
      <c r="K29" s="16">
        <f>'5100-510 Performance based'!K7</f>
        <v>18735.290000000037</v>
      </c>
      <c r="L29" s="16">
        <f>'5100-510 Performance based'!L7</f>
        <v>29713.739999999991</v>
      </c>
      <c r="M29" s="16">
        <f>'5100-510 Performance based'!M7</f>
        <v>170804.54</v>
      </c>
      <c r="N29" s="16">
        <f>'5100-510 Performance based'!N7</f>
        <v>171702.45</v>
      </c>
      <c r="O29" s="17">
        <f>'5100-510 Performance based'!O7</f>
        <v>314296.2100000002</v>
      </c>
    </row>
    <row r="30" spans="1:18" x14ac:dyDescent="0.3">
      <c r="A30" s="39"/>
      <c r="B30" s="6" t="s">
        <v>449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/>
    </row>
    <row r="31" spans="1:18" x14ac:dyDescent="0.3">
      <c r="A31" s="22"/>
      <c r="B31" s="23" t="s">
        <v>450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4"/>
    </row>
    <row r="32" spans="1:18" x14ac:dyDescent="0.3">
      <c r="A32" s="2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21"/>
    </row>
    <row r="33" spans="1:18" x14ac:dyDescent="0.3">
      <c r="A33" s="258" t="s">
        <v>38</v>
      </c>
      <c r="B33" s="5" t="s">
        <v>16</v>
      </c>
      <c r="C33" s="16">
        <f>'5101-510 Non performance based'!C3</f>
        <v>54961.34</v>
      </c>
      <c r="D33" s="16">
        <f>'5101-510 Non performance based'!D3</f>
        <v>52303.61</v>
      </c>
      <c r="E33" s="16">
        <f>'5101-510 Non performance based'!E3</f>
        <v>53970.61</v>
      </c>
      <c r="F33" s="16">
        <f>'5101-510 Non performance based'!F3</f>
        <v>62526.2</v>
      </c>
      <c r="G33" s="16">
        <f>'5101-510 Non performance based'!G3</f>
        <v>50448.93</v>
      </c>
      <c r="H33" s="16">
        <f>'5101-510 Non performance based'!H3</f>
        <v>33734.71</v>
      </c>
      <c r="I33" s="16">
        <f>'5101-510 Non performance based'!I3</f>
        <v>36157.39</v>
      </c>
      <c r="J33" s="16">
        <f>'5101-510 Non performance based'!J3</f>
        <v>43318.85</v>
      </c>
      <c r="K33" s="16">
        <f>'5101-510 Non performance based'!K3</f>
        <v>48044.149999999994</v>
      </c>
      <c r="L33" s="16">
        <f>'5101-510 Non performance based'!L3</f>
        <v>43316.749999999993</v>
      </c>
      <c r="M33" s="16">
        <f>'5101-510 Non performance based'!M3</f>
        <v>34350.509999999995</v>
      </c>
      <c r="N33" s="16">
        <f>'5101-510 Non performance based'!N3</f>
        <v>66324.239999999991</v>
      </c>
      <c r="O33" s="17">
        <f>'5101-510 Non performance based'!O3</f>
        <v>579457.29</v>
      </c>
    </row>
    <row r="34" spans="1:18" x14ac:dyDescent="0.3">
      <c r="A34" s="259"/>
      <c r="B34" s="5" t="s">
        <v>31</v>
      </c>
      <c r="C34" s="16">
        <f>'5101-510 Non performance based'!C5</f>
        <v>75939</v>
      </c>
      <c r="D34" s="16">
        <f>'5101-510 Non performance based'!D5</f>
        <v>58654</v>
      </c>
      <c r="E34" s="16">
        <f>'5101-510 Non performance based'!E5</f>
        <v>50860</v>
      </c>
      <c r="F34" s="16">
        <f>'5101-510 Non performance based'!F5</f>
        <v>66316</v>
      </c>
      <c r="G34" s="16">
        <f>'5101-510 Non performance based'!G5</f>
        <v>47360</v>
      </c>
      <c r="H34" s="16">
        <f>'5101-510 Non performance based'!H5</f>
        <v>42133</v>
      </c>
      <c r="I34" s="16">
        <f>'5101-510 Non performance based'!I5</f>
        <v>31860</v>
      </c>
      <c r="J34" s="16">
        <f>'5101-510 Non performance based'!J5</f>
        <v>43399</v>
      </c>
      <c r="K34" s="16">
        <f>'5101-510 Non performance based'!K5</f>
        <v>55360</v>
      </c>
      <c r="L34" s="16">
        <f>'5101-510 Non performance based'!L5</f>
        <v>47149</v>
      </c>
      <c r="M34" s="16">
        <f>'5101-510 Non performance based'!M5</f>
        <v>35760</v>
      </c>
      <c r="N34" s="16">
        <f>'5101-510 Non performance based'!N5</f>
        <v>58775</v>
      </c>
      <c r="O34" s="17">
        <f>'5101-510 Non performance based'!O5</f>
        <v>613565</v>
      </c>
    </row>
    <row r="35" spans="1:18" x14ac:dyDescent="0.3">
      <c r="A35" s="259"/>
      <c r="B35" s="6" t="s">
        <v>29</v>
      </c>
      <c r="C35" s="18">
        <f>'5101-510 Non performance based'!C4</f>
        <v>73939</v>
      </c>
      <c r="D35" s="18">
        <f>'5101-510 Non performance based'!D4</f>
        <v>58654</v>
      </c>
      <c r="E35" s="18">
        <f>'5101-510 Non performance based'!E4</f>
        <v>50860</v>
      </c>
      <c r="F35" s="18">
        <f>'5101-510 Non performance based'!F4</f>
        <v>64316</v>
      </c>
      <c r="G35" s="18">
        <f>'5101-510 Non performance based'!G4</f>
        <v>47360</v>
      </c>
      <c r="H35" s="18">
        <f>'5101-510 Non performance based'!H4</f>
        <v>42133</v>
      </c>
      <c r="I35" s="18">
        <f>'5101-510 Non performance based'!I4</f>
        <v>29860</v>
      </c>
      <c r="J35" s="18">
        <f>'5101-510 Non performance based'!J4</f>
        <v>43399</v>
      </c>
      <c r="K35" s="18">
        <f>'5101-510 Non performance based'!K4</f>
        <v>55360</v>
      </c>
      <c r="L35" s="18">
        <f>'5101-510 Non performance based'!L4</f>
        <v>45149</v>
      </c>
      <c r="M35" s="18">
        <f>'5101-510 Non performance based'!M4</f>
        <v>35760</v>
      </c>
      <c r="N35" s="18">
        <f>'5101-510 Non performance based'!N4</f>
        <v>58775</v>
      </c>
      <c r="O35" s="19">
        <f>'5101-510 Non performance based'!O4</f>
        <v>605565</v>
      </c>
      <c r="Q35" s="33">
        <f>O35-O33</f>
        <v>26107.709999999963</v>
      </c>
      <c r="R35" t="s">
        <v>39</v>
      </c>
    </row>
    <row r="36" spans="1:18" x14ac:dyDescent="0.3">
      <c r="A36" s="259"/>
      <c r="B36" s="5" t="s">
        <v>32</v>
      </c>
      <c r="C36" s="16">
        <f>'5101-510 Non performance based'!C6</f>
        <v>48578.52</v>
      </c>
      <c r="D36" s="16">
        <f>'5101-510 Non performance based'!D6</f>
        <v>47324.93</v>
      </c>
      <c r="E36" s="16">
        <f>'5101-510 Non performance based'!E6</f>
        <v>43482.71</v>
      </c>
      <c r="F36" s="16">
        <f>'5101-510 Non performance based'!F6</f>
        <v>73020.92</v>
      </c>
      <c r="G36" s="16">
        <f>'5101-510 Non performance based'!G6</f>
        <v>35157.549999999996</v>
      </c>
      <c r="H36" s="16">
        <f>'5101-510 Non performance based'!H6</f>
        <v>57157.04</v>
      </c>
      <c r="I36" s="16">
        <f>'5101-510 Non performance based'!I6</f>
        <v>37818.82</v>
      </c>
      <c r="J36" s="16">
        <f>'5101-510 Non performance based'!J6</f>
        <v>50222.33</v>
      </c>
      <c r="K36" s="16">
        <f>'5101-510 Non performance based'!K6</f>
        <v>47988.46</v>
      </c>
      <c r="L36" s="16">
        <f>'5101-510 Non performance based'!L6</f>
        <v>51220.909999999996</v>
      </c>
      <c r="M36" s="16">
        <f>'5101-510 Non performance based'!M6</f>
        <v>0</v>
      </c>
      <c r="N36" s="16">
        <f>'5101-510 Non performance based'!N6</f>
        <v>0</v>
      </c>
      <c r="O36" s="17">
        <f>'5101-510 Non performance based'!O6</f>
        <v>491972.18999999989</v>
      </c>
    </row>
    <row r="37" spans="1:18" x14ac:dyDescent="0.3">
      <c r="A37" s="25"/>
      <c r="B37" s="23" t="s">
        <v>447</v>
      </c>
      <c r="C37" s="26">
        <f>'5101-510 Non performance based'!C7</f>
        <v>27360.480000000003</v>
      </c>
      <c r="D37" s="26">
        <f>'5101-510 Non performance based'!D7</f>
        <v>11329.07</v>
      </c>
      <c r="E37" s="26">
        <f>'5101-510 Non performance based'!E7</f>
        <v>7377.2900000000009</v>
      </c>
      <c r="F37" s="26">
        <f>'5101-510 Non performance based'!F7</f>
        <v>-6704.9199999999983</v>
      </c>
      <c r="G37" s="26">
        <f>'5101-510 Non performance based'!G7</f>
        <v>12202.450000000004</v>
      </c>
      <c r="H37" s="26">
        <f>'5101-510 Non performance based'!H7</f>
        <v>-15024.04</v>
      </c>
      <c r="I37" s="26">
        <f>'5101-510 Non performance based'!I7</f>
        <v>-5958.82</v>
      </c>
      <c r="J37" s="26">
        <f>'5101-510 Non performance based'!J7</f>
        <v>-6823.3300000000017</v>
      </c>
      <c r="K37" s="26">
        <f>'5101-510 Non performance based'!K7</f>
        <v>7371.5400000000009</v>
      </c>
      <c r="L37" s="26">
        <f>'5101-510 Non performance based'!L7</f>
        <v>-4071.9099999999962</v>
      </c>
      <c r="M37" s="26">
        <f>'5101-510 Non performance based'!M7</f>
        <v>35760</v>
      </c>
      <c r="N37" s="26">
        <f>'5101-510 Non performance based'!N7</f>
        <v>58775</v>
      </c>
      <c r="O37" s="24">
        <f>'5101-510 Non performance based'!O7</f>
        <v>121592.81000000011</v>
      </c>
    </row>
    <row r="38" spans="1:18" x14ac:dyDescent="0.3">
      <c r="A38" s="39"/>
      <c r="B38" s="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7"/>
    </row>
    <row r="39" spans="1:18" x14ac:dyDescent="0.3">
      <c r="A39" s="39"/>
      <c r="B39" s="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7"/>
    </row>
    <row r="40" spans="1:18" x14ac:dyDescent="0.3">
      <c r="A40" s="20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21"/>
    </row>
    <row r="41" spans="1:18" x14ac:dyDescent="0.3">
      <c r="A41" s="262" t="s">
        <v>41</v>
      </c>
      <c r="B41" s="5" t="s">
        <v>16</v>
      </c>
      <c r="C41" s="16">
        <f>'5102-510 Advertising Agency Fee'!C3</f>
        <v>30663.22</v>
      </c>
      <c r="D41" s="16">
        <f>'5102-510 Advertising Agency Fee'!D3</f>
        <v>34061.61</v>
      </c>
      <c r="E41" s="16">
        <f>'5102-510 Advertising Agency Fee'!E3</f>
        <v>48123.82</v>
      </c>
      <c r="F41" s="16">
        <f>'5102-510 Advertising Agency Fee'!F3</f>
        <v>35442.910000000003</v>
      </c>
      <c r="G41" s="16">
        <f>'5102-510 Advertising Agency Fee'!G3</f>
        <v>57806.73</v>
      </c>
      <c r="H41" s="16">
        <f>'5102-510 Advertising Agency Fee'!H3</f>
        <v>42091.03</v>
      </c>
      <c r="I41" s="16">
        <f>'5102-510 Advertising Agency Fee'!I3</f>
        <v>39212.950000000004</v>
      </c>
      <c r="J41" s="16">
        <f>'5102-510 Advertising Agency Fee'!J3</f>
        <v>38385.770000000004</v>
      </c>
      <c r="K41" s="16">
        <f>'5102-510 Advertising Agency Fee'!K3</f>
        <v>38132.100000000006</v>
      </c>
      <c r="L41" s="16">
        <f>'5102-510 Advertising Agency Fee'!L3</f>
        <v>41412.85</v>
      </c>
      <c r="M41" s="16">
        <f>'5102-510 Advertising Agency Fee'!M3</f>
        <v>40440.990000000005</v>
      </c>
      <c r="N41" s="16">
        <f>'5102-510 Advertising Agency Fee'!N3</f>
        <v>43343.27</v>
      </c>
      <c r="O41" s="17">
        <f>'5102-510 Advertising Agency Fee'!O3</f>
        <v>489117.24999999994</v>
      </c>
    </row>
    <row r="42" spans="1:18" x14ac:dyDescent="0.3">
      <c r="A42" s="259"/>
      <c r="B42" s="5" t="s">
        <v>31</v>
      </c>
      <c r="C42" s="16">
        <f>'5102-510 Advertising Agency Fee'!C5</f>
        <v>67567</v>
      </c>
      <c r="D42" s="16">
        <f>'5102-510 Advertising Agency Fee'!D5</f>
        <v>97522</v>
      </c>
      <c r="E42" s="16">
        <f>'5102-510 Advertising Agency Fee'!E5</f>
        <v>58826</v>
      </c>
      <c r="F42" s="16">
        <f>'5102-510 Advertising Agency Fee'!F5</f>
        <v>51522</v>
      </c>
      <c r="G42" s="16">
        <f>'5102-510 Advertising Agency Fee'!G5</f>
        <v>65022</v>
      </c>
      <c r="H42" s="16">
        <f>'5102-510 Advertising Agency Fee'!H5</f>
        <v>49022</v>
      </c>
      <c r="I42" s="16">
        <f>'5102-510 Advertising Agency Fee'!I5</f>
        <v>47085</v>
      </c>
      <c r="J42" s="16">
        <f>'5102-510 Advertising Agency Fee'!J5</f>
        <v>47022</v>
      </c>
      <c r="K42" s="16">
        <f>'5102-510 Advertising Agency Fee'!K5</f>
        <v>47522</v>
      </c>
      <c r="L42" s="16">
        <f>'5102-510 Advertising Agency Fee'!L5</f>
        <v>56022</v>
      </c>
      <c r="M42" s="16">
        <f>'5102-510 Advertising Agency Fee'!M5</f>
        <v>57522</v>
      </c>
      <c r="N42" s="16">
        <f>'5102-510 Advertising Agency Fee'!N5</f>
        <v>52522</v>
      </c>
      <c r="O42" s="17">
        <f>'5102-510 Advertising Agency Fee'!O5</f>
        <v>697176</v>
      </c>
    </row>
    <row r="43" spans="1:18" x14ac:dyDescent="0.3">
      <c r="A43" s="259"/>
      <c r="B43" s="6" t="s">
        <v>29</v>
      </c>
      <c r="C43" s="18">
        <f>'5102-510 Advertising Agency Fee'!C4</f>
        <v>67567</v>
      </c>
      <c r="D43" s="18">
        <f>'5102-510 Advertising Agency Fee'!D4</f>
        <v>97522</v>
      </c>
      <c r="E43" s="18">
        <f>'5102-510 Advertising Agency Fee'!E4</f>
        <v>58826</v>
      </c>
      <c r="F43" s="18">
        <f>'5102-510 Advertising Agency Fee'!F4</f>
        <v>51522</v>
      </c>
      <c r="G43" s="18">
        <f>'5102-510 Advertising Agency Fee'!G4</f>
        <v>65022</v>
      </c>
      <c r="H43" s="18">
        <f>'5102-510 Advertising Agency Fee'!H4</f>
        <v>49022</v>
      </c>
      <c r="I43" s="18">
        <f>'5102-510 Advertising Agency Fee'!I4</f>
        <v>47085</v>
      </c>
      <c r="J43" s="18">
        <f>'5102-510 Advertising Agency Fee'!J4</f>
        <v>47022</v>
      </c>
      <c r="K43" s="18">
        <f>'5102-510 Advertising Agency Fee'!K4</f>
        <v>47522</v>
      </c>
      <c r="L43" s="18">
        <f>'5102-510 Advertising Agency Fee'!L4</f>
        <v>56022</v>
      </c>
      <c r="M43" s="18">
        <f>'5102-510 Advertising Agency Fee'!M4</f>
        <v>57522</v>
      </c>
      <c r="N43" s="18">
        <f>'5102-510 Advertising Agency Fee'!N4</f>
        <v>52522</v>
      </c>
      <c r="O43" s="19">
        <f>'5102-510 Advertising Agency Fee'!O4</f>
        <v>697176</v>
      </c>
      <c r="Q43" s="33">
        <f>O43-O41</f>
        <v>208058.75000000006</v>
      </c>
      <c r="R43" t="s">
        <v>42</v>
      </c>
    </row>
    <row r="44" spans="1:18" x14ac:dyDescent="0.3">
      <c r="A44" s="259"/>
      <c r="B44" s="5" t="s">
        <v>32</v>
      </c>
      <c r="C44" s="16">
        <f>'5102-510 Advertising Agency Fee'!C6</f>
        <v>51418.499999999993</v>
      </c>
      <c r="D44" s="16">
        <f>'5102-510 Advertising Agency Fee'!D6</f>
        <v>59616.700000000004</v>
      </c>
      <c r="E44" s="16">
        <f>'5102-510 Advertising Agency Fee'!E6</f>
        <v>47803.15</v>
      </c>
      <c r="F44" s="16">
        <f>'5102-510 Advertising Agency Fee'!F6</f>
        <v>54958.579999999994</v>
      </c>
      <c r="G44" s="16">
        <f>'5102-510 Advertising Agency Fee'!G6</f>
        <v>55320.829999999994</v>
      </c>
      <c r="H44" s="16">
        <f>'5102-510 Advertising Agency Fee'!H6</f>
        <v>58388.509999999995</v>
      </c>
      <c r="I44" s="16">
        <f>'5102-510 Advertising Agency Fee'!I6</f>
        <v>63125.88</v>
      </c>
      <c r="J44" s="16">
        <f>'5102-510 Advertising Agency Fee'!J6</f>
        <v>59393.07</v>
      </c>
      <c r="K44" s="16">
        <f>'5102-510 Advertising Agency Fee'!K6</f>
        <v>55454.37</v>
      </c>
      <c r="L44" s="16">
        <f>'5102-510 Advertising Agency Fee'!L6</f>
        <v>23340.07</v>
      </c>
      <c r="M44" s="16">
        <f>'5102-510 Advertising Agency Fee'!M6</f>
        <v>0</v>
      </c>
      <c r="N44" s="16">
        <f>'5102-510 Advertising Agency Fee'!N6</f>
        <v>0</v>
      </c>
      <c r="O44" s="17">
        <f>'5102-510 Advertising Agency Fee'!O6</f>
        <v>528819.66</v>
      </c>
    </row>
    <row r="45" spans="1:18" x14ac:dyDescent="0.3">
      <c r="A45" s="25"/>
      <c r="B45" s="23" t="s">
        <v>447</v>
      </c>
      <c r="C45" s="26">
        <f>'5102-510 Advertising Agency Fee'!C7</f>
        <v>16148.500000000007</v>
      </c>
      <c r="D45" s="26">
        <f>'5102-510 Advertising Agency Fee'!D7</f>
        <v>37905.299999999996</v>
      </c>
      <c r="E45" s="26">
        <f>'5102-510 Advertising Agency Fee'!E7</f>
        <v>11022.849999999999</v>
      </c>
      <c r="F45" s="26">
        <f>'5102-510 Advertising Agency Fee'!F7</f>
        <v>-3436.5799999999945</v>
      </c>
      <c r="G45" s="26">
        <f>'5102-510 Advertising Agency Fee'!G7</f>
        <v>9701.1700000000055</v>
      </c>
      <c r="H45" s="26">
        <f>'5102-510 Advertising Agency Fee'!H7</f>
        <v>-9366.5099999999948</v>
      </c>
      <c r="I45" s="26">
        <f>'5102-510 Advertising Agency Fee'!I7</f>
        <v>-16040.879999999997</v>
      </c>
      <c r="J45" s="26">
        <f>'5102-510 Advertising Agency Fee'!J7</f>
        <v>-12371.07</v>
      </c>
      <c r="K45" s="26">
        <f>'5102-510 Advertising Agency Fee'!K7</f>
        <v>-7932.3700000000026</v>
      </c>
      <c r="L45" s="26">
        <f>'5102-510 Advertising Agency Fee'!L7</f>
        <v>32681.93</v>
      </c>
      <c r="M45" s="26">
        <f>'5102-510 Advertising Agency Fee'!M7</f>
        <v>57522</v>
      </c>
      <c r="N45" s="26">
        <f>'5102-510 Advertising Agency Fee'!N7</f>
        <v>52522</v>
      </c>
      <c r="O45" s="24">
        <f>'5102-510 Advertising Agency Fee'!O7</f>
        <v>168356.33999999997</v>
      </c>
    </row>
    <row r="46" spans="1:18" x14ac:dyDescent="0.3">
      <c r="A46" s="20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21"/>
    </row>
    <row r="47" spans="1:18" x14ac:dyDescent="0.3">
      <c r="A47" s="263" t="s">
        <v>44</v>
      </c>
      <c r="B47" s="5" t="s">
        <v>16</v>
      </c>
      <c r="C47" s="16">
        <f>'5104-510 Public Relations'!C3</f>
        <v>8376.9599999999991</v>
      </c>
      <c r="D47" s="16">
        <f>'5104-510 Public Relations'!D3</f>
        <v>8376.9599999999991</v>
      </c>
      <c r="E47" s="16">
        <f>'5104-510 Public Relations'!E3</f>
        <v>8376.9599999999991</v>
      </c>
      <c r="F47" s="16">
        <f>'5104-510 Public Relations'!F3</f>
        <v>17177.879999999997</v>
      </c>
      <c r="G47" s="16">
        <f>'5104-510 Public Relations'!G3</f>
        <v>23701.57</v>
      </c>
      <c r="H47" s="16">
        <f>'5104-510 Public Relations'!H3</f>
        <v>11057.630000000001</v>
      </c>
      <c r="I47" s="16">
        <f>'5104-510 Public Relations'!I3</f>
        <v>10209.419999999998</v>
      </c>
      <c r="J47" s="16">
        <f>'5104-510 Public Relations'!J3</f>
        <v>10209.419999999998</v>
      </c>
      <c r="K47" s="16">
        <f>'5104-510 Public Relations'!K3</f>
        <v>12596.25</v>
      </c>
      <c r="L47" s="16">
        <f>'5104-510 Public Relations'!L3</f>
        <v>12089.599999999999</v>
      </c>
      <c r="M47" s="16">
        <f>'5104-510 Public Relations'!M3</f>
        <v>25163.3</v>
      </c>
      <c r="N47" s="16">
        <f>'5104-510 Public Relations'!N3</f>
        <v>10209.419999999998</v>
      </c>
      <c r="O47" s="17">
        <f>'5104-510 Public Relations'!O3</f>
        <v>157545.36999999997</v>
      </c>
    </row>
    <row r="48" spans="1:18" x14ac:dyDescent="0.3">
      <c r="A48" s="261"/>
      <c r="B48" s="5" t="s">
        <v>31</v>
      </c>
      <c r="C48" s="16">
        <f>'5104-510 Public Relations'!C5</f>
        <v>10209.459999999999</v>
      </c>
      <c r="D48" s="16">
        <f>'5104-510 Public Relations'!D5</f>
        <v>10209.459999999999</v>
      </c>
      <c r="E48" s="16">
        <f>'5104-510 Public Relations'!E5</f>
        <v>21832.46</v>
      </c>
      <c r="F48" s="16">
        <f>'5104-510 Public Relations'!F5</f>
        <v>10209.459999999999</v>
      </c>
      <c r="G48" s="16">
        <f>'5104-510 Public Relations'!G5</f>
        <v>16832.46</v>
      </c>
      <c r="H48" s="16">
        <f>'5104-510 Public Relations'!H5</f>
        <v>10209.459999999999</v>
      </c>
      <c r="I48" s="16">
        <f>'5104-510 Public Relations'!I5</f>
        <v>10209.459999999999</v>
      </c>
      <c r="J48" s="16">
        <f>'5104-510 Public Relations'!J5</f>
        <v>10209.459999999999</v>
      </c>
      <c r="K48" s="16">
        <f>'5104-510 Public Relations'!K5</f>
        <v>21832.46</v>
      </c>
      <c r="L48" s="16">
        <f>'5104-510 Public Relations'!L5</f>
        <v>10209.459999999999</v>
      </c>
      <c r="M48" s="16">
        <f>'5104-510 Public Relations'!M5</f>
        <v>10209.459999999999</v>
      </c>
      <c r="N48" s="16">
        <f>'5104-510 Public Relations'!N5</f>
        <v>10209.459999999999</v>
      </c>
      <c r="O48" s="17">
        <f>'5104-510 Public Relations'!O5</f>
        <v>152382.51999999993</v>
      </c>
    </row>
    <row r="49" spans="1:17" x14ac:dyDescent="0.3">
      <c r="A49" s="261"/>
      <c r="B49" s="6" t="s">
        <v>29</v>
      </c>
      <c r="C49" s="18">
        <f>'5104-510 Public Relations'!C4</f>
        <v>10209.459999999999</v>
      </c>
      <c r="D49" s="18">
        <f>'5104-510 Public Relations'!D4</f>
        <v>10209.459999999999</v>
      </c>
      <c r="E49" s="18">
        <f>'5104-510 Public Relations'!E4</f>
        <v>21832.46</v>
      </c>
      <c r="F49" s="18">
        <f>'5104-510 Public Relations'!F4</f>
        <v>10209.459999999999</v>
      </c>
      <c r="G49" s="18">
        <f>'5104-510 Public Relations'!G4</f>
        <v>16832.46</v>
      </c>
      <c r="H49" s="18">
        <f>'5104-510 Public Relations'!H4</f>
        <v>10209.459999999999</v>
      </c>
      <c r="I49" s="18">
        <f>'5104-510 Public Relations'!I4</f>
        <v>10209.459999999999</v>
      </c>
      <c r="J49" s="18">
        <f>'5104-510 Public Relations'!J4</f>
        <v>10209.459999999999</v>
      </c>
      <c r="K49" s="18">
        <f>'5104-510 Public Relations'!K4</f>
        <v>21832.46</v>
      </c>
      <c r="L49" s="18">
        <f>'5104-510 Public Relations'!L4</f>
        <v>10209.459999999999</v>
      </c>
      <c r="M49" s="18">
        <f>'5104-510 Public Relations'!M4</f>
        <v>10209.459999999999</v>
      </c>
      <c r="N49" s="18">
        <f>'5104-510 Public Relations'!N4</f>
        <v>10209.459999999999</v>
      </c>
      <c r="O49" s="19">
        <f>'5104-510 Public Relations'!O4</f>
        <v>152382.51999999999</v>
      </c>
      <c r="Q49" s="33">
        <f>O49-O47</f>
        <v>-5162.8499999999767</v>
      </c>
    </row>
    <row r="50" spans="1:17" x14ac:dyDescent="0.3">
      <c r="A50" s="261"/>
      <c r="B50" s="5" t="s">
        <v>32</v>
      </c>
      <c r="C50" s="16">
        <f>'5104-510 Public Relations'!C6</f>
        <v>10467.720000000001</v>
      </c>
      <c r="D50" s="16">
        <f>'5104-510 Public Relations'!D6</f>
        <v>12294.219999999998</v>
      </c>
      <c r="E50" s="16">
        <f>'5104-510 Public Relations'!E6</f>
        <v>10209.419999999998</v>
      </c>
      <c r="F50" s="16">
        <f>'5104-510 Public Relations'!F6</f>
        <v>9126.9599999999991</v>
      </c>
      <c r="G50" s="16">
        <f>'5104-510 Public Relations'!G6</f>
        <v>21267.289999999997</v>
      </c>
      <c r="H50" s="16">
        <f>'5104-510 Public Relations'!H6</f>
        <v>13282.009999999998</v>
      </c>
      <c r="I50" s="16">
        <f>'5104-510 Public Relations'!I6</f>
        <v>8376.9599999999991</v>
      </c>
      <c r="J50" s="16">
        <f>'5104-510 Public Relations'!J6</f>
        <v>8376.9599999999991</v>
      </c>
      <c r="K50" s="16">
        <f>'5104-510 Public Relations'!K6</f>
        <v>10209.419999999998</v>
      </c>
      <c r="L50" s="16">
        <f>'5104-510 Public Relations'!L6</f>
        <v>0</v>
      </c>
      <c r="M50" s="16">
        <f>'5104-510 Public Relations'!M6</f>
        <v>0</v>
      </c>
      <c r="N50" s="16">
        <f>'5104-510 Public Relations'!N6</f>
        <v>0</v>
      </c>
      <c r="O50" s="17">
        <f>'5104-510 Public Relations'!O6</f>
        <v>103610.95999999998</v>
      </c>
    </row>
    <row r="51" spans="1:17" x14ac:dyDescent="0.3">
      <c r="A51" s="22"/>
      <c r="B51" s="23" t="s">
        <v>447</v>
      </c>
      <c r="C51" s="26">
        <f>'5104-510 Public Relations'!C7</f>
        <v>-258.26000000000204</v>
      </c>
      <c r="D51" s="26">
        <f>'5104-510 Public Relations'!D7</f>
        <v>-2084.7599999999984</v>
      </c>
      <c r="E51" s="26">
        <f>'5104-510 Public Relations'!E7</f>
        <v>11623.04</v>
      </c>
      <c r="F51" s="26">
        <f>'5104-510 Public Relations'!F7</f>
        <v>1082.5</v>
      </c>
      <c r="G51" s="26">
        <f>'5104-510 Public Relations'!G7</f>
        <v>-4434.8299999999981</v>
      </c>
      <c r="H51" s="26">
        <f>'5104-510 Public Relations'!H7</f>
        <v>-3072.5499999999993</v>
      </c>
      <c r="I51" s="26">
        <f>'5104-510 Public Relations'!I7</f>
        <v>1832.5</v>
      </c>
      <c r="J51" s="26">
        <f>'5104-510 Public Relations'!J7</f>
        <v>1832.5</v>
      </c>
      <c r="K51" s="26">
        <f>'5104-510 Public Relations'!K7</f>
        <v>11623.04</v>
      </c>
      <c r="L51" s="26">
        <f>'5104-510 Public Relations'!L7</f>
        <v>10209.459999999999</v>
      </c>
      <c r="M51" s="26">
        <f>'5104-510 Public Relations'!M7</f>
        <v>10209.459999999999</v>
      </c>
      <c r="N51" s="26">
        <f>'5104-510 Public Relations'!N7</f>
        <v>10209.459999999999</v>
      </c>
      <c r="O51" s="24">
        <f>'5104-510 Public Relations'!O7</f>
        <v>48771.559999999954</v>
      </c>
    </row>
    <row r="52" spans="1:17" x14ac:dyDescent="0.3">
      <c r="A52" s="36"/>
      <c r="B52" s="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7"/>
    </row>
    <row r="53" spans="1:17" x14ac:dyDescent="0.3">
      <c r="A53" s="263" t="s">
        <v>46</v>
      </c>
      <c r="B53" s="5" t="s">
        <v>16</v>
      </c>
      <c r="C53" s="16">
        <f>'5105-510 Promotional Events'!C3</f>
        <v>0</v>
      </c>
      <c r="D53" s="16">
        <f>'5105-510 Promotional Events'!D3</f>
        <v>0</v>
      </c>
      <c r="E53" s="16">
        <f>'5105-510 Promotional Events'!E3</f>
        <v>0</v>
      </c>
      <c r="F53" s="16">
        <f>'5105-510 Promotional Events'!F3</f>
        <v>0</v>
      </c>
      <c r="G53" s="16">
        <f>'5105-510 Promotional Events'!G3</f>
        <v>0</v>
      </c>
      <c r="H53" s="16">
        <f>'5105-510 Promotional Events'!H3</f>
        <v>0</v>
      </c>
      <c r="I53" s="16">
        <f>'5105-510 Promotional Events'!I3</f>
        <v>0</v>
      </c>
      <c r="J53" s="16">
        <f>'5105-510 Promotional Events'!J3</f>
        <v>0</v>
      </c>
      <c r="K53" s="16">
        <f>'5105-510 Promotional Events'!K3</f>
        <v>0</v>
      </c>
      <c r="L53" s="16">
        <f>'5105-510 Promotional Events'!L3</f>
        <v>0</v>
      </c>
      <c r="M53" s="16">
        <f>'5105-510 Promotional Events'!M3</f>
        <v>0</v>
      </c>
      <c r="N53" s="16">
        <f>'5105-510 Promotional Events'!N3</f>
        <v>0</v>
      </c>
      <c r="O53" s="17">
        <f>'5105-510 Promotional Events'!O3</f>
        <v>0</v>
      </c>
    </row>
    <row r="54" spans="1:17" x14ac:dyDescent="0.3">
      <c r="A54" s="261"/>
      <c r="B54" s="5" t="s">
        <v>31</v>
      </c>
      <c r="C54" s="16">
        <f>'5105-510 Promotional Events'!C5</f>
        <v>0</v>
      </c>
      <c r="D54" s="16">
        <f>'5105-510 Promotional Events'!D5</f>
        <v>0</v>
      </c>
      <c r="E54" s="16">
        <f>'5105-510 Promotional Events'!E5</f>
        <v>0</v>
      </c>
      <c r="F54" s="16">
        <f>'5105-510 Promotional Events'!F5</f>
        <v>0</v>
      </c>
      <c r="G54" s="16">
        <f>'5105-510 Promotional Events'!G5</f>
        <v>0</v>
      </c>
      <c r="H54" s="16">
        <f>'5105-510 Promotional Events'!H5</f>
        <v>0</v>
      </c>
      <c r="I54" s="16">
        <f>'5105-510 Promotional Events'!I5</f>
        <v>0</v>
      </c>
      <c r="J54" s="16">
        <f>'5105-510 Promotional Events'!J5</f>
        <v>0</v>
      </c>
      <c r="K54" s="16">
        <f>'5105-510 Promotional Events'!K5</f>
        <v>0</v>
      </c>
      <c r="L54" s="16">
        <f>'5105-510 Promotional Events'!L5</f>
        <v>0</v>
      </c>
      <c r="M54" s="16">
        <f>'5105-510 Promotional Events'!M5</f>
        <v>0</v>
      </c>
      <c r="N54" s="16">
        <f>'5105-510 Promotional Events'!N5</f>
        <v>0</v>
      </c>
      <c r="O54" s="17">
        <f>'5105-510 Promotional Events'!O5</f>
        <v>0</v>
      </c>
    </row>
    <row r="55" spans="1:17" x14ac:dyDescent="0.3">
      <c r="A55" s="261"/>
      <c r="B55" s="6" t="s">
        <v>29</v>
      </c>
      <c r="C55" s="18">
        <f>'5105-510 Promotional Events'!C4</f>
        <v>0</v>
      </c>
      <c r="D55" s="18">
        <f>'5105-510 Promotional Events'!D4</f>
        <v>0</v>
      </c>
      <c r="E55" s="18">
        <f>'5105-510 Promotional Events'!E4</f>
        <v>0</v>
      </c>
      <c r="F55" s="18">
        <f>'5105-510 Promotional Events'!F4</f>
        <v>0</v>
      </c>
      <c r="G55" s="18">
        <f>'5105-510 Promotional Events'!G4</f>
        <v>0</v>
      </c>
      <c r="H55" s="18">
        <f>'5105-510 Promotional Events'!H4</f>
        <v>0</v>
      </c>
      <c r="I55" s="18">
        <f>'5105-510 Promotional Events'!I4</f>
        <v>0</v>
      </c>
      <c r="J55" s="18">
        <f>'5105-510 Promotional Events'!J4</f>
        <v>0</v>
      </c>
      <c r="K55" s="18">
        <f>'5105-510 Promotional Events'!K4</f>
        <v>0</v>
      </c>
      <c r="L55" s="18">
        <f>'5105-510 Promotional Events'!L4</f>
        <v>0</v>
      </c>
      <c r="M55" s="18">
        <f>'5105-510 Promotional Events'!M4</f>
        <v>0</v>
      </c>
      <c r="N55" s="18">
        <f>'5105-510 Promotional Events'!N4</f>
        <v>0</v>
      </c>
      <c r="O55" s="19">
        <f>'5105-510 Promotional Events'!O4</f>
        <v>0</v>
      </c>
    </row>
    <row r="56" spans="1:17" x14ac:dyDescent="0.3">
      <c r="A56" s="261"/>
      <c r="B56" s="5" t="s">
        <v>32</v>
      </c>
      <c r="C56" s="16">
        <f>'5105-510 Promotional Events'!C6</f>
        <v>2008.82</v>
      </c>
      <c r="D56" s="16">
        <f>'5105-510 Promotional Events'!D6</f>
        <v>2770.4</v>
      </c>
      <c r="E56" s="16">
        <f>'5105-510 Promotional Events'!E6</f>
        <v>55.81</v>
      </c>
      <c r="F56" s="16">
        <f>'5105-510 Promotional Events'!F6</f>
        <v>2373.4199999999996</v>
      </c>
      <c r="G56" s="16">
        <f>'5105-510 Promotional Events'!G6</f>
        <v>1969.39</v>
      </c>
      <c r="H56" s="16">
        <f>'5105-510 Promotional Events'!H6</f>
        <v>3896.16</v>
      </c>
      <c r="I56" s="16">
        <f>'5105-510 Promotional Events'!I6</f>
        <v>96.71</v>
      </c>
      <c r="J56" s="16">
        <f>'5105-510 Promotional Events'!J6</f>
        <v>7626.130000000001</v>
      </c>
      <c r="K56" s="16">
        <f>'5105-510 Promotional Events'!K6</f>
        <v>4229.63</v>
      </c>
      <c r="L56" s="16">
        <f>'5105-510 Promotional Events'!L6</f>
        <v>2301.7199999999998</v>
      </c>
      <c r="M56" s="16">
        <f>'5105-510 Promotional Events'!M6</f>
        <v>0</v>
      </c>
      <c r="N56" s="16">
        <f>'5105-510 Promotional Events'!N6</f>
        <v>0</v>
      </c>
      <c r="O56" s="17">
        <f>'5105-510 Promotional Events'!O6</f>
        <v>27328.19000000001</v>
      </c>
    </row>
    <row r="57" spans="1:17" x14ac:dyDescent="0.3">
      <c r="A57" s="22"/>
      <c r="B57" s="23" t="s">
        <v>447</v>
      </c>
      <c r="C57" s="26">
        <f>'5105-510 Promotional Events'!C7</f>
        <v>-2008.82</v>
      </c>
      <c r="D57" s="26">
        <f>'5105-510 Promotional Events'!D7</f>
        <v>-2770.4</v>
      </c>
      <c r="E57" s="26">
        <f>'5105-510 Promotional Events'!E7</f>
        <v>-55.81</v>
      </c>
      <c r="F57" s="26">
        <f>'5105-510 Promotional Events'!F7</f>
        <v>-2373.4199999999996</v>
      </c>
      <c r="G57" s="26">
        <f>'5105-510 Promotional Events'!G7</f>
        <v>-1969.39</v>
      </c>
      <c r="H57" s="26">
        <f>'5105-510 Promotional Events'!H7</f>
        <v>-3896.16</v>
      </c>
      <c r="I57" s="26">
        <f>'5105-510 Promotional Events'!I7</f>
        <v>-96.71</v>
      </c>
      <c r="J57" s="26">
        <f>'5105-510 Promotional Events'!J7</f>
        <v>-7626.130000000001</v>
      </c>
      <c r="K57" s="26">
        <f>'5105-510 Promotional Events'!K7</f>
        <v>-4229.63</v>
      </c>
      <c r="L57" s="26">
        <f>'5105-510 Promotional Events'!L7</f>
        <v>-2301.7199999999998</v>
      </c>
      <c r="M57" s="26">
        <f>'5105-510 Promotional Events'!M7</f>
        <v>0</v>
      </c>
      <c r="N57" s="26">
        <f>'5105-510 Promotional Events'!N7</f>
        <v>0</v>
      </c>
      <c r="O57" s="24">
        <f>'5105-510 Promotional Events'!O7</f>
        <v>-27328.19000000001</v>
      </c>
    </row>
    <row r="58" spans="1:17" x14ac:dyDescent="0.3">
      <c r="O58" s="27"/>
    </row>
    <row r="59" spans="1:17" x14ac:dyDescent="0.3">
      <c r="A59" s="263" t="s">
        <v>48</v>
      </c>
      <c r="B59" s="5" t="s">
        <v>16</v>
      </c>
      <c r="C59" s="16">
        <f>'5200-510 Operating Materials'!C3</f>
        <v>11179.59</v>
      </c>
      <c r="D59" s="16">
        <f>'5200-510 Operating Materials'!D3</f>
        <v>1172.82</v>
      </c>
      <c r="E59" s="16">
        <f>'5200-510 Operating Materials'!E3</f>
        <v>736.31000000000006</v>
      </c>
      <c r="F59" s="16">
        <f>'5200-510 Operating Materials'!F3</f>
        <v>664.21</v>
      </c>
      <c r="G59" s="16">
        <f>'5200-510 Operating Materials'!G3</f>
        <v>16420.22</v>
      </c>
      <c r="H59" s="16">
        <f>'5200-510 Operating Materials'!H3</f>
        <v>15007.29</v>
      </c>
      <c r="I59" s="16">
        <f>'5200-510 Operating Materials'!I3</f>
        <v>1207.3100000000002</v>
      </c>
      <c r="J59" s="16">
        <f>'5200-510 Operating Materials'!J3</f>
        <v>12974.18</v>
      </c>
      <c r="K59" s="16">
        <f>'5200-510 Operating Materials'!K3</f>
        <v>33189.300000000003</v>
      </c>
      <c r="L59" s="16">
        <f>'5200-510 Operating Materials'!L3</f>
        <v>1699.35</v>
      </c>
      <c r="M59" s="16">
        <f>'5200-510 Operating Materials'!M3</f>
        <v>296.19</v>
      </c>
      <c r="N59" s="16">
        <f>'5200-510 Operating Materials'!N3</f>
        <v>0</v>
      </c>
      <c r="O59" s="17">
        <f>'5200-510 Operating Materials'!O3</f>
        <v>94546.76999999999</v>
      </c>
    </row>
    <row r="60" spans="1:17" x14ac:dyDescent="0.3">
      <c r="A60" s="261"/>
      <c r="B60" s="5" t="s">
        <v>31</v>
      </c>
      <c r="C60" s="16">
        <f>'5200-510 Operating Materials'!C5</f>
        <v>10884.94</v>
      </c>
      <c r="D60" s="16">
        <f>'5200-510 Operating Materials'!D5</f>
        <v>2434.69</v>
      </c>
      <c r="E60" s="16">
        <f>'5200-510 Operating Materials'!E5</f>
        <v>16775</v>
      </c>
      <c r="F60" s="16">
        <f>'5200-510 Operating Materials'!F5</f>
        <v>1314</v>
      </c>
      <c r="G60" s="16">
        <f>'5200-510 Operating Materials'!G5</f>
        <v>3345</v>
      </c>
      <c r="H60" s="16">
        <f>'5200-510 Operating Materials'!H5</f>
        <v>15220</v>
      </c>
      <c r="I60" s="16">
        <f>'5200-510 Operating Materials'!I5</f>
        <v>1475</v>
      </c>
      <c r="J60" s="16">
        <f>'5200-510 Operating Materials'!J5</f>
        <v>14505</v>
      </c>
      <c r="K60" s="16">
        <f>'5200-510 Operating Materials'!K5</f>
        <v>31059</v>
      </c>
      <c r="L60" s="16">
        <f>'5200-510 Operating Materials'!L5</f>
        <v>2275</v>
      </c>
      <c r="M60" s="16">
        <f>'5200-510 Operating Materials'!M5</f>
        <v>775</v>
      </c>
      <c r="N60" s="16">
        <f>'5200-510 Operating Materials'!N5</f>
        <v>775</v>
      </c>
      <c r="O60" s="17">
        <f>'5200-510 Operating Materials'!O5</f>
        <v>100837.63</v>
      </c>
    </row>
    <row r="61" spans="1:17" x14ac:dyDescent="0.3">
      <c r="A61" s="261"/>
      <c r="B61" s="6" t="s">
        <v>29</v>
      </c>
      <c r="C61" s="18">
        <f>'5200-510 Operating Materials'!C4</f>
        <v>10884.94</v>
      </c>
      <c r="D61" s="18">
        <f>'5200-510 Operating Materials'!D4</f>
        <v>2434.69</v>
      </c>
      <c r="E61" s="18">
        <f>'5200-510 Operating Materials'!E4</f>
        <v>16775</v>
      </c>
      <c r="F61" s="18">
        <f>'5200-510 Operating Materials'!F4</f>
        <v>1314</v>
      </c>
      <c r="G61" s="18">
        <f>'5200-510 Operating Materials'!G4</f>
        <v>3345</v>
      </c>
      <c r="H61" s="18">
        <f>'5200-510 Operating Materials'!H4</f>
        <v>15220</v>
      </c>
      <c r="I61" s="18">
        <f>'5200-510 Operating Materials'!I4</f>
        <v>1475</v>
      </c>
      <c r="J61" s="18">
        <f>'5200-510 Operating Materials'!J4</f>
        <v>14505</v>
      </c>
      <c r="K61" s="18">
        <f>'5200-510 Operating Materials'!K4</f>
        <v>31059</v>
      </c>
      <c r="L61" s="18">
        <f>'5200-510 Operating Materials'!L4</f>
        <v>2275</v>
      </c>
      <c r="M61" s="18">
        <f>'5200-510 Operating Materials'!M4</f>
        <v>775</v>
      </c>
      <c r="N61" s="18">
        <f>'5200-510 Operating Materials'!N4</f>
        <v>775</v>
      </c>
      <c r="O61" s="19">
        <f>'5200-510 Operating Materials'!O4</f>
        <v>100837.63</v>
      </c>
      <c r="Q61" s="33">
        <f>O61-O59</f>
        <v>6290.8600000000151</v>
      </c>
    </row>
    <row r="62" spans="1:17" x14ac:dyDescent="0.3">
      <c r="A62" s="261"/>
      <c r="B62" s="5" t="s">
        <v>32</v>
      </c>
      <c r="C62" s="16">
        <f>'5200-510 Operating Materials'!C6</f>
        <v>44094.99</v>
      </c>
      <c r="D62" s="16">
        <f>'5200-510 Operating Materials'!D6</f>
        <v>13689.270000000002</v>
      </c>
      <c r="E62" s="16">
        <f>'5200-510 Operating Materials'!E6</f>
        <v>18956.759999999998</v>
      </c>
      <c r="F62" s="16">
        <f>'5200-510 Operating Materials'!F6</f>
        <v>571.13</v>
      </c>
      <c r="G62" s="16">
        <f>'5200-510 Operating Materials'!G6</f>
        <v>18214.759999999998</v>
      </c>
      <c r="H62" s="16">
        <f>'5200-510 Operating Materials'!H6</f>
        <v>4108.58</v>
      </c>
      <c r="I62" s="16">
        <f>'5200-510 Operating Materials'!I6</f>
        <v>19645.819999999996</v>
      </c>
      <c r="J62" s="16">
        <f>'5200-510 Operating Materials'!J6</f>
        <v>30129.71</v>
      </c>
      <c r="K62" s="16">
        <f>'5200-510 Operating Materials'!K6</f>
        <v>10098.229999999998</v>
      </c>
      <c r="L62" s="16">
        <f>'5200-510 Operating Materials'!L6</f>
        <v>111.14000000000001</v>
      </c>
      <c r="M62" s="16">
        <f>'5200-510 Operating Materials'!M6</f>
        <v>0</v>
      </c>
      <c r="N62" s="16">
        <f>'5200-510 Operating Materials'!N6</f>
        <v>0</v>
      </c>
      <c r="O62" s="17">
        <f>'5200-510 Operating Materials'!O6</f>
        <v>159620.38999999998</v>
      </c>
    </row>
    <row r="63" spans="1:17" x14ac:dyDescent="0.3">
      <c r="A63" s="22"/>
      <c r="B63" s="23" t="s">
        <v>447</v>
      </c>
      <c r="C63" s="26">
        <f>'5200-510 Operating Materials'!C7</f>
        <v>-33210.049999999996</v>
      </c>
      <c r="D63" s="26">
        <f>'5200-510 Operating Materials'!D7</f>
        <v>-11254.580000000002</v>
      </c>
      <c r="E63" s="26">
        <f>'5200-510 Operating Materials'!E7</f>
        <v>-2181.7599999999984</v>
      </c>
      <c r="F63" s="26">
        <f>'5200-510 Operating Materials'!F7</f>
        <v>742.87</v>
      </c>
      <c r="G63" s="26">
        <f>'5200-510 Operating Materials'!G7</f>
        <v>-14869.759999999998</v>
      </c>
      <c r="H63" s="26">
        <f>'5200-510 Operating Materials'!H7</f>
        <v>11111.42</v>
      </c>
      <c r="I63" s="26">
        <f>'5200-510 Operating Materials'!I7</f>
        <v>-18170.819999999996</v>
      </c>
      <c r="J63" s="26">
        <f>'5200-510 Operating Materials'!J7</f>
        <v>-15624.71</v>
      </c>
      <c r="K63" s="26">
        <f>'5200-510 Operating Materials'!K7</f>
        <v>20960.770000000004</v>
      </c>
      <c r="L63" s="26">
        <f>'5200-510 Operating Materials'!L7</f>
        <v>2163.86</v>
      </c>
      <c r="M63" s="26">
        <f>'5200-510 Operating Materials'!M7</f>
        <v>775</v>
      </c>
      <c r="N63" s="26">
        <f>'5200-510 Operating Materials'!N7</f>
        <v>775</v>
      </c>
      <c r="O63" s="24">
        <f>'5200-510 Operating Materials'!O7</f>
        <v>-58782.75999999998</v>
      </c>
    </row>
    <row r="64" spans="1:17" x14ac:dyDescent="0.3">
      <c r="O64" s="27"/>
    </row>
    <row r="65" spans="1:18" x14ac:dyDescent="0.3">
      <c r="A65" s="263" t="s">
        <v>50</v>
      </c>
      <c r="B65" s="5" t="s">
        <v>16</v>
      </c>
      <c r="C65" s="16">
        <f>'5201-510 Uniform'!C3</f>
        <v>0</v>
      </c>
      <c r="D65" s="16">
        <f>'5201-510 Uniform'!D3</f>
        <v>360.23</v>
      </c>
      <c r="E65" s="16">
        <f>'5201-510 Uniform'!E3</f>
        <v>695.32</v>
      </c>
      <c r="F65" s="16">
        <f>'5201-510 Uniform'!F3</f>
        <v>0</v>
      </c>
      <c r="G65" s="16">
        <f>'5201-510 Uniform'!G3</f>
        <v>85.42</v>
      </c>
      <c r="H65" s="16">
        <f>'5201-510 Uniform'!H3</f>
        <v>0</v>
      </c>
      <c r="I65" s="16">
        <f>'5201-510 Uniform'!I3</f>
        <v>0</v>
      </c>
      <c r="J65" s="16">
        <f>'5201-510 Uniform'!J3</f>
        <v>0</v>
      </c>
      <c r="K65" s="16">
        <f>'5201-510 Uniform'!K3</f>
        <v>0</v>
      </c>
      <c r="L65" s="16">
        <f>'5201-510 Uniform'!L3</f>
        <v>0</v>
      </c>
      <c r="M65" s="16">
        <f>'5201-510 Uniform'!M3</f>
        <v>0</v>
      </c>
      <c r="N65" s="16">
        <f>'5201-510 Uniform'!N3</f>
        <v>0</v>
      </c>
      <c r="O65" s="17">
        <f>'5201-510 Uniform'!O3</f>
        <v>1140.9700000000003</v>
      </c>
    </row>
    <row r="66" spans="1:18" x14ac:dyDescent="0.3">
      <c r="A66" s="263"/>
      <c r="B66" s="5" t="s">
        <v>31</v>
      </c>
      <c r="C66" s="16">
        <f>'5201-510 Uniform'!C5</f>
        <v>0</v>
      </c>
      <c r="D66" s="16">
        <f>'5201-510 Uniform'!D5</f>
        <v>0</v>
      </c>
      <c r="E66" s="16">
        <f>'5201-510 Uniform'!E5</f>
        <v>0</v>
      </c>
      <c r="F66" s="16">
        <f>'5201-510 Uniform'!F5</f>
        <v>0</v>
      </c>
      <c r="G66" s="16">
        <f>'5201-510 Uniform'!G5</f>
        <v>0</v>
      </c>
      <c r="H66" s="16">
        <f>'5201-510 Uniform'!H5</f>
        <v>0</v>
      </c>
      <c r="I66" s="16">
        <f>'5201-510 Uniform'!I5</f>
        <v>0</v>
      </c>
      <c r="J66" s="16">
        <f>'5201-510 Uniform'!J5</f>
        <v>0</v>
      </c>
      <c r="K66" s="16">
        <f>'5201-510 Uniform'!K5</f>
        <v>0</v>
      </c>
      <c r="L66" s="16">
        <f>'5201-510 Uniform'!L5</f>
        <v>0</v>
      </c>
      <c r="M66" s="16">
        <f>'5201-510 Uniform'!M5</f>
        <v>0</v>
      </c>
      <c r="N66" s="16">
        <f>'5201-510 Uniform'!N5</f>
        <v>0</v>
      </c>
      <c r="O66" s="17">
        <f>'5201-510 Uniform'!O5</f>
        <v>0</v>
      </c>
    </row>
    <row r="67" spans="1:18" x14ac:dyDescent="0.3">
      <c r="A67" s="263"/>
      <c r="B67" s="6" t="s">
        <v>29</v>
      </c>
      <c r="C67" s="18">
        <f>'5201-510 Uniform'!C4</f>
        <v>3500</v>
      </c>
      <c r="D67" s="18">
        <f>'5201-510 Uniform'!D4</f>
        <v>0</v>
      </c>
      <c r="E67" s="18">
        <f>'5201-510 Uniform'!E4</f>
        <v>0</v>
      </c>
      <c r="F67" s="18">
        <f>'5201-510 Uniform'!F4</f>
        <v>0</v>
      </c>
      <c r="G67" s="18">
        <f>'5201-510 Uniform'!G4</f>
        <v>0</v>
      </c>
      <c r="H67" s="18">
        <f>'5201-510 Uniform'!H4</f>
        <v>0</v>
      </c>
      <c r="I67" s="18">
        <f>'5201-510 Uniform'!I4</f>
        <v>0</v>
      </c>
      <c r="J67" s="18">
        <f>'5201-510 Uniform'!J4</f>
        <v>0</v>
      </c>
      <c r="K67" s="18">
        <f>'5201-510 Uniform'!K4</f>
        <v>0</v>
      </c>
      <c r="L67" s="18">
        <f>'5201-510 Uniform'!L4</f>
        <v>0</v>
      </c>
      <c r="M67" s="18">
        <f>'5201-510 Uniform'!M4</f>
        <v>0</v>
      </c>
      <c r="N67" s="18">
        <f>'5201-510 Uniform'!N4</f>
        <v>0</v>
      </c>
      <c r="O67" s="19">
        <f>'5201-510 Uniform'!O4</f>
        <v>3500</v>
      </c>
      <c r="Q67" s="33">
        <f>O67-O65</f>
        <v>2359.0299999999997</v>
      </c>
    </row>
    <row r="68" spans="1:18" x14ac:dyDescent="0.3">
      <c r="A68" s="263"/>
      <c r="B68" s="5" t="s">
        <v>32</v>
      </c>
      <c r="C68" s="16">
        <f>'5201-510 Uniform'!C6</f>
        <v>0</v>
      </c>
      <c r="D68" s="16">
        <f>'5201-510 Uniform'!D6</f>
        <v>0</v>
      </c>
      <c r="E68" s="16">
        <f>'5201-510 Uniform'!E6</f>
        <v>0</v>
      </c>
      <c r="F68" s="16">
        <f>'5201-510 Uniform'!F6</f>
        <v>1593.8</v>
      </c>
      <c r="G68" s="16">
        <f>'5201-510 Uniform'!G6</f>
        <v>0</v>
      </c>
      <c r="H68" s="16">
        <f>'5201-510 Uniform'!H6</f>
        <v>0</v>
      </c>
      <c r="I68" s="16">
        <f>'5201-510 Uniform'!I6</f>
        <v>0</v>
      </c>
      <c r="J68" s="16">
        <f>'5201-510 Uniform'!J6</f>
        <v>93.76</v>
      </c>
      <c r="K68" s="16">
        <f>'5201-510 Uniform'!K6</f>
        <v>0</v>
      </c>
      <c r="L68" s="16">
        <f>'5201-510 Uniform'!L6</f>
        <v>0</v>
      </c>
      <c r="M68" s="16">
        <f>'5201-510 Uniform'!M6</f>
        <v>0</v>
      </c>
      <c r="N68" s="16">
        <f>'5201-510 Uniform'!N6</f>
        <v>0</v>
      </c>
      <c r="O68" s="17">
        <f>'5201-510 Uniform'!O6</f>
        <v>1687.56</v>
      </c>
    </row>
    <row r="69" spans="1:18" x14ac:dyDescent="0.3">
      <c r="A69" s="22"/>
      <c r="B69" s="23" t="s">
        <v>447</v>
      </c>
      <c r="C69" s="26">
        <f>'5201-510 Uniform'!C7</f>
        <v>0</v>
      </c>
      <c r="D69" s="26">
        <f>'5201-510 Uniform'!D7</f>
        <v>0</v>
      </c>
      <c r="E69" s="26">
        <f>'5201-510 Uniform'!E7</f>
        <v>0</v>
      </c>
      <c r="F69" s="26">
        <f>'5201-510 Uniform'!F7</f>
        <v>-1593.8</v>
      </c>
      <c r="G69" s="26">
        <f>'5201-510 Uniform'!G7</f>
        <v>0</v>
      </c>
      <c r="H69" s="26">
        <f>'5201-510 Uniform'!H7</f>
        <v>0</v>
      </c>
      <c r="I69" s="26">
        <f>'5201-510 Uniform'!I7</f>
        <v>0</v>
      </c>
      <c r="J69" s="26">
        <f>'5201-510 Uniform'!J7</f>
        <v>-93.76</v>
      </c>
      <c r="K69" s="26">
        <f>'5201-510 Uniform'!K7</f>
        <v>0</v>
      </c>
      <c r="L69" s="26">
        <f>'5201-510 Uniform'!L7</f>
        <v>0</v>
      </c>
      <c r="M69" s="26">
        <f>'5201-510 Uniform'!M7</f>
        <v>0</v>
      </c>
      <c r="N69" s="26">
        <f>'5201-510 Uniform'!N7</f>
        <v>0</v>
      </c>
      <c r="O69" s="24">
        <f>'5201-510 Uniform'!O7</f>
        <v>-1687.56</v>
      </c>
    </row>
    <row r="70" spans="1:18" x14ac:dyDescent="0.3">
      <c r="O70" s="27"/>
    </row>
    <row r="71" spans="1:18" x14ac:dyDescent="0.3">
      <c r="A71" s="263" t="s">
        <v>52</v>
      </c>
      <c r="B71" s="5" t="s">
        <v>16</v>
      </c>
      <c r="C71" s="16">
        <f>'5203-510 Furnishings'!C3</f>
        <v>3692.5</v>
      </c>
      <c r="D71" s="16">
        <f>'5203-510 Furnishings'!D3</f>
        <v>0</v>
      </c>
      <c r="E71" s="16">
        <f>'5203-510 Furnishings'!E3</f>
        <v>0</v>
      </c>
      <c r="F71" s="16">
        <f>'5203-510 Furnishings'!F3</f>
        <v>0</v>
      </c>
      <c r="G71" s="16">
        <f>'5203-510 Furnishings'!G3</f>
        <v>0</v>
      </c>
      <c r="H71" s="16">
        <f>'5203-510 Furnishings'!H3</f>
        <v>0</v>
      </c>
      <c r="I71" s="16">
        <f>'5203-510 Furnishings'!I3</f>
        <v>0</v>
      </c>
      <c r="J71" s="16">
        <f>'5203-510 Furnishings'!J3</f>
        <v>0</v>
      </c>
      <c r="K71" s="16">
        <f>'5203-510 Furnishings'!K3</f>
        <v>0</v>
      </c>
      <c r="L71" s="16">
        <f>'5203-510 Furnishings'!L3</f>
        <v>0</v>
      </c>
      <c r="M71" s="16">
        <f>'5203-510 Furnishings'!M3</f>
        <v>0</v>
      </c>
      <c r="N71" s="16">
        <f>'5203-510 Furnishings'!N3</f>
        <v>0</v>
      </c>
      <c r="O71" s="17">
        <f>'5203-510 Furnishings'!O3</f>
        <v>0</v>
      </c>
      <c r="R71" t="s">
        <v>53</v>
      </c>
    </row>
    <row r="72" spans="1:18" x14ac:dyDescent="0.3">
      <c r="A72" s="263"/>
      <c r="B72" s="5" t="s">
        <v>31</v>
      </c>
      <c r="C72" s="16">
        <f>'5203-510 Furnishings'!C5</f>
        <v>0</v>
      </c>
      <c r="D72" s="16">
        <f>'5203-510 Furnishings'!D5</f>
        <v>0</v>
      </c>
      <c r="E72" s="16">
        <f>'5203-510 Furnishings'!E5</f>
        <v>0</v>
      </c>
      <c r="F72" s="16">
        <f>'5203-510 Furnishings'!F5</f>
        <v>0</v>
      </c>
      <c r="G72" s="16">
        <f>'5203-510 Furnishings'!G5</f>
        <v>0</v>
      </c>
      <c r="H72" s="16">
        <f>'5203-510 Furnishings'!H5</f>
        <v>0</v>
      </c>
      <c r="I72" s="16">
        <f>'5203-510 Furnishings'!I5</f>
        <v>0</v>
      </c>
      <c r="J72" s="16">
        <f>'5203-510 Furnishings'!J5</f>
        <v>0</v>
      </c>
      <c r="K72" s="16">
        <f>'5203-510 Furnishings'!K5</f>
        <v>0</v>
      </c>
      <c r="L72" s="16">
        <f>'5203-510 Furnishings'!L5</f>
        <v>0</v>
      </c>
      <c r="M72" s="16">
        <f>'5203-510 Furnishings'!M5</f>
        <v>0</v>
      </c>
      <c r="N72" s="16">
        <f>'5203-510 Furnishings'!N5</f>
        <v>0</v>
      </c>
      <c r="O72" s="17">
        <f>'5203-510 Furnishings'!O5</f>
        <v>0</v>
      </c>
    </row>
    <row r="73" spans="1:18" x14ac:dyDescent="0.3">
      <c r="A73" s="263"/>
      <c r="B73" s="6" t="s">
        <v>29</v>
      </c>
      <c r="C73" s="18">
        <f>'5203-510 Furnishings'!C4</f>
        <v>38895.53</v>
      </c>
      <c r="D73" s="18">
        <f>'5203-510 Furnishings'!D4</f>
        <v>0</v>
      </c>
      <c r="E73" s="18">
        <f>'5203-510 Furnishings'!E4</f>
        <v>0</v>
      </c>
      <c r="F73" s="18">
        <f>'5203-510 Furnishings'!F4</f>
        <v>236.17</v>
      </c>
      <c r="G73" s="18">
        <f>'5203-510 Furnishings'!G4</f>
        <v>0</v>
      </c>
      <c r="H73" s="18">
        <f>'5203-510 Furnishings'!H4</f>
        <v>0</v>
      </c>
      <c r="I73" s="18">
        <f>'5203-510 Furnishings'!I4</f>
        <v>0</v>
      </c>
      <c r="J73" s="18">
        <f>'5203-510 Furnishings'!J4</f>
        <v>0</v>
      </c>
      <c r="K73" s="18">
        <f>'5203-510 Furnishings'!K4</f>
        <v>0</v>
      </c>
      <c r="L73" s="18">
        <f>'5203-510 Furnishings'!L4</f>
        <v>0</v>
      </c>
      <c r="M73" s="18">
        <f>'5203-510 Furnishings'!M4</f>
        <v>0</v>
      </c>
      <c r="N73" s="18">
        <f>'5203-510 Furnishings'!N4</f>
        <v>0</v>
      </c>
      <c r="O73" s="19">
        <f>'5203-510 Furnishings'!O4</f>
        <v>39131.699999999997</v>
      </c>
      <c r="Q73" s="33">
        <f>O73-O71</f>
        <v>39131.699999999997</v>
      </c>
      <c r="R73" t="s">
        <v>54</v>
      </c>
    </row>
    <row r="74" spans="1:18" x14ac:dyDescent="0.3">
      <c r="A74" s="263"/>
      <c r="B74" s="5" t="s">
        <v>32</v>
      </c>
      <c r="C74" s="16">
        <f>'5203-510 Furnishings'!C6</f>
        <v>0</v>
      </c>
      <c r="D74" s="16">
        <f>'5203-510 Furnishings'!D6</f>
        <v>0</v>
      </c>
      <c r="E74" s="16">
        <f>'5203-510 Furnishings'!E6</f>
        <v>40709.160000000003</v>
      </c>
      <c r="F74" s="16">
        <f>'5203-510 Furnishings'!F6</f>
        <v>3858.19</v>
      </c>
      <c r="G74" s="16">
        <f>'5203-510 Furnishings'!G6</f>
        <v>243.55</v>
      </c>
      <c r="H74" s="16">
        <f>'5203-510 Furnishings'!H6</f>
        <v>0</v>
      </c>
      <c r="I74" s="16">
        <f>'5203-510 Furnishings'!I6</f>
        <v>54.69</v>
      </c>
      <c r="J74" s="16">
        <f>'5203-510 Furnishings'!J6</f>
        <v>28.26</v>
      </c>
      <c r="K74" s="16">
        <f>'5203-510 Furnishings'!K6</f>
        <v>56.69</v>
      </c>
      <c r="L74" s="16">
        <f>'5203-510 Furnishings'!L6</f>
        <v>0</v>
      </c>
      <c r="M74" s="16">
        <f>'5203-510 Furnishings'!M6</f>
        <v>0</v>
      </c>
      <c r="N74" s="16">
        <f>'5203-510 Furnishings'!N6</f>
        <v>0</v>
      </c>
      <c r="O74" s="17">
        <f>'5203-510 Furnishings'!O6</f>
        <v>44950.54</v>
      </c>
    </row>
    <row r="75" spans="1:18" x14ac:dyDescent="0.3">
      <c r="A75" s="22"/>
      <c r="B75" s="23" t="s">
        <v>447</v>
      </c>
      <c r="C75" s="26">
        <f>'5203-510 Furnishings'!C7</f>
        <v>0</v>
      </c>
      <c r="D75" s="26">
        <f>'5203-510 Furnishings'!D7</f>
        <v>0</v>
      </c>
      <c r="E75" s="26">
        <f>'5203-510 Furnishings'!E7</f>
        <v>-40709.160000000003</v>
      </c>
      <c r="F75" s="26">
        <f>'5203-510 Furnishings'!F7</f>
        <v>-3858.19</v>
      </c>
      <c r="G75" s="26">
        <f>'5203-510 Furnishings'!G7</f>
        <v>-243.55</v>
      </c>
      <c r="H75" s="26">
        <f>'5203-510 Furnishings'!H7</f>
        <v>0</v>
      </c>
      <c r="I75" s="26">
        <f>'5203-510 Furnishings'!I7</f>
        <v>-54.69</v>
      </c>
      <c r="J75" s="26">
        <f>'5203-510 Furnishings'!J7</f>
        <v>-28.26</v>
      </c>
      <c r="K75" s="26">
        <f>'5203-510 Furnishings'!K7</f>
        <v>-56.69</v>
      </c>
      <c r="L75" s="26">
        <f>'5203-510 Furnishings'!L7</f>
        <v>0</v>
      </c>
      <c r="M75" s="26">
        <f>'5203-510 Furnishings'!M7</f>
        <v>0</v>
      </c>
      <c r="N75" s="26">
        <f>'5203-510 Furnishings'!N7</f>
        <v>0</v>
      </c>
      <c r="O75" s="24">
        <f>'5203-510 Furnishings'!O7</f>
        <v>-44950.54</v>
      </c>
    </row>
    <row r="76" spans="1:18" x14ac:dyDescent="0.3">
      <c r="O76" s="27"/>
    </row>
    <row r="77" spans="1:18" x14ac:dyDescent="0.3">
      <c r="A77" s="263" t="s">
        <v>56</v>
      </c>
      <c r="B77" s="5" t="s">
        <v>16</v>
      </c>
      <c r="C77" s="16">
        <f>'5312-510 General Contracted '!C3</f>
        <v>0</v>
      </c>
      <c r="D77" s="16">
        <f>'5312-510 General Contracted '!D3</f>
        <v>0</v>
      </c>
      <c r="E77" s="16">
        <f>'5312-510 General Contracted '!E3</f>
        <v>0</v>
      </c>
      <c r="F77" s="16">
        <f>'5312-510 General Contracted '!F3</f>
        <v>0</v>
      </c>
      <c r="G77" s="16">
        <f>'5312-510 General Contracted '!G3</f>
        <v>0</v>
      </c>
      <c r="H77" s="16">
        <f>'5312-510 General Contracted '!H3</f>
        <v>0</v>
      </c>
      <c r="I77" s="16">
        <f>'5312-510 General Contracted '!I3</f>
        <v>0</v>
      </c>
      <c r="J77" s="16">
        <f>'5312-510 General Contracted '!J3</f>
        <v>0</v>
      </c>
      <c r="K77" s="16">
        <f>'5312-510 General Contracted '!K3</f>
        <v>10240</v>
      </c>
      <c r="L77" s="16">
        <f>'5312-510 General Contracted '!L3</f>
        <v>10933.35</v>
      </c>
      <c r="M77" s="16">
        <f>'5312-510 General Contracted '!M3</f>
        <v>0</v>
      </c>
      <c r="N77" s="16">
        <f>'5312-510 General Contracted '!N3</f>
        <v>0</v>
      </c>
      <c r="O77" s="17">
        <f>'5312-510 General Contracted '!O3</f>
        <v>21173.35</v>
      </c>
    </row>
    <row r="78" spans="1:18" x14ac:dyDescent="0.3">
      <c r="A78" s="263"/>
      <c r="B78" s="5" t="s">
        <v>31</v>
      </c>
      <c r="C78" s="16">
        <f>'5312-510 General Contracted '!C5</f>
        <v>0</v>
      </c>
      <c r="D78" s="16">
        <f>'5312-510 General Contracted '!D5</f>
        <v>0</v>
      </c>
      <c r="E78" s="16">
        <f>'5312-510 General Contracted '!E5</f>
        <v>0</v>
      </c>
      <c r="F78" s="16">
        <f>'5312-510 General Contracted '!F5</f>
        <v>0</v>
      </c>
      <c r="G78" s="16">
        <f>'5312-510 General Contracted '!G5</f>
        <v>0</v>
      </c>
      <c r="H78" s="16">
        <f>'5312-510 General Contracted '!H5</f>
        <v>0</v>
      </c>
      <c r="I78" s="16">
        <f>'5312-510 General Contracted '!I5</f>
        <v>0</v>
      </c>
      <c r="J78" s="16">
        <f>'5312-510 General Contracted '!J5</f>
        <v>0</v>
      </c>
      <c r="K78" s="16">
        <f>'5312-510 General Contracted '!K5</f>
        <v>0</v>
      </c>
      <c r="L78" s="16">
        <f>'5312-510 General Contracted '!L5</f>
        <v>0</v>
      </c>
      <c r="M78" s="16">
        <f>'5312-510 General Contracted '!M5</f>
        <v>0</v>
      </c>
      <c r="N78" s="16">
        <f>'5312-510 General Contracted '!N5</f>
        <v>0</v>
      </c>
      <c r="O78" s="17">
        <f>'5312-510 General Contracted '!O5</f>
        <v>0</v>
      </c>
    </row>
    <row r="79" spans="1:18" x14ac:dyDescent="0.3">
      <c r="A79" s="263"/>
      <c r="B79" s="6" t="s">
        <v>29</v>
      </c>
      <c r="C79" s="18">
        <f>'5312-510 General Contracted '!C4</f>
        <v>0</v>
      </c>
      <c r="D79" s="18">
        <f>'5312-510 General Contracted '!D4</f>
        <v>0</v>
      </c>
      <c r="E79" s="18">
        <f>'5312-510 General Contracted '!E4</f>
        <v>0</v>
      </c>
      <c r="F79" s="18">
        <f>'5312-510 General Contracted '!F4</f>
        <v>0</v>
      </c>
      <c r="G79" s="18">
        <f>'5312-510 General Contracted '!G4</f>
        <v>0</v>
      </c>
      <c r="H79" s="18">
        <f>'5312-510 General Contracted '!H4</f>
        <v>0</v>
      </c>
      <c r="I79" s="18">
        <f>'5312-510 General Contracted '!I4</f>
        <v>0</v>
      </c>
      <c r="J79" s="18">
        <f>'5312-510 General Contracted '!J4</f>
        <v>0</v>
      </c>
      <c r="K79" s="18">
        <f>'5312-510 General Contracted '!K4</f>
        <v>0</v>
      </c>
      <c r="L79" s="18">
        <f>'5312-510 General Contracted '!L4</f>
        <v>0</v>
      </c>
      <c r="M79" s="18">
        <f>'5312-510 General Contracted '!M4</f>
        <v>0</v>
      </c>
      <c r="N79" s="18">
        <f>'5312-510 General Contracted '!N4</f>
        <v>0</v>
      </c>
      <c r="O79" s="19">
        <f>'5312-510 General Contracted '!O4</f>
        <v>0</v>
      </c>
      <c r="Q79" s="33">
        <f>O79-O77</f>
        <v>-21173.35</v>
      </c>
    </row>
    <row r="80" spans="1:18" x14ac:dyDescent="0.3">
      <c r="A80" s="263"/>
      <c r="B80" s="5" t="s">
        <v>32</v>
      </c>
      <c r="C80" s="16">
        <f>'5312-510 General Contracted '!C6</f>
        <v>0</v>
      </c>
      <c r="D80" s="16">
        <f>'5312-510 General Contracted '!D6</f>
        <v>0</v>
      </c>
      <c r="E80" s="16">
        <f>'5312-510 General Contracted '!E6</f>
        <v>0</v>
      </c>
      <c r="F80" s="16">
        <f>'5312-510 General Contracted '!F6</f>
        <v>0</v>
      </c>
      <c r="G80" s="16">
        <f>'5312-510 General Contracted '!G6</f>
        <v>0</v>
      </c>
      <c r="H80" s="16">
        <f>'5312-510 General Contracted '!H6</f>
        <v>0</v>
      </c>
      <c r="I80" s="16">
        <f>'5312-510 General Contracted '!I6</f>
        <v>0</v>
      </c>
      <c r="J80" s="16">
        <f>'5312-510 General Contracted '!J6</f>
        <v>0</v>
      </c>
      <c r="K80" s="16">
        <f>'5312-510 General Contracted '!K6</f>
        <v>0</v>
      </c>
      <c r="L80" s="16">
        <f>'5312-510 General Contracted '!L6</f>
        <v>0</v>
      </c>
      <c r="M80" s="16">
        <f>'5312-510 General Contracted '!M6</f>
        <v>0</v>
      </c>
      <c r="N80" s="16">
        <f>'5312-510 General Contracted '!N6</f>
        <v>0</v>
      </c>
      <c r="O80" s="17">
        <f>'5312-510 General Contracted '!O6</f>
        <v>0</v>
      </c>
    </row>
    <row r="81" spans="1:18" x14ac:dyDescent="0.3">
      <c r="A81" s="264"/>
      <c r="B81" s="23" t="s">
        <v>447</v>
      </c>
      <c r="C81" s="26">
        <f>'5312-510 General Contracted '!C7</f>
        <v>0</v>
      </c>
      <c r="D81" s="26">
        <f>'5312-510 General Contracted '!D7</f>
        <v>0</v>
      </c>
      <c r="E81" s="26">
        <f>'5312-510 General Contracted '!E7</f>
        <v>0</v>
      </c>
      <c r="F81" s="26">
        <f>'5312-510 General Contracted '!F7</f>
        <v>0</v>
      </c>
      <c r="G81" s="26">
        <f>'5312-510 General Contracted '!G7</f>
        <v>0</v>
      </c>
      <c r="H81" s="26">
        <f>'5312-510 General Contracted '!H7</f>
        <v>0</v>
      </c>
      <c r="I81" s="26">
        <f>'5312-510 General Contracted '!I7</f>
        <v>0</v>
      </c>
      <c r="J81" s="26">
        <f>'5312-510 General Contracted '!J7</f>
        <v>0</v>
      </c>
      <c r="K81" s="26">
        <f>'5312-510 General Contracted '!K7</f>
        <v>0</v>
      </c>
      <c r="L81" s="26">
        <f>'5312-510 General Contracted '!L7</f>
        <v>0</v>
      </c>
      <c r="M81" s="26">
        <f>'5312-510 General Contracted '!M7</f>
        <v>0</v>
      </c>
      <c r="N81" s="26">
        <f>'5312-510 General Contracted '!N7</f>
        <v>0</v>
      </c>
      <c r="O81" s="24">
        <f>'5312-510 General Contracted '!O7</f>
        <v>0</v>
      </c>
    </row>
    <row r="82" spans="1:18" x14ac:dyDescent="0.3">
      <c r="O82" s="27"/>
    </row>
    <row r="83" spans="1:18" x14ac:dyDescent="0.3">
      <c r="A83" s="263" t="s">
        <v>58</v>
      </c>
      <c r="B83" s="5" t="s">
        <v>16</v>
      </c>
      <c r="C83" s="16">
        <f>'5313-510 Telecommunications'!C3</f>
        <v>216.67</v>
      </c>
      <c r="D83" s="16">
        <f>'5313-510 Telecommunications'!D3</f>
        <v>216.67</v>
      </c>
      <c r="E83" s="16">
        <f>'5313-510 Telecommunications'!E3</f>
        <v>216.67</v>
      </c>
      <c r="F83" s="16">
        <f>'5313-510 Telecommunications'!F3</f>
        <v>216.67</v>
      </c>
      <c r="G83" s="16">
        <f>'5313-510 Telecommunications'!G3</f>
        <v>216.67</v>
      </c>
      <c r="H83" s="16">
        <f>'5313-510 Telecommunications'!H3</f>
        <v>216.67</v>
      </c>
      <c r="I83" s="16">
        <f>'5313-510 Telecommunications'!I3</f>
        <v>216.67</v>
      </c>
      <c r="J83" s="16">
        <f>'5313-510 Telecommunications'!J3</f>
        <v>216.67</v>
      </c>
      <c r="K83" s="16">
        <f>'5313-510 Telecommunications'!K3</f>
        <v>216.67</v>
      </c>
      <c r="L83" s="16">
        <f>'5313-510 Telecommunications'!L3</f>
        <v>216.67</v>
      </c>
      <c r="M83" s="16">
        <f>'5313-510 Telecommunications'!M3</f>
        <v>216.67</v>
      </c>
      <c r="N83" s="16">
        <f>'5313-510 Telecommunications'!N3</f>
        <v>216.67</v>
      </c>
      <c r="O83" s="17">
        <f>'5313-510 Telecommunications'!O3</f>
        <v>2600.0400000000004</v>
      </c>
    </row>
    <row r="84" spans="1:18" x14ac:dyDescent="0.3">
      <c r="A84" s="263"/>
      <c r="B84" s="5" t="s">
        <v>31</v>
      </c>
      <c r="C84" s="16">
        <f>'5313-510 Telecommunications'!C5</f>
        <v>216.67</v>
      </c>
      <c r="D84" s="16">
        <f>'5313-510 Telecommunications'!D5</f>
        <v>216.67</v>
      </c>
      <c r="E84" s="16">
        <f>'5313-510 Telecommunications'!E5</f>
        <v>216.67</v>
      </c>
      <c r="F84" s="16">
        <f>'5313-510 Telecommunications'!F5</f>
        <v>216.67</v>
      </c>
      <c r="G84" s="16">
        <f>'5313-510 Telecommunications'!G5</f>
        <v>216.67</v>
      </c>
      <c r="H84" s="16">
        <f>'5313-510 Telecommunications'!H5</f>
        <v>216.67</v>
      </c>
      <c r="I84" s="16">
        <f>'5313-510 Telecommunications'!I5</f>
        <v>216.67</v>
      </c>
      <c r="J84" s="16">
        <f>'5313-510 Telecommunications'!J5</f>
        <v>216.67</v>
      </c>
      <c r="K84" s="16">
        <f>'5313-510 Telecommunications'!K5</f>
        <v>216.67</v>
      </c>
      <c r="L84" s="16">
        <f>'5313-510 Telecommunications'!L5</f>
        <v>216.67</v>
      </c>
      <c r="M84" s="16">
        <f>'5313-510 Telecommunications'!M5</f>
        <v>216.67</v>
      </c>
      <c r="N84" s="16">
        <f>'5313-510 Telecommunications'!N5</f>
        <v>216.67</v>
      </c>
      <c r="O84" s="17">
        <f>'5313-510 Telecommunications'!O5</f>
        <v>2600.0400000000004</v>
      </c>
    </row>
    <row r="85" spans="1:18" x14ac:dyDescent="0.3">
      <c r="A85" s="263"/>
      <c r="B85" s="6" t="s">
        <v>29</v>
      </c>
      <c r="C85" s="18">
        <f>'5313-510 Telecommunications'!C4</f>
        <v>216.67</v>
      </c>
      <c r="D85" s="18">
        <f>'5313-510 Telecommunications'!D4</f>
        <v>216.67</v>
      </c>
      <c r="E85" s="18">
        <f>'5313-510 Telecommunications'!E4</f>
        <v>216.67</v>
      </c>
      <c r="F85" s="18">
        <f>'5313-510 Telecommunications'!F4</f>
        <v>216.67</v>
      </c>
      <c r="G85" s="18">
        <f>'5313-510 Telecommunications'!G4</f>
        <v>216.67</v>
      </c>
      <c r="H85" s="18">
        <f>'5313-510 Telecommunications'!H4</f>
        <v>216.67</v>
      </c>
      <c r="I85" s="18">
        <f>'5313-510 Telecommunications'!I4</f>
        <v>216.67</v>
      </c>
      <c r="J85" s="18">
        <f>'5313-510 Telecommunications'!J4</f>
        <v>216.67</v>
      </c>
      <c r="K85" s="18">
        <f>'5313-510 Telecommunications'!K4</f>
        <v>216.67</v>
      </c>
      <c r="L85" s="18">
        <f>'5313-510 Telecommunications'!L4</f>
        <v>216.67</v>
      </c>
      <c r="M85" s="18">
        <f>'5313-510 Telecommunications'!M4</f>
        <v>216.67</v>
      </c>
      <c r="N85" s="18">
        <f>'5313-510 Telecommunications'!N4</f>
        <v>216.67</v>
      </c>
      <c r="O85" s="19">
        <f>'5313-510 Telecommunications'!O4</f>
        <v>2600.0400000000004</v>
      </c>
      <c r="Q85" s="33">
        <f>O85-O83</f>
        <v>0</v>
      </c>
      <c r="R85" t="s">
        <v>59</v>
      </c>
    </row>
    <row r="86" spans="1:18" x14ac:dyDescent="0.3">
      <c r="A86" s="263"/>
      <c r="B86" s="5" t="s">
        <v>32</v>
      </c>
      <c r="C86" s="16">
        <f>'5313-510 Telecommunications'!C6</f>
        <v>0</v>
      </c>
      <c r="D86" s="16">
        <f>'5313-510 Telecommunications'!D6</f>
        <v>0</v>
      </c>
      <c r="E86" s="16">
        <f>'5313-510 Telecommunications'!E6</f>
        <v>0</v>
      </c>
      <c r="F86" s="16">
        <f>'5313-510 Telecommunications'!F6</f>
        <v>0</v>
      </c>
      <c r="G86" s="16">
        <f>'5313-510 Telecommunications'!G6</f>
        <v>0</v>
      </c>
      <c r="H86" s="16">
        <f>'5313-510 Telecommunications'!H6</f>
        <v>0</v>
      </c>
      <c r="I86" s="16">
        <f>'5313-510 Telecommunications'!I6</f>
        <v>0</v>
      </c>
      <c r="J86" s="16">
        <f>'5313-510 Telecommunications'!J6</f>
        <v>0</v>
      </c>
      <c r="K86" s="16">
        <f>'5313-510 Telecommunications'!K6</f>
        <v>0</v>
      </c>
      <c r="L86" s="16">
        <f>'5313-510 Telecommunications'!L6</f>
        <v>0</v>
      </c>
      <c r="M86" s="16">
        <f>'5313-510 Telecommunications'!M6</f>
        <v>0</v>
      </c>
      <c r="N86" s="16">
        <f>'5313-510 Telecommunications'!N6</f>
        <v>0</v>
      </c>
      <c r="O86" s="17">
        <f>'5313-510 Telecommunications'!O6</f>
        <v>0</v>
      </c>
    </row>
    <row r="87" spans="1:18" x14ac:dyDescent="0.3">
      <c r="A87" s="264"/>
      <c r="B87" s="23" t="s">
        <v>447</v>
      </c>
      <c r="C87" s="26">
        <f>'5313-510 Telecommunications'!C7</f>
        <v>216.67</v>
      </c>
      <c r="D87" s="26">
        <f>'5313-510 Telecommunications'!D7</f>
        <v>216.67</v>
      </c>
      <c r="E87" s="26">
        <f>'5313-510 Telecommunications'!E7</f>
        <v>216.67</v>
      </c>
      <c r="F87" s="26">
        <f>'5313-510 Telecommunications'!F7</f>
        <v>216.67</v>
      </c>
      <c r="G87" s="26">
        <f>'5313-510 Telecommunications'!G7</f>
        <v>216.67</v>
      </c>
      <c r="H87" s="26">
        <f>'5313-510 Telecommunications'!H7</f>
        <v>216.67</v>
      </c>
      <c r="I87" s="26">
        <f>'5313-510 Telecommunications'!I7</f>
        <v>216.67</v>
      </c>
      <c r="J87" s="26">
        <f>'5313-510 Telecommunications'!J7</f>
        <v>216.67</v>
      </c>
      <c r="K87" s="26">
        <f>'5313-510 Telecommunications'!K7</f>
        <v>216.67</v>
      </c>
      <c r="L87" s="26">
        <f>'5313-510 Telecommunications'!L7</f>
        <v>216.67</v>
      </c>
      <c r="M87" s="26">
        <f>'5313-510 Telecommunications'!M7</f>
        <v>216.67</v>
      </c>
      <c r="N87" s="26">
        <f>'5313-510 Telecommunications'!N7</f>
        <v>216.67</v>
      </c>
      <c r="O87" s="24">
        <f>'5313-510 Telecommunications'!O7</f>
        <v>2600.0400000000004</v>
      </c>
    </row>
    <row r="88" spans="1:18" x14ac:dyDescent="0.3">
      <c r="O88" s="27"/>
    </row>
    <row r="89" spans="1:18" ht="15" customHeight="1" x14ac:dyDescent="0.3">
      <c r="A89" s="263" t="s">
        <v>61</v>
      </c>
      <c r="B89" s="5" t="s">
        <v>16</v>
      </c>
      <c r="C89" s="16">
        <f>'5314-510 Postage &amp; Freight'!C3</f>
        <v>0</v>
      </c>
      <c r="D89" s="16">
        <f>'5314-510 Postage &amp; Freight'!D3</f>
        <v>0</v>
      </c>
      <c r="E89" s="16">
        <f>'5314-510 Postage &amp; Freight'!E3</f>
        <v>0</v>
      </c>
      <c r="F89" s="16">
        <f>'5314-510 Postage &amp; Freight'!F3</f>
        <v>0</v>
      </c>
      <c r="G89" s="16">
        <f>'5314-510 Postage &amp; Freight'!G3</f>
        <v>0</v>
      </c>
      <c r="H89" s="16">
        <f>'5314-510 Postage &amp; Freight'!H3</f>
        <v>0</v>
      </c>
      <c r="I89" s="16">
        <f>'5314-510 Postage &amp; Freight'!I3</f>
        <v>0</v>
      </c>
      <c r="J89" s="16">
        <f>'5314-510 Postage &amp; Freight'!J3</f>
        <v>0</v>
      </c>
      <c r="K89" s="16">
        <f>'5314-510 Postage &amp; Freight'!K3</f>
        <v>734.55000000000007</v>
      </c>
      <c r="L89" s="16">
        <f>'5314-510 Postage &amp; Freight'!L3</f>
        <v>0</v>
      </c>
      <c r="M89" s="16">
        <f>'5314-510 Postage &amp; Freight'!M3</f>
        <v>0</v>
      </c>
      <c r="N89" s="16">
        <f>'5314-510 Postage &amp; Freight'!N3</f>
        <v>0</v>
      </c>
      <c r="O89" s="17">
        <f>'5314-510 Postage &amp; Freight'!O3</f>
        <v>734.55000000000007</v>
      </c>
    </row>
    <row r="90" spans="1:18" x14ac:dyDescent="0.3">
      <c r="A90" s="263"/>
      <c r="B90" s="5" t="s">
        <v>31</v>
      </c>
      <c r="C90" s="16">
        <f>'5314-510 Postage &amp; Freight'!C5</f>
        <v>0</v>
      </c>
      <c r="D90" s="16">
        <f>'5314-510 Postage &amp; Freight'!D5</f>
        <v>0</v>
      </c>
      <c r="E90" s="16">
        <f>'5314-510 Postage &amp; Freight'!E5</f>
        <v>0</v>
      </c>
      <c r="F90" s="16">
        <f>'5314-510 Postage &amp; Freight'!F5</f>
        <v>0</v>
      </c>
      <c r="G90" s="16">
        <f>'5314-510 Postage &amp; Freight'!G5</f>
        <v>0</v>
      </c>
      <c r="H90" s="16">
        <f>'5314-510 Postage &amp; Freight'!H5</f>
        <v>0</v>
      </c>
      <c r="I90" s="16">
        <f>'5314-510 Postage &amp; Freight'!I5</f>
        <v>0</v>
      </c>
      <c r="J90" s="16">
        <f>'5314-510 Postage &amp; Freight'!J5</f>
        <v>0</v>
      </c>
      <c r="K90" s="16">
        <f>'5314-510 Postage &amp; Freight'!K5</f>
        <v>0</v>
      </c>
      <c r="L90" s="16">
        <f>'5314-510 Postage &amp; Freight'!L5</f>
        <v>0</v>
      </c>
      <c r="M90" s="16">
        <f>'5314-510 Postage &amp; Freight'!M5</f>
        <v>0</v>
      </c>
      <c r="N90" s="16">
        <f>'5314-510 Postage &amp; Freight'!N5</f>
        <v>0</v>
      </c>
      <c r="O90" s="17">
        <f>'5314-510 Postage &amp; Freight'!O5</f>
        <v>0</v>
      </c>
    </row>
    <row r="91" spans="1:18" x14ac:dyDescent="0.3">
      <c r="A91" s="263"/>
      <c r="B91" s="6" t="s">
        <v>29</v>
      </c>
      <c r="C91" s="18">
        <f>'5314-510 Postage &amp; Freight'!C4</f>
        <v>0</v>
      </c>
      <c r="D91" s="18">
        <f>'5314-510 Postage &amp; Freight'!D4</f>
        <v>0</v>
      </c>
      <c r="E91" s="18">
        <f>'5314-510 Postage &amp; Freight'!E4</f>
        <v>0</v>
      </c>
      <c r="F91" s="18">
        <f>'5314-510 Postage &amp; Freight'!F4</f>
        <v>0</v>
      </c>
      <c r="G91" s="18">
        <v>0</v>
      </c>
      <c r="H91" s="18">
        <f>'5314-510 Postage &amp; Freight'!H4</f>
        <v>0</v>
      </c>
      <c r="I91" s="18">
        <f>'5314-510 Postage &amp; Freight'!I4</f>
        <v>0</v>
      </c>
      <c r="J91" s="18">
        <f>'5314-510 Postage &amp; Freight'!J4</f>
        <v>0</v>
      </c>
      <c r="K91" s="18">
        <v>0</v>
      </c>
      <c r="L91" s="18">
        <f>'5314-510 Postage &amp; Freight'!L4</f>
        <v>0</v>
      </c>
      <c r="M91" s="18">
        <f>'5314-510 Postage &amp; Freight'!M4</f>
        <v>0</v>
      </c>
      <c r="N91" s="18">
        <f>'5314-510 Postage &amp; Freight'!N4</f>
        <v>0</v>
      </c>
      <c r="O91" s="19">
        <f>'5314-510 Postage &amp; Freight'!O4</f>
        <v>734</v>
      </c>
      <c r="Q91" s="33">
        <f>O91-O89</f>
        <v>-0.55000000000006821</v>
      </c>
    </row>
    <row r="92" spans="1:18" x14ac:dyDescent="0.3">
      <c r="A92" s="263"/>
      <c r="B92" s="5" t="s">
        <v>32</v>
      </c>
      <c r="C92" s="16">
        <f>'5314-510 Postage &amp; Freight'!C6</f>
        <v>0</v>
      </c>
      <c r="D92" s="16">
        <f>'5314-510 Postage &amp; Freight'!D6</f>
        <v>0</v>
      </c>
      <c r="E92" s="16">
        <f>'5314-510 Postage &amp; Freight'!E6</f>
        <v>33.94</v>
      </c>
      <c r="F92" s="16">
        <f>'5314-510 Postage &amp; Freight'!F6</f>
        <v>0</v>
      </c>
      <c r="G92" s="16">
        <f>'5314-510 Postage &amp; Freight'!G6</f>
        <v>0</v>
      </c>
      <c r="H92" s="16">
        <f>'5314-510 Postage &amp; Freight'!H6</f>
        <v>241.55</v>
      </c>
      <c r="I92" s="16">
        <f>'5314-510 Postage &amp; Freight'!I6</f>
        <v>194.31</v>
      </c>
      <c r="J92" s="16">
        <f>'5314-510 Postage &amp; Freight'!J6</f>
        <v>249.19</v>
      </c>
      <c r="K92" s="16">
        <f>'5314-510 Postage &amp; Freight'!K6</f>
        <v>78.099999999999994</v>
      </c>
      <c r="L92" s="16">
        <f>'5314-510 Postage &amp; Freight'!L6</f>
        <v>0</v>
      </c>
      <c r="M92" s="16">
        <f>'5314-510 Postage &amp; Freight'!M6</f>
        <v>0</v>
      </c>
      <c r="N92" s="16">
        <f>'5314-510 Postage &amp; Freight'!N6</f>
        <v>0</v>
      </c>
      <c r="O92" s="17">
        <f>'5314-510 Postage &amp; Freight'!O6</f>
        <v>797.09</v>
      </c>
    </row>
    <row r="93" spans="1:18" x14ac:dyDescent="0.3">
      <c r="A93" s="264"/>
      <c r="B93" s="23" t="s">
        <v>447</v>
      </c>
      <c r="C93" s="26">
        <f>'5314-510 Postage &amp; Freight'!C7</f>
        <v>0</v>
      </c>
      <c r="D93" s="26">
        <f>'5314-510 Postage &amp; Freight'!D7</f>
        <v>0</v>
      </c>
      <c r="E93" s="26">
        <f>'5314-510 Postage &amp; Freight'!E7</f>
        <v>-33.94</v>
      </c>
      <c r="F93" s="26">
        <f>'5314-510 Postage &amp; Freight'!F7</f>
        <v>0</v>
      </c>
      <c r="G93" s="26">
        <f>'5314-510 Postage &amp; Freight'!G7</f>
        <v>0</v>
      </c>
      <c r="H93" s="26">
        <f>'5314-510 Postage &amp; Freight'!H7</f>
        <v>-241.55</v>
      </c>
      <c r="I93" s="26">
        <f>'5314-510 Postage &amp; Freight'!I7</f>
        <v>-194.31</v>
      </c>
      <c r="J93" s="26">
        <f>'5314-510 Postage &amp; Freight'!J7</f>
        <v>-249.19</v>
      </c>
      <c r="K93" s="26">
        <f>'5314-510 Postage &amp; Freight'!K7</f>
        <v>-78.099999999999994</v>
      </c>
      <c r="L93" s="26">
        <f>'5314-510 Postage &amp; Freight'!L7</f>
        <v>0</v>
      </c>
      <c r="M93" s="26">
        <f>'5314-510 Postage &amp; Freight'!M7</f>
        <v>0</v>
      </c>
      <c r="N93" s="26">
        <f>'5314-510 Postage &amp; Freight'!N7</f>
        <v>0</v>
      </c>
      <c r="O93" s="26">
        <f>'5314-510 Postage &amp; Freight'!O7</f>
        <v>-797.09</v>
      </c>
    </row>
    <row r="94" spans="1:18" x14ac:dyDescent="0.3">
      <c r="O94" s="27"/>
    </row>
    <row r="95" spans="1:18" x14ac:dyDescent="0.3">
      <c r="A95" s="263" t="s">
        <v>63</v>
      </c>
      <c r="B95" s="5" t="s">
        <v>16</v>
      </c>
      <c r="C95" s="16">
        <f>'5315-510 Technology Services'!C3</f>
        <v>6906.24</v>
      </c>
      <c r="D95" s="16">
        <f>'5315-510 Technology Services'!D3</f>
        <v>6134.72</v>
      </c>
      <c r="E95" s="16">
        <f>'5315-510 Technology Services'!E3</f>
        <v>5579.6100000000006</v>
      </c>
      <c r="F95" s="16">
        <f>'5315-510 Technology Services'!F3</f>
        <v>7145.87</v>
      </c>
      <c r="G95" s="16">
        <f>'5315-510 Technology Services'!G3</f>
        <v>6555.0599999999995</v>
      </c>
      <c r="H95" s="16">
        <f>'5315-510 Technology Services'!H3</f>
        <v>6400.36</v>
      </c>
      <c r="I95" s="16">
        <f>'5315-510 Technology Services'!I3</f>
        <v>6958.6900000000005</v>
      </c>
      <c r="J95" s="16">
        <f>'5315-510 Technology Services'!J3</f>
        <v>15241.24</v>
      </c>
      <c r="K95" s="16">
        <f>'5315-510 Technology Services'!K3</f>
        <v>7692.81</v>
      </c>
      <c r="L95" s="16">
        <f>'5315-510 Technology Services'!L3</f>
        <v>7421.04</v>
      </c>
      <c r="M95" s="16">
        <f>'5315-510 Technology Services'!M3</f>
        <v>11233.49</v>
      </c>
      <c r="N95" s="16">
        <f>'5315-510 Technology Services'!N3</f>
        <v>7521.5500000000011</v>
      </c>
      <c r="O95" s="17">
        <f>'5315-510 Technology Services'!O3</f>
        <v>94790.68</v>
      </c>
    </row>
    <row r="96" spans="1:18" x14ac:dyDescent="0.3">
      <c r="A96" s="263"/>
      <c r="B96" s="5" t="s">
        <v>31</v>
      </c>
      <c r="C96" s="16">
        <f>'5315-510 Technology Services'!C5</f>
        <v>500</v>
      </c>
      <c r="D96" s="16">
        <f>'5315-510 Technology Services'!D5</f>
        <v>500</v>
      </c>
      <c r="E96" s="16">
        <f>'5315-510 Technology Services'!E5</f>
        <v>500</v>
      </c>
      <c r="F96" s="16">
        <f>'5315-510 Technology Services'!F5</f>
        <v>500</v>
      </c>
      <c r="G96" s="16">
        <f>'5315-510 Technology Services'!G5</f>
        <v>500</v>
      </c>
      <c r="H96" s="16">
        <f>'5315-510 Technology Services'!H5</f>
        <v>500</v>
      </c>
      <c r="I96" s="16">
        <f>'5315-510 Technology Services'!I5</f>
        <v>500</v>
      </c>
      <c r="J96" s="16">
        <f>'5315-510 Technology Services'!J5</f>
        <v>500</v>
      </c>
      <c r="K96" s="16">
        <f>'5315-510 Technology Services'!K5</f>
        <v>500</v>
      </c>
      <c r="L96" s="16">
        <f>'5315-510 Technology Services'!L5</f>
        <v>500</v>
      </c>
      <c r="M96" s="16">
        <f>'5315-510 Technology Services'!M5</f>
        <v>500</v>
      </c>
      <c r="N96" s="16">
        <f>'5315-510 Technology Services'!N5</f>
        <v>500</v>
      </c>
      <c r="O96" s="17">
        <f>'5315-510 Technology Services'!O5</f>
        <v>6000</v>
      </c>
    </row>
    <row r="97" spans="1:18" x14ac:dyDescent="0.3">
      <c r="A97" s="263"/>
      <c r="B97" s="6" t="s">
        <v>29</v>
      </c>
      <c r="C97" s="18">
        <f>'5315-510 Technology Services'!C4</f>
        <v>8473.64</v>
      </c>
      <c r="D97" s="18">
        <f>'5315-510 Technology Services'!D4</f>
        <v>9183.16</v>
      </c>
      <c r="E97" s="18">
        <f>'5315-510 Technology Services'!E4</f>
        <v>8023.21</v>
      </c>
      <c r="F97" s="18">
        <f>'5315-510 Technology Services'!F4</f>
        <v>12423.21</v>
      </c>
      <c r="G97" s="18">
        <f>'5315-510 Technology Services'!G4</f>
        <v>8023.21</v>
      </c>
      <c r="H97" s="18">
        <f>'5315-510 Technology Services'!H4</f>
        <v>8923.2099999999991</v>
      </c>
      <c r="I97" s="18">
        <f>'5315-510 Technology Services'!I4</f>
        <v>8173.21</v>
      </c>
      <c r="J97" s="18">
        <f>'5315-510 Technology Services'!J4</f>
        <v>18462.829999999998</v>
      </c>
      <c r="K97" s="18">
        <f>'5315-510 Technology Services'!K4</f>
        <v>9453.7999999999993</v>
      </c>
      <c r="L97" s="18">
        <f>'5315-510 Technology Services'!L4</f>
        <v>14748.21</v>
      </c>
      <c r="M97" s="18">
        <f>'5315-510 Technology Services'!M4</f>
        <v>13522.21</v>
      </c>
      <c r="N97" s="18">
        <f>'5315-510 Technology Services'!N4</f>
        <v>8223.2099999999991</v>
      </c>
      <c r="O97" s="19">
        <f>'5315-510 Technology Services'!O4</f>
        <v>127633.11000000002</v>
      </c>
      <c r="Q97" s="33">
        <f>O97-O95</f>
        <v>32842.430000000022</v>
      </c>
      <c r="R97" t="s">
        <v>64</v>
      </c>
    </row>
    <row r="98" spans="1:18" x14ac:dyDescent="0.3">
      <c r="A98" s="263"/>
      <c r="B98" s="5" t="s">
        <v>32</v>
      </c>
      <c r="C98" s="16">
        <f>'5315-510 Technology Services'!C6</f>
        <v>6731.17</v>
      </c>
      <c r="D98" s="16">
        <f>'5315-510 Technology Services'!D6</f>
        <v>7121.81</v>
      </c>
      <c r="E98" s="16">
        <f>'5315-510 Technology Services'!E6</f>
        <v>7581.9399999999987</v>
      </c>
      <c r="F98" s="16">
        <f>'5315-510 Technology Services'!F6</f>
        <v>6799.1499999999987</v>
      </c>
      <c r="G98" s="16">
        <f>'5315-510 Technology Services'!G6</f>
        <v>10575.96</v>
      </c>
      <c r="H98" s="16">
        <f>'5315-510 Technology Services'!H6</f>
        <v>9434.81</v>
      </c>
      <c r="I98" s="16">
        <f>'5315-510 Technology Services'!I6</f>
        <v>7708.8899999999994</v>
      </c>
      <c r="J98" s="16">
        <f>'5315-510 Technology Services'!J6</f>
        <v>17798.099999999999</v>
      </c>
      <c r="K98" s="16">
        <f>'5315-510 Technology Services'!K6</f>
        <v>6392.619999999999</v>
      </c>
      <c r="L98" s="16">
        <f>'5315-510 Technology Services'!L6</f>
        <v>4818.82</v>
      </c>
      <c r="M98" s="16">
        <f>'5315-510 Technology Services'!M6</f>
        <v>6854.37</v>
      </c>
      <c r="N98" s="16">
        <f>'5315-510 Technology Services'!N6</f>
        <v>0</v>
      </c>
      <c r="O98" s="17">
        <f>'5315-510 Technology Services'!O6</f>
        <v>91817.640000000029</v>
      </c>
      <c r="R98" t="s">
        <v>65</v>
      </c>
    </row>
    <row r="99" spans="1:18" x14ac:dyDescent="0.3">
      <c r="A99" s="264"/>
      <c r="B99" s="23" t="s">
        <v>447</v>
      </c>
      <c r="C99" s="26">
        <f>'5315-510 Technology Services'!C7</f>
        <v>-6231.17</v>
      </c>
      <c r="D99" s="26">
        <f>'5315-510 Technology Services'!D7</f>
        <v>-6621.81</v>
      </c>
      <c r="E99" s="26">
        <f>'5315-510 Technology Services'!E7</f>
        <v>-7081.9399999999987</v>
      </c>
      <c r="F99" s="26">
        <f>'5315-510 Technology Services'!F7</f>
        <v>-6299.1499999999987</v>
      </c>
      <c r="G99" s="26">
        <f>'5315-510 Technology Services'!G7</f>
        <v>-10075.959999999999</v>
      </c>
      <c r="H99" s="26">
        <f>'5315-510 Technology Services'!H7</f>
        <v>-8934.81</v>
      </c>
      <c r="I99" s="26">
        <f>'5315-510 Technology Services'!I7</f>
        <v>-7208.8899999999994</v>
      </c>
      <c r="J99" s="26">
        <f>'5315-510 Technology Services'!J7</f>
        <v>-17298.099999999999</v>
      </c>
      <c r="K99" s="26">
        <f>'5315-510 Technology Services'!K7</f>
        <v>-5892.619999999999</v>
      </c>
      <c r="L99" s="26">
        <f>'5315-510 Technology Services'!L7</f>
        <v>-4318.82</v>
      </c>
      <c r="M99" s="26">
        <f>'5315-510 Technology Services'!M7</f>
        <v>-6354.37</v>
      </c>
      <c r="N99" s="26">
        <f>'5315-510 Technology Services'!N7</f>
        <v>500</v>
      </c>
      <c r="O99" s="24">
        <f>'5315-510 Technology Services'!O7</f>
        <v>-85817.640000000029</v>
      </c>
    </row>
    <row r="100" spans="1:18" x14ac:dyDescent="0.3">
      <c r="O100" s="27"/>
    </row>
    <row r="101" spans="1:18" x14ac:dyDescent="0.3">
      <c r="A101" s="263" t="s">
        <v>67</v>
      </c>
      <c r="B101" s="5" t="s">
        <v>16</v>
      </c>
      <c r="C101" s="16">
        <f>'5322-510 Gifts'!C3</f>
        <v>0</v>
      </c>
      <c r="D101" s="16">
        <f>'5322-510 Gifts'!D3</f>
        <v>0</v>
      </c>
      <c r="E101" s="16">
        <f>'5322-510 Gifts'!E3</f>
        <v>0</v>
      </c>
      <c r="F101" s="16">
        <f>'5322-510 Gifts'!F3</f>
        <v>0</v>
      </c>
      <c r="G101" s="16">
        <f>'5322-510 Gifts'!G3</f>
        <v>0</v>
      </c>
      <c r="H101" s="16">
        <f>'5322-510 Gifts'!H3</f>
        <v>0</v>
      </c>
      <c r="I101" s="16">
        <f>'5322-510 Gifts'!I3</f>
        <v>0</v>
      </c>
      <c r="J101" s="16">
        <f>'5322-510 Gifts'!J3</f>
        <v>0</v>
      </c>
      <c r="K101" s="16">
        <f>'5322-510 Gifts'!K3</f>
        <v>0</v>
      </c>
      <c r="L101" s="16">
        <f>'5322-510 Gifts'!L3</f>
        <v>0</v>
      </c>
      <c r="M101" s="16">
        <f>'5322-510 Gifts'!M3</f>
        <v>0</v>
      </c>
      <c r="N101" s="16">
        <f>'5322-510 Gifts'!N3</f>
        <v>0</v>
      </c>
      <c r="O101" s="17">
        <f>'5322-510 Gifts'!O3</f>
        <v>0</v>
      </c>
    </row>
    <row r="102" spans="1:18" x14ac:dyDescent="0.3">
      <c r="A102" s="263"/>
      <c r="B102" s="5" t="s">
        <v>31</v>
      </c>
      <c r="C102" s="16">
        <f>'5322-510 Gifts'!C5</f>
        <v>0</v>
      </c>
      <c r="D102" s="16">
        <f>'5322-510 Gifts'!D5</f>
        <v>0</v>
      </c>
      <c r="E102" s="16">
        <f>'5322-510 Gifts'!E5</f>
        <v>0</v>
      </c>
      <c r="F102" s="16">
        <f>'5322-510 Gifts'!F5</f>
        <v>0</v>
      </c>
      <c r="G102" s="16">
        <f>'5322-510 Gifts'!G5</f>
        <v>0</v>
      </c>
      <c r="H102" s="16">
        <f>'5322-510 Gifts'!H5</f>
        <v>0</v>
      </c>
      <c r="I102" s="16">
        <f>'5322-510 Gifts'!I5</f>
        <v>0</v>
      </c>
      <c r="J102" s="16">
        <f>'5322-510 Gifts'!J5</f>
        <v>0</v>
      </c>
      <c r="K102" s="16">
        <f>'5322-510 Gifts'!K5</f>
        <v>0</v>
      </c>
      <c r="L102" s="16">
        <f>'5322-510 Gifts'!L5</f>
        <v>0</v>
      </c>
      <c r="M102" s="16">
        <f>'5322-510 Gifts'!M5</f>
        <v>0</v>
      </c>
      <c r="N102" s="16">
        <f>'5322-510 Gifts'!N5</f>
        <v>0</v>
      </c>
      <c r="O102" s="17">
        <f>'5322-510 Gifts'!O5</f>
        <v>0</v>
      </c>
    </row>
    <row r="103" spans="1:18" x14ac:dyDescent="0.3">
      <c r="A103" s="263"/>
      <c r="B103" s="6" t="s">
        <v>29</v>
      </c>
      <c r="C103" s="18">
        <f>'5322-510 Gifts'!C4</f>
        <v>0</v>
      </c>
      <c r="D103" s="18">
        <f>'5322-510 Gifts'!D4</f>
        <v>0</v>
      </c>
      <c r="E103" s="18">
        <f>'5322-510 Gifts'!E4</f>
        <v>0</v>
      </c>
      <c r="F103" s="18">
        <f>'5322-510 Gifts'!F4</f>
        <v>0</v>
      </c>
      <c r="G103" s="18">
        <f>'5322-510 Gifts'!G4</f>
        <v>0</v>
      </c>
      <c r="H103" s="18">
        <f>'5322-510 Gifts'!H4</f>
        <v>0</v>
      </c>
      <c r="I103" s="18">
        <f>'5322-510 Gifts'!I4</f>
        <v>0</v>
      </c>
      <c r="J103" s="18">
        <f>'5322-510 Gifts'!J4</f>
        <v>0</v>
      </c>
      <c r="K103" s="18">
        <f>'5322-510 Gifts'!K4</f>
        <v>0</v>
      </c>
      <c r="L103" s="18">
        <f>'5322-510 Gifts'!L4</f>
        <v>0</v>
      </c>
      <c r="M103" s="18">
        <f>'5322-510 Gifts'!M4</f>
        <v>0</v>
      </c>
      <c r="N103" s="18">
        <f>'5322-510 Gifts'!N4</f>
        <v>0</v>
      </c>
      <c r="O103" s="19">
        <f>'5322-510 Gifts'!O4</f>
        <v>0</v>
      </c>
      <c r="Q103" s="33">
        <f>O103-O101</f>
        <v>0</v>
      </c>
    </row>
    <row r="104" spans="1:18" x14ac:dyDescent="0.3">
      <c r="A104" s="263"/>
      <c r="B104" s="5" t="s">
        <v>32</v>
      </c>
      <c r="C104" s="16">
        <f>'5322-510 Gifts'!C6</f>
        <v>0</v>
      </c>
      <c r="D104" s="16">
        <f>'5322-510 Gifts'!D6</f>
        <v>0</v>
      </c>
      <c r="E104" s="16">
        <f>'5322-510 Gifts'!E6</f>
        <v>340.31</v>
      </c>
      <c r="F104" s="16">
        <f>'5322-510 Gifts'!F6</f>
        <v>865.97</v>
      </c>
      <c r="G104" s="16">
        <f>'5322-510 Gifts'!G6</f>
        <v>161.86000000000001</v>
      </c>
      <c r="H104" s="16">
        <f>'5322-510 Gifts'!H6</f>
        <v>0</v>
      </c>
      <c r="I104" s="16">
        <f>'5322-510 Gifts'!I6</f>
        <v>51.29</v>
      </c>
      <c r="J104" s="16">
        <f>'5322-510 Gifts'!J6</f>
        <v>0</v>
      </c>
      <c r="K104" s="16">
        <f>'5322-510 Gifts'!K6</f>
        <v>0</v>
      </c>
      <c r="L104" s="16">
        <f>'5322-510 Gifts'!L6</f>
        <v>0</v>
      </c>
      <c r="M104" s="16">
        <f>'5322-510 Gifts'!M6</f>
        <v>0</v>
      </c>
      <c r="N104" s="16">
        <f>'5322-510 Gifts'!N6</f>
        <v>0</v>
      </c>
      <c r="O104" s="17">
        <f>'5322-510 Gifts'!O6</f>
        <v>1419.4299999999998</v>
      </c>
    </row>
    <row r="105" spans="1:18" x14ac:dyDescent="0.3">
      <c r="A105" s="264"/>
      <c r="B105" s="23" t="s">
        <v>447</v>
      </c>
      <c r="C105" s="26">
        <f>'5323-510 Employee enrichment'!C1</f>
        <v>0</v>
      </c>
      <c r="D105" s="26">
        <f>'5323-510 Employee enrichment'!D1</f>
        <v>0</v>
      </c>
      <c r="E105" s="26">
        <f>'5323-510 Employee enrichment'!E1</f>
        <v>0</v>
      </c>
      <c r="F105" s="26">
        <f>'5323-510 Employee enrichment'!F1</f>
        <v>0</v>
      </c>
      <c r="G105" s="26">
        <f>'5323-510 Employee enrichment'!G1</f>
        <v>0</v>
      </c>
      <c r="H105" s="26">
        <f>'5323-510 Employee enrichment'!H1</f>
        <v>0</v>
      </c>
      <c r="I105" s="26">
        <f>'5323-510 Employee enrichment'!I1</f>
        <v>0</v>
      </c>
      <c r="J105" s="26">
        <f>'5323-510 Employee enrichment'!J1</f>
        <v>0</v>
      </c>
      <c r="K105" s="26">
        <f>'5323-510 Employee enrichment'!K1</f>
        <v>0</v>
      </c>
      <c r="L105" s="26">
        <f>'5323-510 Employee enrichment'!L1</f>
        <v>0</v>
      </c>
      <c r="M105" s="26">
        <f>'5323-510 Employee enrichment'!M1</f>
        <v>0</v>
      </c>
      <c r="N105" s="26">
        <f>'5323-510 Employee enrichment'!N1</f>
        <v>0</v>
      </c>
      <c r="O105" s="24">
        <f>'5323-510 Employee enrichment'!O1</f>
        <v>0</v>
      </c>
    </row>
    <row r="106" spans="1:18" x14ac:dyDescent="0.3">
      <c r="O106" s="27"/>
    </row>
    <row r="107" spans="1:18" x14ac:dyDescent="0.3">
      <c r="A107" s="263" t="s">
        <v>69</v>
      </c>
      <c r="B107" s="5" t="s">
        <v>16</v>
      </c>
      <c r="C107" s="16">
        <f>'5323-510 Employee enrichment'!C3</f>
        <v>1207.48</v>
      </c>
      <c r="D107" s="16">
        <f>'5323-510 Employee enrichment'!D3</f>
        <v>264.64</v>
      </c>
      <c r="E107" s="16">
        <f>'5323-510 Employee enrichment'!E3</f>
        <v>187.5</v>
      </c>
      <c r="F107" s="16">
        <f>'5323-510 Employee enrichment'!F3</f>
        <v>621.59</v>
      </c>
      <c r="G107" s="16">
        <f>'5323-510 Employee enrichment'!G3</f>
        <v>81.39</v>
      </c>
      <c r="H107" s="16">
        <f>'5323-510 Employee enrichment'!H3</f>
        <v>138.1</v>
      </c>
      <c r="I107" s="16">
        <f>'5323-510 Employee enrichment'!I3</f>
        <v>147.74</v>
      </c>
      <c r="J107" s="16">
        <f>'5323-510 Employee enrichment'!J3</f>
        <v>277.14</v>
      </c>
      <c r="K107" s="16">
        <f>'5323-510 Employee enrichment'!K3</f>
        <v>568.61</v>
      </c>
      <c r="L107" s="16">
        <f>'5323-510 Employee enrichment'!L3</f>
        <v>438.14000000000004</v>
      </c>
      <c r="M107" s="16">
        <f>'5323-510 Employee enrichment'!M3</f>
        <v>142.62</v>
      </c>
      <c r="N107" s="16">
        <f>'5323-510 Employee enrichment'!N3</f>
        <v>0</v>
      </c>
      <c r="O107" s="17">
        <f>'5323-510 Employee enrichment'!O3</f>
        <v>4074.9500000000003</v>
      </c>
    </row>
    <row r="108" spans="1:18" x14ac:dyDescent="0.3">
      <c r="A108" s="263"/>
      <c r="B108" s="5" t="s">
        <v>31</v>
      </c>
      <c r="C108" s="16">
        <f>'5323-510 Employee enrichment'!C5</f>
        <v>260</v>
      </c>
      <c r="D108" s="16">
        <f>'5323-510 Employee enrichment'!D5</f>
        <v>260</v>
      </c>
      <c r="E108" s="16">
        <f>'5323-510 Employee enrichment'!E5</f>
        <v>260</v>
      </c>
      <c r="F108" s="16">
        <f>'5323-510 Employee enrichment'!F5</f>
        <v>260</v>
      </c>
      <c r="G108" s="16">
        <f>'5323-510 Employee enrichment'!G5</f>
        <v>260</v>
      </c>
      <c r="H108" s="16">
        <f>'5323-510 Employee enrichment'!H5</f>
        <v>260</v>
      </c>
      <c r="I108" s="16">
        <f>'5323-510 Employee enrichment'!I5</f>
        <v>260</v>
      </c>
      <c r="J108" s="16">
        <f>'5323-510 Employee enrichment'!J5</f>
        <v>260</v>
      </c>
      <c r="K108" s="16">
        <f>'5323-510 Employee enrichment'!K5</f>
        <v>260</v>
      </c>
      <c r="L108" s="16">
        <f>'5323-510 Employee enrichment'!L5</f>
        <v>260</v>
      </c>
      <c r="M108" s="16">
        <f>'5323-510 Employee enrichment'!M5</f>
        <v>260</v>
      </c>
      <c r="N108" s="16">
        <f>'5323-510 Employee enrichment'!N5</f>
        <v>260</v>
      </c>
      <c r="O108" s="17">
        <f>'5323-510 Employee enrichment'!O5</f>
        <v>3120</v>
      </c>
    </row>
    <row r="109" spans="1:18" x14ac:dyDescent="0.3">
      <c r="A109" s="263"/>
      <c r="B109" s="6" t="s">
        <v>29</v>
      </c>
      <c r="C109" s="18">
        <f>'5323-510 Employee enrichment'!C4</f>
        <v>170</v>
      </c>
      <c r="D109" s="18">
        <f>'5323-510 Employee enrichment'!D4</f>
        <v>170</v>
      </c>
      <c r="E109" s="18">
        <f>'5323-510 Employee enrichment'!E4</f>
        <v>870</v>
      </c>
      <c r="F109" s="18">
        <f>'5323-510 Employee enrichment'!F4</f>
        <v>170</v>
      </c>
      <c r="G109" s="18">
        <f>'5323-510 Employee enrichment'!G4</f>
        <v>170</v>
      </c>
      <c r="H109" s="18">
        <f>'5323-510 Employee enrichment'!H4</f>
        <v>420</v>
      </c>
      <c r="I109" s="18">
        <f>'5323-510 Employee enrichment'!I4</f>
        <v>170</v>
      </c>
      <c r="J109" s="18">
        <f>'5323-510 Employee enrichment'!J4</f>
        <v>570</v>
      </c>
      <c r="K109" s="18">
        <f>'5323-510 Employee enrichment'!K4</f>
        <v>170</v>
      </c>
      <c r="L109" s="18">
        <f>'5323-510 Employee enrichment'!L4</f>
        <v>170</v>
      </c>
      <c r="M109" s="18">
        <f>'5323-510 Employee enrichment'!M4</f>
        <v>170</v>
      </c>
      <c r="N109" s="18">
        <f>'5323-510 Employee enrichment'!N4</f>
        <v>740</v>
      </c>
      <c r="O109" s="19">
        <f>'5323-510 Employee enrichment'!O4</f>
        <v>3960</v>
      </c>
      <c r="Q109" s="33">
        <f>O109-O107</f>
        <v>-114.95000000000027</v>
      </c>
    </row>
    <row r="110" spans="1:18" x14ac:dyDescent="0.3">
      <c r="A110" s="263"/>
      <c r="B110" s="5" t="s">
        <v>32</v>
      </c>
      <c r="C110" s="16">
        <f>'5323-510 Employee enrichment'!C6</f>
        <v>113.19</v>
      </c>
      <c r="D110" s="16">
        <f>'5323-510 Employee enrichment'!D6</f>
        <v>104.2</v>
      </c>
      <c r="E110" s="16">
        <f>'5323-510 Employee enrichment'!E6</f>
        <v>631.22</v>
      </c>
      <c r="F110" s="16">
        <f>'5323-510 Employee enrichment'!F6</f>
        <v>397.59999999999997</v>
      </c>
      <c r="G110" s="16">
        <f>'5323-510 Employee enrichment'!G6</f>
        <v>44.32</v>
      </c>
      <c r="H110" s="16">
        <f>'5323-510 Employee enrichment'!H6</f>
        <v>351.67</v>
      </c>
      <c r="I110" s="16">
        <f>'5323-510 Employee enrichment'!I6</f>
        <v>248.54999999999998</v>
      </c>
      <c r="J110" s="16">
        <f>'5323-510 Employee enrichment'!J6</f>
        <v>103.86</v>
      </c>
      <c r="K110" s="16">
        <f>'5323-510 Employee enrichment'!K6</f>
        <v>361.36</v>
      </c>
      <c r="L110" s="16">
        <f>'5323-510 Employee enrichment'!L6</f>
        <v>307.81</v>
      </c>
      <c r="M110" s="16">
        <f>'5323-510 Employee enrichment'!M6</f>
        <v>122.41</v>
      </c>
      <c r="N110" s="16">
        <f>'5323-510 Employee enrichment'!N6</f>
        <v>0</v>
      </c>
      <c r="O110" s="17">
        <f>'5323-510 Employee enrichment'!O6</f>
        <v>2786.19</v>
      </c>
    </row>
    <row r="111" spans="1:18" x14ac:dyDescent="0.3">
      <c r="A111" s="264"/>
      <c r="B111" s="23" t="s">
        <v>447</v>
      </c>
      <c r="C111" s="26">
        <f>'5323-510 Employee enrichment'!C7</f>
        <v>146.81</v>
      </c>
      <c r="D111" s="26">
        <f>'5323-510 Employee enrichment'!D7</f>
        <v>155.80000000000001</v>
      </c>
      <c r="E111" s="26">
        <f>'5323-510 Employee enrichment'!E7</f>
        <v>-371.22</v>
      </c>
      <c r="F111" s="26">
        <f>'5323-510 Employee enrichment'!F7</f>
        <v>-137.59999999999997</v>
      </c>
      <c r="G111" s="26">
        <f>'5323-510 Employee enrichment'!G7</f>
        <v>215.68</v>
      </c>
      <c r="H111" s="26">
        <f>'5323-510 Employee enrichment'!H7</f>
        <v>-91.670000000000016</v>
      </c>
      <c r="I111" s="26">
        <f>'5323-510 Employee enrichment'!I7</f>
        <v>11.450000000000017</v>
      </c>
      <c r="J111" s="26">
        <f>'5323-510 Employee enrichment'!J7</f>
        <v>156.13999999999999</v>
      </c>
      <c r="K111" s="26">
        <f>'5323-510 Employee enrichment'!K7</f>
        <v>-101.36000000000001</v>
      </c>
      <c r="L111" s="26">
        <f>'5323-510 Employee enrichment'!L7</f>
        <v>-47.81</v>
      </c>
      <c r="M111" s="26">
        <f>'5323-510 Employee enrichment'!M7</f>
        <v>137.59</v>
      </c>
      <c r="N111" s="26">
        <f>'5323-510 Employee enrichment'!N7</f>
        <v>260</v>
      </c>
      <c r="O111" s="24">
        <f>'5323-510 Employee enrichment'!O7</f>
        <v>333.80999999999995</v>
      </c>
    </row>
    <row r="112" spans="1:18" x14ac:dyDescent="0.3">
      <c r="O112" s="27"/>
    </row>
    <row r="113" spans="1:18" x14ac:dyDescent="0.3">
      <c r="A113" s="263" t="s">
        <v>71</v>
      </c>
      <c r="B113" s="5" t="s">
        <v>16</v>
      </c>
      <c r="C113" s="16">
        <f>'5324-510 Miscellaneous'!C3</f>
        <v>442</v>
      </c>
      <c r="D113" s="16">
        <f>'5324-510 Miscellaneous'!D3</f>
        <v>539.83000000000004</v>
      </c>
      <c r="E113" s="16">
        <f>'5324-510 Miscellaneous'!E3</f>
        <v>77.430000000000007</v>
      </c>
      <c r="F113" s="16">
        <f>'5324-510 Miscellaneous'!F3</f>
        <v>853.32999999999993</v>
      </c>
      <c r="G113" s="16">
        <f>'5324-510 Miscellaneous'!G3</f>
        <v>0</v>
      </c>
      <c r="H113" s="16">
        <f>'5324-510 Miscellaneous'!H3</f>
        <v>0</v>
      </c>
      <c r="I113" s="16">
        <f>'5324-510 Miscellaneous'!I3</f>
        <v>0</v>
      </c>
      <c r="J113" s="16">
        <f>'5324-510 Miscellaneous'!J3</f>
        <v>0</v>
      </c>
      <c r="K113" s="16">
        <f>'5324-510 Miscellaneous'!K3</f>
        <v>110.77</v>
      </c>
      <c r="L113" s="16">
        <f>'5324-510 Miscellaneous'!L3</f>
        <v>0</v>
      </c>
      <c r="M113" s="16">
        <f>'5324-510 Miscellaneous'!M3</f>
        <v>0</v>
      </c>
      <c r="N113" s="16">
        <f>'5324-510 Miscellaneous'!N3</f>
        <v>0</v>
      </c>
      <c r="O113" s="17">
        <f>'5324-510 Miscellaneous'!O3</f>
        <v>2023.3600000000001</v>
      </c>
    </row>
    <row r="114" spans="1:18" x14ac:dyDescent="0.3">
      <c r="A114" s="263"/>
      <c r="B114" s="5" t="s">
        <v>31</v>
      </c>
      <c r="C114" s="16">
        <f>'5324-510 Miscellaneous'!C5</f>
        <v>0</v>
      </c>
      <c r="D114" s="16">
        <f>'5324-510 Miscellaneous'!D5</f>
        <v>0</v>
      </c>
      <c r="E114" s="16">
        <f>'5324-510 Miscellaneous'!E5</f>
        <v>0</v>
      </c>
      <c r="F114" s="16">
        <f>'5324-510 Miscellaneous'!F5</f>
        <v>0</v>
      </c>
      <c r="G114" s="16">
        <f>'5324-510 Miscellaneous'!G5</f>
        <v>0</v>
      </c>
      <c r="H114" s="16">
        <f>'5324-510 Miscellaneous'!H5</f>
        <v>0</v>
      </c>
      <c r="I114" s="16">
        <f>'5324-510 Miscellaneous'!I5</f>
        <v>0</v>
      </c>
      <c r="J114" s="16">
        <f>'5324-510 Miscellaneous'!J5</f>
        <v>0</v>
      </c>
      <c r="K114" s="16">
        <f>'5324-510 Miscellaneous'!K5</f>
        <v>500</v>
      </c>
      <c r="L114" s="16">
        <f>'5324-510 Miscellaneous'!L5</f>
        <v>0</v>
      </c>
      <c r="M114" s="16">
        <f>'5324-510 Miscellaneous'!M5</f>
        <v>0</v>
      </c>
      <c r="N114" s="16">
        <f>'5324-510 Miscellaneous'!N5</f>
        <v>0</v>
      </c>
      <c r="O114" s="17">
        <f>'5324-510 Miscellaneous'!O5</f>
        <v>500</v>
      </c>
    </row>
    <row r="115" spans="1:18" x14ac:dyDescent="0.3">
      <c r="A115" s="263"/>
      <c r="B115" s="6" t="s">
        <v>29</v>
      </c>
      <c r="C115" s="18">
        <f>'5324-510 Miscellaneous'!C4</f>
        <v>0</v>
      </c>
      <c r="D115" s="18">
        <f>'5324-510 Miscellaneous'!D4</f>
        <v>0</v>
      </c>
      <c r="E115" s="18">
        <f>'5324-510 Miscellaneous'!E4</f>
        <v>0</v>
      </c>
      <c r="F115" s="18">
        <f>'5324-510 Miscellaneous'!F4</f>
        <v>0</v>
      </c>
      <c r="G115" s="18">
        <f>'5324-510 Miscellaneous'!G4</f>
        <v>0</v>
      </c>
      <c r="H115" s="18">
        <f>'5324-510 Miscellaneous'!H4</f>
        <v>0</v>
      </c>
      <c r="I115" s="18">
        <f>'5324-510 Miscellaneous'!I4</f>
        <v>0</v>
      </c>
      <c r="J115" s="18">
        <f>'5324-510 Miscellaneous'!J4</f>
        <v>0</v>
      </c>
      <c r="K115" s="18">
        <f>'5324-510 Miscellaneous'!K4</f>
        <v>618.89</v>
      </c>
      <c r="L115" s="18">
        <f>'5324-510 Miscellaneous'!L4</f>
        <v>0</v>
      </c>
      <c r="M115" s="18">
        <f>'5324-510 Miscellaneous'!M4</f>
        <v>0</v>
      </c>
      <c r="N115" s="18">
        <f>'5324-510 Miscellaneous'!N4</f>
        <v>0</v>
      </c>
      <c r="O115" s="19">
        <f>'5324-510 Miscellaneous'!O4</f>
        <v>618.89</v>
      </c>
      <c r="Q115" s="33">
        <f>O115-O113</f>
        <v>-1404.4700000000003</v>
      </c>
    </row>
    <row r="116" spans="1:18" x14ac:dyDescent="0.3">
      <c r="A116" s="263"/>
      <c r="B116" s="5" t="s">
        <v>32</v>
      </c>
      <c r="C116" s="16">
        <f>'5324-510 Miscellaneous'!C6</f>
        <v>0</v>
      </c>
      <c r="D116" s="16">
        <f>'5324-510 Miscellaneous'!D6</f>
        <v>0</v>
      </c>
      <c r="E116" s="16">
        <f>'5324-510 Miscellaneous'!E6</f>
        <v>0</v>
      </c>
      <c r="F116" s="16">
        <f>'5324-510 Miscellaneous'!F6</f>
        <v>0</v>
      </c>
      <c r="G116" s="16">
        <f>'5324-510 Miscellaneous'!G6</f>
        <v>0</v>
      </c>
      <c r="H116" s="16">
        <f>'5324-510 Miscellaneous'!H6</f>
        <v>214.68</v>
      </c>
      <c r="I116" s="16">
        <f>'5324-510 Miscellaneous'!I6</f>
        <v>0</v>
      </c>
      <c r="J116" s="16">
        <f>'5324-510 Miscellaneous'!J6</f>
        <v>0</v>
      </c>
      <c r="K116" s="16">
        <f>'5324-510 Miscellaneous'!K6</f>
        <v>118.89</v>
      </c>
      <c r="L116" s="16">
        <f>'5324-510 Miscellaneous'!L6</f>
        <v>0</v>
      </c>
      <c r="M116" s="16">
        <f>'5324-510 Miscellaneous'!M6</f>
        <v>0</v>
      </c>
      <c r="N116" s="16">
        <f>'5324-510 Miscellaneous'!N6</f>
        <v>0</v>
      </c>
      <c r="O116" s="17">
        <f>'5324-510 Miscellaneous'!O6</f>
        <v>1931.4900000000002</v>
      </c>
    </row>
    <row r="117" spans="1:18" x14ac:dyDescent="0.3">
      <c r="A117" s="264"/>
      <c r="B117" s="23" t="s">
        <v>447</v>
      </c>
      <c r="C117" s="26">
        <f>'5324-510 Miscellaneous'!C7</f>
        <v>0</v>
      </c>
      <c r="D117" s="26">
        <f>'5324-510 Miscellaneous'!D7</f>
        <v>0</v>
      </c>
      <c r="E117" s="26">
        <f>'5324-510 Miscellaneous'!E7</f>
        <v>0</v>
      </c>
      <c r="F117" s="26">
        <f>'5324-510 Miscellaneous'!F7</f>
        <v>0</v>
      </c>
      <c r="G117" s="26">
        <f>'5324-510 Miscellaneous'!G7</f>
        <v>0</v>
      </c>
      <c r="H117" s="26">
        <f>'5324-510 Miscellaneous'!H7</f>
        <v>-214.68</v>
      </c>
      <c r="I117" s="26">
        <f>'5324-510 Miscellaneous'!I7</f>
        <v>0</v>
      </c>
      <c r="J117" s="26">
        <f>'5324-510 Miscellaneous'!J7</f>
        <v>0</v>
      </c>
      <c r="K117" s="26">
        <f>'5324-510 Miscellaneous'!K7</f>
        <v>381.11</v>
      </c>
      <c r="L117" s="26">
        <f>'5324-510 Miscellaneous'!L7</f>
        <v>0</v>
      </c>
      <c r="M117" s="26">
        <f>'5324-510 Miscellaneous'!M7</f>
        <v>0</v>
      </c>
      <c r="N117" s="26">
        <f>'5324-510 Miscellaneous'!N7</f>
        <v>0</v>
      </c>
      <c r="O117" s="24">
        <f>'5324-510 Miscellaneous'!O7</f>
        <v>-1431.4900000000002</v>
      </c>
    </row>
    <row r="118" spans="1:18" x14ac:dyDescent="0.3">
      <c r="O118" s="27"/>
    </row>
    <row r="119" spans="1:18" x14ac:dyDescent="0.3">
      <c r="A119" s="263" t="s">
        <v>73</v>
      </c>
      <c r="B119" s="5" t="s">
        <v>16</v>
      </c>
      <c r="C119" s="16">
        <f>'5325-510 Subscriptions &amp; Dues'!C3</f>
        <v>0</v>
      </c>
      <c r="D119" s="16">
        <f>'5325-510 Subscriptions &amp; Dues'!D3</f>
        <v>0</v>
      </c>
      <c r="E119" s="16">
        <f>'5325-510 Subscriptions &amp; Dues'!E3</f>
        <v>84.71</v>
      </c>
      <c r="F119" s="16">
        <f>'5325-510 Subscriptions &amp; Dues'!F3</f>
        <v>0</v>
      </c>
      <c r="G119" s="16">
        <f>'5325-510 Subscriptions &amp; Dues'!G3</f>
        <v>0</v>
      </c>
      <c r="H119" s="16">
        <f>'5325-510 Subscriptions &amp; Dues'!H3</f>
        <v>0</v>
      </c>
      <c r="I119" s="16">
        <f>'5325-510 Subscriptions &amp; Dues'!I3</f>
        <v>0</v>
      </c>
      <c r="J119" s="16">
        <f>'5325-510 Subscriptions &amp; Dues'!J3</f>
        <v>0</v>
      </c>
      <c r="K119" s="16">
        <f>'5325-510 Subscriptions &amp; Dues'!K3</f>
        <v>225</v>
      </c>
      <c r="L119" s="16">
        <f>'5325-510 Subscriptions &amp; Dues'!L3</f>
        <v>0</v>
      </c>
      <c r="M119" s="16">
        <f>'5325-510 Subscriptions &amp; Dues'!M3</f>
        <v>573.71</v>
      </c>
      <c r="N119" s="16">
        <f>'5325-510 Subscriptions &amp; Dues'!N3</f>
        <v>0</v>
      </c>
      <c r="O119" s="17">
        <f>'5325-510 Subscriptions &amp; Dues'!O3</f>
        <v>883.42000000000007</v>
      </c>
    </row>
    <row r="120" spans="1:18" x14ac:dyDescent="0.3">
      <c r="A120" s="263"/>
      <c r="B120" s="5" t="s">
        <v>31</v>
      </c>
      <c r="C120" s="16">
        <f>'5325-510 Subscriptions &amp; Dues'!C5</f>
        <v>0</v>
      </c>
      <c r="D120" s="16">
        <f>'5325-510 Subscriptions &amp; Dues'!D5</f>
        <v>0</v>
      </c>
      <c r="E120" s="16">
        <f>'5325-510 Subscriptions &amp; Dues'!E5</f>
        <v>0</v>
      </c>
      <c r="F120" s="16">
        <f>'5325-510 Subscriptions &amp; Dues'!F5</f>
        <v>0</v>
      </c>
      <c r="G120" s="16">
        <f>'5325-510 Subscriptions &amp; Dues'!G5</f>
        <v>0</v>
      </c>
      <c r="H120" s="16">
        <f>'5325-510 Subscriptions &amp; Dues'!H5</f>
        <v>0</v>
      </c>
      <c r="I120" s="16">
        <f>'5325-510 Subscriptions &amp; Dues'!I5</f>
        <v>0</v>
      </c>
      <c r="J120" s="16">
        <f>'5325-510 Subscriptions &amp; Dues'!J5</f>
        <v>0</v>
      </c>
      <c r="K120" s="16">
        <f>'5325-510 Subscriptions &amp; Dues'!K5</f>
        <v>0</v>
      </c>
      <c r="L120" s="16">
        <f>'5325-510 Subscriptions &amp; Dues'!L5</f>
        <v>0</v>
      </c>
      <c r="M120" s="16">
        <f>'5325-510 Subscriptions &amp; Dues'!M5</f>
        <v>0</v>
      </c>
      <c r="N120" s="16">
        <f>'5325-510 Subscriptions &amp; Dues'!N5</f>
        <v>0</v>
      </c>
      <c r="O120" s="17">
        <f>'5325-510 Subscriptions &amp; Dues'!O5</f>
        <v>0</v>
      </c>
    </row>
    <row r="121" spans="1:18" x14ac:dyDescent="0.3">
      <c r="A121" s="263"/>
      <c r="B121" s="6" t="s">
        <v>29</v>
      </c>
      <c r="C121" s="18">
        <f>'5325-510 Subscriptions &amp; Dues'!C4</f>
        <v>0</v>
      </c>
      <c r="D121" s="18">
        <f>'5325-510 Subscriptions &amp; Dues'!D4</f>
        <v>0</v>
      </c>
      <c r="E121" s="18">
        <f>'5325-510 Subscriptions &amp; Dues'!E4</f>
        <v>0</v>
      </c>
      <c r="F121" s="18">
        <f>'5325-510 Subscriptions &amp; Dues'!F4</f>
        <v>0</v>
      </c>
      <c r="G121" s="18">
        <f>'5325-510 Subscriptions &amp; Dues'!G4</f>
        <v>0</v>
      </c>
      <c r="H121" s="18">
        <f>'5325-510 Subscriptions &amp; Dues'!H4</f>
        <v>0</v>
      </c>
      <c r="I121" s="18">
        <f>'5325-510 Subscriptions &amp; Dues'!I4</f>
        <v>0</v>
      </c>
      <c r="J121" s="18">
        <f>'5325-510 Subscriptions &amp; Dues'!J4</f>
        <v>0</v>
      </c>
      <c r="K121" s="18">
        <f>'5325-510 Subscriptions &amp; Dues'!K4</f>
        <v>0</v>
      </c>
      <c r="L121" s="18">
        <f>'5325-510 Subscriptions &amp; Dues'!L4</f>
        <v>0</v>
      </c>
      <c r="M121" s="18">
        <f>'5325-510 Subscriptions &amp; Dues'!M4</f>
        <v>0</v>
      </c>
      <c r="N121" s="18">
        <f>'5325-510 Subscriptions &amp; Dues'!N4</f>
        <v>0</v>
      </c>
      <c r="O121" s="19">
        <f>'5325-510 Subscriptions &amp; Dues'!O4</f>
        <v>0</v>
      </c>
      <c r="Q121" s="33">
        <f>O121-O119</f>
        <v>-883.42000000000007</v>
      </c>
    </row>
    <row r="122" spans="1:18" x14ac:dyDescent="0.3">
      <c r="A122" s="263"/>
      <c r="B122" s="5" t="s">
        <v>32</v>
      </c>
      <c r="C122" s="16">
        <f>'5325-510 Subscriptions &amp; Dues'!C6</f>
        <v>0</v>
      </c>
      <c r="D122" s="16">
        <f>'5325-510 Subscriptions &amp; Dues'!D6</f>
        <v>0</v>
      </c>
      <c r="E122" s="16">
        <f>'5325-510 Subscriptions &amp; Dues'!E6</f>
        <v>0</v>
      </c>
      <c r="F122" s="16">
        <f>'5325-510 Subscriptions &amp; Dues'!F6</f>
        <v>0</v>
      </c>
      <c r="G122" s="16">
        <f>'5325-510 Subscriptions &amp; Dues'!G6</f>
        <v>54.07</v>
      </c>
      <c r="H122" s="16">
        <f>'5325-510 Subscriptions &amp; Dues'!H6</f>
        <v>0</v>
      </c>
      <c r="I122" s="16">
        <f>'5325-510 Subscriptions &amp; Dues'!I6</f>
        <v>0</v>
      </c>
      <c r="J122" s="16">
        <f>'5325-510 Subscriptions &amp; Dues'!J6</f>
        <v>0</v>
      </c>
      <c r="K122" s="16">
        <f>'5325-510 Subscriptions &amp; Dues'!K6</f>
        <v>407</v>
      </c>
      <c r="L122" s="16">
        <f>'5325-510 Subscriptions &amp; Dues'!L6</f>
        <v>0</v>
      </c>
      <c r="M122" s="16">
        <f>'5325-510 Subscriptions &amp; Dues'!M6</f>
        <v>0</v>
      </c>
      <c r="N122" s="16">
        <f>'5325-510 Subscriptions &amp; Dues'!N6</f>
        <v>0</v>
      </c>
      <c r="O122" s="17">
        <f>'5325-510 Subscriptions &amp; Dues'!O6</f>
        <v>461.07</v>
      </c>
    </row>
    <row r="123" spans="1:18" x14ac:dyDescent="0.3">
      <c r="A123" s="264"/>
      <c r="B123" s="23" t="s">
        <v>447</v>
      </c>
      <c r="C123" s="26">
        <f>'5325-510 Subscriptions &amp; Dues'!C7</f>
        <v>0</v>
      </c>
      <c r="D123" s="26">
        <f>'5325-510 Subscriptions &amp; Dues'!D7</f>
        <v>0</v>
      </c>
      <c r="E123" s="26">
        <f>'5325-510 Subscriptions &amp; Dues'!E7</f>
        <v>0</v>
      </c>
      <c r="F123" s="26">
        <f>'5325-510 Subscriptions &amp; Dues'!F7</f>
        <v>0</v>
      </c>
      <c r="G123" s="26">
        <f>'5325-510 Subscriptions &amp; Dues'!G7</f>
        <v>-54.07</v>
      </c>
      <c r="H123" s="26">
        <f>'5325-510 Subscriptions &amp; Dues'!H7</f>
        <v>0</v>
      </c>
      <c r="I123" s="26">
        <f>'5325-510 Subscriptions &amp; Dues'!I7</f>
        <v>0</v>
      </c>
      <c r="J123" s="26">
        <f>'5325-510 Subscriptions &amp; Dues'!J7</f>
        <v>0</v>
      </c>
      <c r="K123" s="26">
        <f>'5325-510 Subscriptions &amp; Dues'!K7</f>
        <v>-407</v>
      </c>
      <c r="L123" s="26">
        <f>'5325-510 Subscriptions &amp; Dues'!L7</f>
        <v>0</v>
      </c>
      <c r="M123" s="26">
        <f>'5325-510 Subscriptions &amp; Dues'!M7</f>
        <v>0</v>
      </c>
      <c r="N123" s="26">
        <f>'5325-510 Subscriptions &amp; Dues'!N7</f>
        <v>0</v>
      </c>
      <c r="O123" s="24">
        <f>'5325-510 Subscriptions &amp; Dues'!O7</f>
        <v>-461.07</v>
      </c>
    </row>
    <row r="124" spans="1:18" x14ac:dyDescent="0.3">
      <c r="O124" s="27"/>
    </row>
    <row r="125" spans="1:18" x14ac:dyDescent="0.3">
      <c r="A125" s="263" t="s">
        <v>75</v>
      </c>
      <c r="B125" s="5" t="s">
        <v>16</v>
      </c>
      <c r="C125" s="16">
        <f>'5326-510 Travel'!C3</f>
        <v>0</v>
      </c>
      <c r="D125" s="16">
        <f>'5326-510 Travel'!D3</f>
        <v>0</v>
      </c>
      <c r="E125" s="16">
        <f>'5326-510 Travel'!E3</f>
        <v>0</v>
      </c>
      <c r="F125" s="16">
        <f>'5326-510 Travel'!F3</f>
        <v>23371.3</v>
      </c>
      <c r="G125" s="16">
        <f>'5326-510 Travel'!G3</f>
        <v>-405.78999999999996</v>
      </c>
      <c r="H125" s="16">
        <f>'5326-510 Travel'!H3</f>
        <v>0</v>
      </c>
      <c r="I125" s="16">
        <f>'5326-510 Travel'!I3</f>
        <v>5447.23</v>
      </c>
      <c r="J125" s="16">
        <f>'5326-510 Travel'!J3</f>
        <v>0</v>
      </c>
      <c r="K125" s="16">
        <f>'5326-510 Travel'!K3</f>
        <v>7345.85</v>
      </c>
      <c r="L125" s="16">
        <f>'5326-510 Travel'!L3</f>
        <v>1608.74</v>
      </c>
      <c r="M125" s="16">
        <f>'5326-510 Travel'!M3</f>
        <v>1394.43</v>
      </c>
      <c r="N125" s="16">
        <f>'5326-510 Travel'!N3</f>
        <v>0</v>
      </c>
      <c r="O125" s="17">
        <f>'5326-510 Travel'!O3</f>
        <v>38761.760000000009</v>
      </c>
    </row>
    <row r="126" spans="1:18" x14ac:dyDescent="0.3">
      <c r="A126" s="263"/>
      <c r="B126" s="5" t="s">
        <v>31</v>
      </c>
      <c r="C126" s="16">
        <f>'5326-510 Travel'!C5</f>
        <v>0</v>
      </c>
      <c r="D126" s="16">
        <f>'5326-510 Travel'!D5</f>
        <v>6000</v>
      </c>
      <c r="E126" s="16">
        <f>'5326-510 Travel'!E5</f>
        <v>0</v>
      </c>
      <c r="F126" s="16">
        <f>'5326-510 Travel'!F5</f>
        <v>0</v>
      </c>
      <c r="G126" s="16">
        <f>'5326-510 Travel'!G5</f>
        <v>6000</v>
      </c>
      <c r="H126" s="16">
        <f>'5326-510 Travel'!H5</f>
        <v>0</v>
      </c>
      <c r="I126" s="16">
        <f>'5326-510 Travel'!I5</f>
        <v>0</v>
      </c>
      <c r="J126" s="16">
        <f>'5326-510 Travel'!J5</f>
        <v>0</v>
      </c>
      <c r="K126" s="16">
        <f>'5326-510 Travel'!K5</f>
        <v>6000</v>
      </c>
      <c r="L126" s="16">
        <f>'5326-510 Travel'!L5</f>
        <v>0</v>
      </c>
      <c r="M126" s="16">
        <f>'5326-510 Travel'!M5</f>
        <v>6000</v>
      </c>
      <c r="N126" s="16">
        <f>'5326-510 Travel'!N5</f>
        <v>0</v>
      </c>
      <c r="O126" s="17">
        <f>'5326-510 Travel'!O5</f>
        <v>24000</v>
      </c>
    </row>
    <row r="127" spans="1:18" x14ac:dyDescent="0.3">
      <c r="A127" s="263"/>
      <c r="B127" s="6" t="s">
        <v>29</v>
      </c>
      <c r="C127" s="18">
        <f>'5326-510 Travel'!C4</f>
        <v>0</v>
      </c>
      <c r="D127" s="18">
        <f>'5326-510 Travel'!D4</f>
        <v>5170</v>
      </c>
      <c r="E127" s="18">
        <f>'5326-510 Travel'!E4</f>
        <v>300</v>
      </c>
      <c r="F127" s="18">
        <f>'5326-510 Travel'!F4</f>
        <v>0</v>
      </c>
      <c r="G127" s="18">
        <f>'5326-510 Travel'!G4</f>
        <v>17800</v>
      </c>
      <c r="H127" s="18">
        <f>'5326-510 Travel'!H4</f>
        <v>4500</v>
      </c>
      <c r="I127" s="18">
        <f>'5326-510 Travel'!I4</f>
        <v>0</v>
      </c>
      <c r="J127" s="18">
        <f>'5326-510 Travel'!J4</f>
        <v>0</v>
      </c>
      <c r="K127" s="18">
        <f>'5326-510 Travel'!K4</f>
        <v>8000</v>
      </c>
      <c r="L127" s="18">
        <f>'5326-510 Travel'!L4</f>
        <v>0</v>
      </c>
      <c r="M127" s="18">
        <f>'5326-510 Travel'!M4</f>
        <v>7800</v>
      </c>
      <c r="N127" s="18">
        <f>'5326-510 Travel'!N4</f>
        <v>0</v>
      </c>
      <c r="O127" s="19">
        <f>'5326-510 Travel'!O4</f>
        <v>43570</v>
      </c>
      <c r="Q127" s="33">
        <f>O127-O125</f>
        <v>4808.2399999999907</v>
      </c>
      <c r="R127" t="s">
        <v>76</v>
      </c>
    </row>
    <row r="128" spans="1:18" x14ac:dyDescent="0.3">
      <c r="A128" s="263"/>
      <c r="B128" s="5" t="s">
        <v>32</v>
      </c>
      <c r="C128" s="16">
        <f>'5326-510 Travel'!C6</f>
        <v>0</v>
      </c>
      <c r="D128" s="16">
        <f>'5326-510 Travel'!D6</f>
        <v>0</v>
      </c>
      <c r="E128" s="16">
        <f>'5326-510 Travel'!E6</f>
        <v>12709.199999999999</v>
      </c>
      <c r="F128" s="16">
        <f>'5326-510 Travel'!F6</f>
        <v>2030.4099999999999</v>
      </c>
      <c r="G128" s="16">
        <f>'5326-510 Travel'!G6</f>
        <v>12593.92</v>
      </c>
      <c r="H128" s="16">
        <f>'5326-510 Travel'!H6</f>
        <v>1175.17</v>
      </c>
      <c r="I128" s="16">
        <f>'5326-510 Travel'!I6</f>
        <v>0</v>
      </c>
      <c r="J128" s="16">
        <f>'5326-510 Travel'!J6</f>
        <v>478.2</v>
      </c>
      <c r="K128" s="16">
        <f>'5326-510 Travel'!K6</f>
        <v>2625.13</v>
      </c>
      <c r="L128" s="16">
        <f>'5326-510 Travel'!L6</f>
        <v>0</v>
      </c>
      <c r="M128" s="16">
        <f>'5326-510 Travel'!M6</f>
        <v>0</v>
      </c>
      <c r="N128" s="16">
        <f>'5326-510 Travel'!N6</f>
        <v>0</v>
      </c>
      <c r="O128" s="17">
        <f>'5326-510 Travel'!O6</f>
        <v>31612.030000000002</v>
      </c>
    </row>
    <row r="129" spans="1:17" x14ac:dyDescent="0.3">
      <c r="A129" s="264"/>
      <c r="B129" s="23" t="s">
        <v>447</v>
      </c>
      <c r="C129" s="26">
        <f>'5326-510 Travel'!C7</f>
        <v>0</v>
      </c>
      <c r="D129" s="26">
        <f>'5326-510 Travel'!D7</f>
        <v>6000</v>
      </c>
      <c r="E129" s="26">
        <f>'5326-510 Travel'!E7</f>
        <v>-12709.199999999999</v>
      </c>
      <c r="F129" s="26">
        <f>'5326-510 Travel'!F7</f>
        <v>-2030.4099999999999</v>
      </c>
      <c r="G129" s="26">
        <f>'5326-510 Travel'!G7</f>
        <v>-6593.92</v>
      </c>
      <c r="H129" s="26">
        <f>'5326-510 Travel'!H7</f>
        <v>-1175.17</v>
      </c>
      <c r="I129" s="26">
        <f>'5326-510 Travel'!I7</f>
        <v>0</v>
      </c>
      <c r="J129" s="26">
        <f>'5326-510 Travel'!J7</f>
        <v>-478.2</v>
      </c>
      <c r="K129" s="26">
        <f>'5326-510 Travel'!K7</f>
        <v>3374.87</v>
      </c>
      <c r="L129" s="26">
        <f>'5326-510 Travel'!L7</f>
        <v>0</v>
      </c>
      <c r="M129" s="26">
        <f>'5326-510 Travel'!M7</f>
        <v>6000</v>
      </c>
      <c r="N129" s="26">
        <f>'5326-510 Travel'!N7</f>
        <v>0</v>
      </c>
      <c r="O129" s="24">
        <f>'5326-510 Travel'!O7</f>
        <v>-7612.0300000000025</v>
      </c>
    </row>
    <row r="130" spans="1:17" x14ac:dyDescent="0.3">
      <c r="O130" s="27"/>
    </row>
    <row r="131" spans="1:17" x14ac:dyDescent="0.3">
      <c r="A131" s="263" t="s">
        <v>78</v>
      </c>
      <c r="B131" s="5" t="s">
        <v>16</v>
      </c>
      <c r="C131" s="16">
        <f>'5327-510 Meals, Hosting'!C3</f>
        <v>0</v>
      </c>
      <c r="D131" s="16">
        <f>'5327-510 Meals, Hosting'!D3</f>
        <v>335.24</v>
      </c>
      <c r="E131" s="16">
        <f>'5327-510 Meals, Hosting'!E3</f>
        <v>0</v>
      </c>
      <c r="F131" s="16">
        <f>'5327-510 Meals, Hosting'!F3</f>
        <v>138.76999999999998</v>
      </c>
      <c r="G131" s="16">
        <f>'5327-510 Meals, Hosting'!G3</f>
        <v>371.93</v>
      </c>
      <c r="H131" s="16">
        <f>'5327-510 Meals, Hosting'!H3</f>
        <v>0</v>
      </c>
      <c r="I131" s="16">
        <f>'5327-510 Meals, Hosting'!I3</f>
        <v>0</v>
      </c>
      <c r="J131" s="16">
        <f>'5327-510 Meals, Hosting'!J3</f>
        <v>0</v>
      </c>
      <c r="K131" s="16">
        <f>'5327-510 Meals, Hosting'!K3</f>
        <v>0</v>
      </c>
      <c r="L131" s="16">
        <f>'5327-510 Meals, Hosting'!L3</f>
        <v>0</v>
      </c>
      <c r="M131" s="16">
        <f>'5327-510 Meals, Hosting'!M3</f>
        <v>0</v>
      </c>
      <c r="N131" s="16">
        <f>'5327-510 Meals, Hosting'!N3</f>
        <v>0</v>
      </c>
      <c r="O131" s="17">
        <f>'5327-510 Meals, Hosting'!O3</f>
        <v>845.94</v>
      </c>
    </row>
    <row r="132" spans="1:17" x14ac:dyDescent="0.3">
      <c r="A132" s="263"/>
      <c r="B132" s="5" t="s">
        <v>31</v>
      </c>
      <c r="C132" s="16">
        <f>'5327-510 Meals, Hosting'!C5</f>
        <v>500</v>
      </c>
      <c r="D132" s="16">
        <f>'5327-510 Meals, Hosting'!D5</f>
        <v>500</v>
      </c>
      <c r="E132" s="16">
        <f>'5327-510 Meals, Hosting'!E5</f>
        <v>500</v>
      </c>
      <c r="F132" s="16">
        <f>'5327-510 Meals, Hosting'!F5</f>
        <v>500</v>
      </c>
      <c r="G132" s="16">
        <f>'5327-510 Meals, Hosting'!G5</f>
        <v>500</v>
      </c>
      <c r="H132" s="16">
        <f>'5327-510 Meals, Hosting'!H5</f>
        <v>500</v>
      </c>
      <c r="I132" s="16">
        <f>'5327-510 Meals, Hosting'!I5</f>
        <v>500</v>
      </c>
      <c r="J132" s="16">
        <f>'5327-510 Meals, Hosting'!J5</f>
        <v>500</v>
      </c>
      <c r="K132" s="16">
        <f>'5327-510 Meals, Hosting'!K5</f>
        <v>500</v>
      </c>
      <c r="L132" s="16">
        <f>'5327-510 Meals, Hosting'!L5</f>
        <v>500</v>
      </c>
      <c r="M132" s="16">
        <f>'5327-510 Meals, Hosting'!M5</f>
        <v>500</v>
      </c>
      <c r="N132" s="16">
        <f>'5327-510 Meals, Hosting'!N5</f>
        <v>500</v>
      </c>
      <c r="O132" s="17">
        <f>'5327-510 Meals, Hosting'!O5</f>
        <v>6000</v>
      </c>
    </row>
    <row r="133" spans="1:17" x14ac:dyDescent="0.3">
      <c r="A133" s="263"/>
      <c r="B133" s="6" t="s">
        <v>29</v>
      </c>
      <c r="C133" s="18">
        <f>'5327-510 Meals, Hosting'!C4</f>
        <v>400</v>
      </c>
      <c r="D133" s="18">
        <f>'5327-510 Meals, Hosting'!D4</f>
        <v>400</v>
      </c>
      <c r="E133" s="18">
        <f>'5327-510 Meals, Hosting'!E4</f>
        <v>400</v>
      </c>
      <c r="F133" s="18">
        <f>'5327-510 Meals, Hosting'!F4</f>
        <v>400</v>
      </c>
      <c r="G133" s="18">
        <f>'5327-510 Meals, Hosting'!G4</f>
        <v>400</v>
      </c>
      <c r="H133" s="18">
        <f>'5327-510 Meals, Hosting'!H4</f>
        <v>400</v>
      </c>
      <c r="I133" s="18">
        <f>'5327-510 Meals, Hosting'!I4</f>
        <v>400</v>
      </c>
      <c r="J133" s="18">
        <f>'5327-510 Meals, Hosting'!J4</f>
        <v>400</v>
      </c>
      <c r="K133" s="18">
        <f>'5327-510 Meals, Hosting'!K4</f>
        <v>400</v>
      </c>
      <c r="L133" s="18">
        <f>'5327-510 Meals, Hosting'!L4</f>
        <v>400</v>
      </c>
      <c r="M133" s="18">
        <f>'5327-510 Meals, Hosting'!M4</f>
        <v>400</v>
      </c>
      <c r="N133" s="18">
        <f>'5327-510 Meals, Hosting'!N4</f>
        <v>400</v>
      </c>
      <c r="O133" s="19">
        <f>'5327-510 Meals, Hosting'!O4</f>
        <v>4800</v>
      </c>
      <c r="Q133" s="33">
        <f>O133-O131</f>
        <v>3954.06</v>
      </c>
    </row>
    <row r="134" spans="1:17" x14ac:dyDescent="0.3">
      <c r="A134" s="263"/>
      <c r="B134" s="5" t="s">
        <v>32</v>
      </c>
      <c r="C134" s="16">
        <f>'5327-510 Meals, Hosting'!C6</f>
        <v>0</v>
      </c>
      <c r="D134" s="16">
        <f>'5327-510 Meals, Hosting'!D6</f>
        <v>1553.88</v>
      </c>
      <c r="E134" s="16">
        <f>'5327-510 Meals, Hosting'!E6</f>
        <v>0</v>
      </c>
      <c r="F134" s="16">
        <f>'5327-510 Meals, Hosting'!F6</f>
        <v>0</v>
      </c>
      <c r="G134" s="16">
        <f>'5327-510 Meals, Hosting'!G6</f>
        <v>71.64</v>
      </c>
      <c r="H134" s="16">
        <f>'5327-510 Meals, Hosting'!H6</f>
        <v>98.97</v>
      </c>
      <c r="I134" s="16">
        <f>'5327-510 Meals, Hosting'!I6</f>
        <v>0</v>
      </c>
      <c r="J134" s="16">
        <f>'5327-510 Meals, Hosting'!J6</f>
        <v>78.569999999999993</v>
      </c>
      <c r="K134" s="16">
        <f>'5327-510 Meals, Hosting'!K6</f>
        <v>0</v>
      </c>
      <c r="L134" s="16">
        <f>'5327-510 Meals, Hosting'!L6</f>
        <v>0</v>
      </c>
      <c r="M134" s="16">
        <f>'5327-510 Meals, Hosting'!M6</f>
        <v>0</v>
      </c>
      <c r="N134" s="16">
        <f>'5327-510 Meals, Hosting'!N6</f>
        <v>0</v>
      </c>
      <c r="O134" s="17">
        <f>'5327-510 Meals, Hosting'!O6</f>
        <v>1803.0600000000002</v>
      </c>
    </row>
    <row r="135" spans="1:17" x14ac:dyDescent="0.3">
      <c r="A135" s="264"/>
      <c r="B135" s="23" t="s">
        <v>447</v>
      </c>
      <c r="C135" s="26">
        <f>'5327-510 Meals, Hosting'!C7</f>
        <v>500</v>
      </c>
      <c r="D135" s="26">
        <f>'5327-510 Meals, Hosting'!D7</f>
        <v>-1053.8800000000001</v>
      </c>
      <c r="E135" s="26">
        <f>'5327-510 Meals, Hosting'!E7</f>
        <v>500</v>
      </c>
      <c r="F135" s="26">
        <f>'5327-510 Meals, Hosting'!F7</f>
        <v>500</v>
      </c>
      <c r="G135" s="26">
        <f>'5327-510 Meals, Hosting'!G7</f>
        <v>428.36</v>
      </c>
      <c r="H135" s="26">
        <f>'5327-510 Meals, Hosting'!H7</f>
        <v>401.03</v>
      </c>
      <c r="I135" s="26">
        <f>'5327-510 Meals, Hosting'!I7</f>
        <v>500</v>
      </c>
      <c r="J135" s="26">
        <f>'5327-510 Meals, Hosting'!J7</f>
        <v>421.43</v>
      </c>
      <c r="K135" s="26">
        <f>'5327-510 Meals, Hosting'!K7</f>
        <v>500</v>
      </c>
      <c r="L135" s="26">
        <f>'5327-510 Meals, Hosting'!L7</f>
        <v>500</v>
      </c>
      <c r="M135" s="26">
        <f>'5327-510 Meals, Hosting'!M7</f>
        <v>500</v>
      </c>
      <c r="N135" s="26">
        <f>'5327-510 Meals, Hosting'!N7</f>
        <v>500</v>
      </c>
      <c r="O135" s="24">
        <f>'5327-510 Meals, Hosting'!O7</f>
        <v>4196.9399999999996</v>
      </c>
    </row>
    <row r="136" spans="1:17" x14ac:dyDescent="0.3">
      <c r="O136" s="27"/>
    </row>
    <row r="137" spans="1:17" x14ac:dyDescent="0.3">
      <c r="A137" s="263" t="s">
        <v>80</v>
      </c>
      <c r="B137" s="5" t="s">
        <v>16</v>
      </c>
      <c r="C137" s="16">
        <f>'5328-510 Vehicle Expense'!C3</f>
        <v>27.84</v>
      </c>
      <c r="D137" s="16">
        <f>'5328-510 Vehicle Expense'!D3</f>
        <v>0</v>
      </c>
      <c r="E137" s="16">
        <f>'5328-510 Vehicle Expense'!E3</f>
        <v>0</v>
      </c>
      <c r="F137" s="16">
        <f>'5328-510 Vehicle Expense'!F3</f>
        <v>20</v>
      </c>
      <c r="G137" s="16">
        <f>'5328-510 Vehicle Expense'!G3</f>
        <v>0</v>
      </c>
      <c r="H137" s="16">
        <f>'5328-510 Vehicle Expense'!H3</f>
        <v>251.31</v>
      </c>
      <c r="I137" s="16">
        <f>'5328-510 Vehicle Expense'!I3</f>
        <v>0</v>
      </c>
      <c r="J137" s="16">
        <f>'5328-510 Vehicle Expense'!J3</f>
        <v>0</v>
      </c>
      <c r="K137" s="16">
        <f>'5328-510 Vehicle Expense'!K3</f>
        <v>0</v>
      </c>
      <c r="L137" s="16">
        <f>'5328-510 Vehicle Expense'!L3</f>
        <v>0</v>
      </c>
      <c r="M137" s="16">
        <f>'5328-510 Vehicle Expense'!M3</f>
        <v>4.5</v>
      </c>
      <c r="N137" s="16">
        <f>'5328-510 Vehicle Expense'!N3</f>
        <v>0</v>
      </c>
      <c r="O137" s="17">
        <f>'5328-510 Vehicle Expense'!O3</f>
        <v>303.64999999999998</v>
      </c>
    </row>
    <row r="138" spans="1:17" x14ac:dyDescent="0.3">
      <c r="A138" s="263"/>
      <c r="B138" s="5" t="s">
        <v>31</v>
      </c>
      <c r="C138" s="16">
        <f>'5328-510 Vehicle Expense'!C5</f>
        <v>150</v>
      </c>
      <c r="D138" s="16">
        <f>'5328-510 Vehicle Expense'!D5</f>
        <v>150</v>
      </c>
      <c r="E138" s="16">
        <f>'5328-510 Vehicle Expense'!E5</f>
        <v>150</v>
      </c>
      <c r="F138" s="16">
        <f>'5328-510 Vehicle Expense'!F5</f>
        <v>150</v>
      </c>
      <c r="G138" s="16">
        <f>'5328-510 Vehicle Expense'!G5</f>
        <v>150</v>
      </c>
      <c r="H138" s="16">
        <f>'5328-510 Vehicle Expense'!H5</f>
        <v>150</v>
      </c>
      <c r="I138" s="16">
        <f>'5328-510 Vehicle Expense'!I5</f>
        <v>155</v>
      </c>
      <c r="J138" s="16">
        <f>'5328-510 Vehicle Expense'!J5</f>
        <v>173</v>
      </c>
      <c r="K138" s="16">
        <f>'5328-510 Vehicle Expense'!K5</f>
        <v>164</v>
      </c>
      <c r="L138" s="16">
        <f>'5328-510 Vehicle Expense'!L5</f>
        <v>150</v>
      </c>
      <c r="M138" s="16">
        <f>'5328-510 Vehicle Expense'!M5</f>
        <v>150</v>
      </c>
      <c r="N138" s="16">
        <f>'5328-510 Vehicle Expense'!N5</f>
        <v>150</v>
      </c>
      <c r="O138" s="17">
        <f>'5328-510 Vehicle Expense'!O5</f>
        <v>1842</v>
      </c>
    </row>
    <row r="139" spans="1:17" x14ac:dyDescent="0.3">
      <c r="A139" s="263"/>
      <c r="B139" s="6" t="s">
        <v>29</v>
      </c>
      <c r="C139" s="18">
        <f>'5328-510 Vehicle Expense'!C4</f>
        <v>150</v>
      </c>
      <c r="D139" s="18">
        <f>'5328-510 Vehicle Expense'!D4</f>
        <v>150</v>
      </c>
      <c r="E139" s="18">
        <f>'5328-510 Vehicle Expense'!E4</f>
        <v>150</v>
      </c>
      <c r="F139" s="18">
        <f>'5328-510 Vehicle Expense'!F4</f>
        <v>150</v>
      </c>
      <c r="G139" s="18">
        <f>'5328-510 Vehicle Expense'!G4</f>
        <v>150</v>
      </c>
      <c r="H139" s="18">
        <f>'5328-510 Vehicle Expense'!H4</f>
        <v>150</v>
      </c>
      <c r="I139" s="18">
        <f>'5328-510 Vehicle Expense'!I4</f>
        <v>155</v>
      </c>
      <c r="J139" s="18">
        <f>'5328-510 Vehicle Expense'!J4</f>
        <v>173</v>
      </c>
      <c r="K139" s="18">
        <f>'5328-510 Vehicle Expense'!K4</f>
        <v>164</v>
      </c>
      <c r="L139" s="18">
        <f>'5328-510 Vehicle Expense'!L4</f>
        <v>150</v>
      </c>
      <c r="M139" s="18">
        <f>'5328-510 Vehicle Expense'!M4</f>
        <v>150</v>
      </c>
      <c r="N139" s="18">
        <f>'5328-510 Vehicle Expense'!N4</f>
        <v>150</v>
      </c>
      <c r="O139" s="19">
        <f>'5328-510 Vehicle Expense'!O4</f>
        <v>1842</v>
      </c>
      <c r="Q139" s="33">
        <f>O139-O137</f>
        <v>1538.35</v>
      </c>
    </row>
    <row r="140" spans="1:17" x14ac:dyDescent="0.3">
      <c r="A140" s="263"/>
      <c r="B140" s="5" t="s">
        <v>32</v>
      </c>
      <c r="C140" s="16">
        <f>'5328-510 Vehicle Expense'!C6</f>
        <v>0</v>
      </c>
      <c r="D140" s="16">
        <f>'5328-510 Vehicle Expense'!D6</f>
        <v>3</v>
      </c>
      <c r="E140" s="16">
        <f>'5328-510 Vehicle Expense'!E6</f>
        <v>0</v>
      </c>
      <c r="F140" s="16">
        <f>'5328-510 Vehicle Expense'!F6</f>
        <v>145.35000000000002</v>
      </c>
      <c r="G140" s="16">
        <f>'5328-510 Vehicle Expense'!G6</f>
        <v>0</v>
      </c>
      <c r="H140" s="16">
        <f>'5328-510 Vehicle Expense'!H6</f>
        <v>0</v>
      </c>
      <c r="I140" s="16">
        <f>'5328-510 Vehicle Expense'!I6</f>
        <v>0</v>
      </c>
      <c r="J140" s="16">
        <f>'5328-510 Vehicle Expense'!J6</f>
        <v>95.2</v>
      </c>
      <c r="K140" s="16">
        <f>'5328-510 Vehicle Expense'!K6</f>
        <v>0</v>
      </c>
      <c r="L140" s="16">
        <f>'5328-510 Vehicle Expense'!L6</f>
        <v>0</v>
      </c>
      <c r="M140" s="16">
        <f>'5328-510 Vehicle Expense'!M6</f>
        <v>0</v>
      </c>
      <c r="N140" s="16">
        <f>'5328-510 Vehicle Expense'!N6</f>
        <v>0</v>
      </c>
      <c r="O140" s="17">
        <f>'5328-510 Vehicle Expense'!O6</f>
        <v>243.55</v>
      </c>
    </row>
    <row r="141" spans="1:17" x14ac:dyDescent="0.3">
      <c r="A141" s="264"/>
      <c r="B141" s="23" t="s">
        <v>447</v>
      </c>
      <c r="C141" s="26">
        <f>'5328-510 Vehicle Expense'!C7</f>
        <v>150</v>
      </c>
      <c r="D141" s="26">
        <f>'5328-510 Vehicle Expense'!D7</f>
        <v>147</v>
      </c>
      <c r="E141" s="26">
        <f>'5328-510 Vehicle Expense'!E7</f>
        <v>150</v>
      </c>
      <c r="F141" s="26">
        <f>'5328-510 Vehicle Expense'!F7</f>
        <v>4.6499999999999773</v>
      </c>
      <c r="G141" s="26">
        <f>'5328-510 Vehicle Expense'!G7</f>
        <v>150</v>
      </c>
      <c r="H141" s="26">
        <f>'5328-510 Vehicle Expense'!H7</f>
        <v>150</v>
      </c>
      <c r="I141" s="26">
        <f>'5328-510 Vehicle Expense'!I7</f>
        <v>155</v>
      </c>
      <c r="J141" s="26">
        <f>'5328-510 Vehicle Expense'!J7</f>
        <v>77.8</v>
      </c>
      <c r="K141" s="26">
        <f>'5328-510 Vehicle Expense'!K7</f>
        <v>164</v>
      </c>
      <c r="L141" s="26">
        <f>'5328-510 Vehicle Expense'!L7</f>
        <v>150</v>
      </c>
      <c r="M141" s="26">
        <f>'5328-510 Vehicle Expense'!M7</f>
        <v>150</v>
      </c>
      <c r="N141" s="26">
        <f>'5328-510 Vehicle Expense'!N7</f>
        <v>150</v>
      </c>
      <c r="O141" s="24">
        <f>'5328-510 Vehicle Expense'!O7</f>
        <v>1598.45</v>
      </c>
    </row>
    <row r="142" spans="1:17" x14ac:dyDescent="0.3">
      <c r="O142" s="27"/>
    </row>
    <row r="143" spans="1:17" x14ac:dyDescent="0.3">
      <c r="A143" s="263" t="s">
        <v>82</v>
      </c>
      <c r="B143" s="5" t="s">
        <v>16</v>
      </c>
      <c r="C143" s="16">
        <f>'5333-510 Consulting'!C3</f>
        <v>0</v>
      </c>
      <c r="D143" s="16">
        <f>'5333-510 Consulting'!D3</f>
        <v>0</v>
      </c>
      <c r="E143" s="16">
        <f>'5333-510 Consulting'!E3</f>
        <v>0</v>
      </c>
      <c r="F143" s="16">
        <f>'5333-510 Consulting'!F3</f>
        <v>0</v>
      </c>
      <c r="G143" s="16">
        <f>'5333-510 Consulting'!G3</f>
        <v>0</v>
      </c>
      <c r="H143" s="16">
        <f>'5333-510 Consulting'!H3</f>
        <v>0</v>
      </c>
      <c r="I143" s="16">
        <f>'5333-510 Consulting'!I3</f>
        <v>0</v>
      </c>
      <c r="J143" s="16">
        <f>'5333-510 Consulting'!J3</f>
        <v>0</v>
      </c>
      <c r="K143" s="16">
        <f>'5333-510 Consulting'!K3</f>
        <v>0</v>
      </c>
      <c r="L143" s="16">
        <f>'5333-510 Consulting'!L3</f>
        <v>0</v>
      </c>
      <c r="M143" s="16">
        <f>'5333-510 Consulting'!M3</f>
        <v>0</v>
      </c>
      <c r="N143" s="16">
        <f>'5333-510 Consulting'!N3</f>
        <v>0</v>
      </c>
      <c r="O143" s="17">
        <f>'5333-510 Consulting'!O3</f>
        <v>0</v>
      </c>
    </row>
    <row r="144" spans="1:17" x14ac:dyDescent="0.3">
      <c r="A144" s="263"/>
      <c r="B144" s="5" t="s">
        <v>31</v>
      </c>
      <c r="C144" s="16">
        <f>'5333-510 Consulting'!C5</f>
        <v>0</v>
      </c>
      <c r="D144" s="16">
        <f>'5333-510 Consulting'!D5</f>
        <v>0</v>
      </c>
      <c r="E144" s="16">
        <f>'5333-510 Consulting'!E5</f>
        <v>0</v>
      </c>
      <c r="F144" s="16">
        <f>'5333-510 Consulting'!F5</f>
        <v>0</v>
      </c>
      <c r="G144" s="16">
        <f>'5333-510 Consulting'!G5</f>
        <v>0</v>
      </c>
      <c r="H144" s="16">
        <f>'5333-510 Consulting'!H5</f>
        <v>0</v>
      </c>
      <c r="I144" s="16">
        <f>'5333-510 Consulting'!I5</f>
        <v>0</v>
      </c>
      <c r="J144" s="16">
        <f>'5333-510 Consulting'!J5</f>
        <v>0</v>
      </c>
      <c r="K144" s="16">
        <f>'5333-510 Consulting'!K5</f>
        <v>0</v>
      </c>
      <c r="L144" s="16">
        <f>'5333-510 Consulting'!L5</f>
        <v>0</v>
      </c>
      <c r="M144" s="16">
        <f>'5333-510 Consulting'!M5</f>
        <v>0</v>
      </c>
      <c r="N144" s="16">
        <f>'5333-510 Consulting'!N5</f>
        <v>0</v>
      </c>
      <c r="O144" s="17">
        <f>'5333-510 Consulting'!O5</f>
        <v>0</v>
      </c>
    </row>
    <row r="145" spans="1:17" x14ac:dyDescent="0.3">
      <c r="A145" s="263"/>
      <c r="B145" s="6" t="s">
        <v>29</v>
      </c>
      <c r="C145" s="18">
        <f>'5333-510 Consulting'!C4</f>
        <v>0</v>
      </c>
      <c r="D145" s="18">
        <f>'5333-510 Consulting'!D4</f>
        <v>0</v>
      </c>
      <c r="E145" s="18">
        <f>'5333-510 Consulting'!E4</f>
        <v>0</v>
      </c>
      <c r="F145" s="18">
        <f>'5333-510 Consulting'!F4</f>
        <v>0</v>
      </c>
      <c r="G145" s="18">
        <f>'5333-510 Consulting'!G4</f>
        <v>0</v>
      </c>
      <c r="H145" s="18">
        <f>'5333-510 Consulting'!H4</f>
        <v>0</v>
      </c>
      <c r="I145" s="18">
        <f>'5333-510 Consulting'!I4</f>
        <v>0</v>
      </c>
      <c r="J145" s="18">
        <f>'5333-510 Consulting'!J4</f>
        <v>0</v>
      </c>
      <c r="K145" s="18">
        <f>'5333-510 Consulting'!K4</f>
        <v>0</v>
      </c>
      <c r="L145" s="18">
        <f>'5333-510 Consulting'!L4</f>
        <v>0</v>
      </c>
      <c r="M145" s="18">
        <f>'5333-510 Consulting'!M4</f>
        <v>0</v>
      </c>
      <c r="N145" s="18">
        <f>'5333-510 Consulting'!N4</f>
        <v>0</v>
      </c>
      <c r="O145" s="19">
        <f>'5333-510 Consulting'!O4</f>
        <v>0</v>
      </c>
      <c r="Q145" s="33">
        <f>O145-O143</f>
        <v>0</v>
      </c>
    </row>
    <row r="146" spans="1:17" x14ac:dyDescent="0.3">
      <c r="A146" s="263"/>
      <c r="B146" s="5" t="s">
        <v>32</v>
      </c>
      <c r="C146" s="16">
        <f>'5333-510 Consulting'!C6</f>
        <v>0</v>
      </c>
      <c r="D146" s="16">
        <f>'5333-510 Consulting'!D6</f>
        <v>0</v>
      </c>
      <c r="E146" s="16">
        <f>'5333-510 Consulting'!E6</f>
        <v>0</v>
      </c>
      <c r="F146" s="16">
        <f>'5333-510 Consulting'!F6</f>
        <v>0</v>
      </c>
      <c r="G146" s="16">
        <f>'5333-510 Consulting'!G6</f>
        <v>0</v>
      </c>
      <c r="H146" s="16">
        <f>'5333-510 Consulting'!H6</f>
        <v>0</v>
      </c>
      <c r="I146" s="16">
        <f>'5333-510 Consulting'!I6</f>
        <v>0</v>
      </c>
      <c r="J146" s="16">
        <f>'5333-510 Consulting'!J6</f>
        <v>0</v>
      </c>
      <c r="K146" s="16">
        <f>'5333-510 Consulting'!K6</f>
        <v>0</v>
      </c>
      <c r="L146" s="16">
        <f>'5333-510 Consulting'!L6</f>
        <v>0</v>
      </c>
      <c r="M146" s="16">
        <f>'5333-510 Consulting'!M6</f>
        <v>0</v>
      </c>
      <c r="N146" s="16">
        <f>'5333-510 Consulting'!N6</f>
        <v>0</v>
      </c>
      <c r="O146" s="17">
        <f>'5333-510 Consulting'!O6</f>
        <v>0</v>
      </c>
    </row>
    <row r="147" spans="1:17" x14ac:dyDescent="0.3">
      <c r="A147" s="264"/>
      <c r="B147" s="23" t="s">
        <v>447</v>
      </c>
      <c r="C147" s="26">
        <f>'5333-510 Consulting'!C7</f>
        <v>0</v>
      </c>
      <c r="D147" s="26">
        <f>'5333-510 Consulting'!D7</f>
        <v>0</v>
      </c>
      <c r="E147" s="26">
        <f>'5333-510 Consulting'!E7</f>
        <v>0</v>
      </c>
      <c r="F147" s="26">
        <f>'5333-510 Consulting'!F7</f>
        <v>0</v>
      </c>
      <c r="G147" s="26">
        <f>'5333-510 Consulting'!G7</f>
        <v>0</v>
      </c>
      <c r="H147" s="26">
        <f>'5333-510 Consulting'!H7</f>
        <v>0</v>
      </c>
      <c r="I147" s="26">
        <f>'5333-510 Consulting'!I7</f>
        <v>0</v>
      </c>
      <c r="J147" s="26">
        <f>'5333-510 Consulting'!J7</f>
        <v>0</v>
      </c>
      <c r="K147" s="26">
        <f>'5333-510 Consulting'!K7</f>
        <v>0</v>
      </c>
      <c r="L147" s="26">
        <f>'5333-510 Consulting'!L7</f>
        <v>0</v>
      </c>
      <c r="M147" s="26">
        <f>'5333-510 Consulting'!M7</f>
        <v>0</v>
      </c>
      <c r="N147" s="26">
        <f>'5333-510 Consulting'!N7</f>
        <v>0</v>
      </c>
      <c r="O147" s="24">
        <f>'5333-510 Consulting'!O7</f>
        <v>0</v>
      </c>
    </row>
    <row r="148" spans="1:17" x14ac:dyDescent="0.3">
      <c r="O148" s="27"/>
    </row>
    <row r="149" spans="1:17" x14ac:dyDescent="0.3">
      <c r="A149" s="263" t="s">
        <v>83</v>
      </c>
      <c r="B149" s="5" t="s">
        <v>16</v>
      </c>
      <c r="C149" s="16">
        <f>'5336-510 Excise Tax'!C3</f>
        <v>0</v>
      </c>
      <c r="D149" s="16">
        <f>'5336-510 Excise Tax'!D3</f>
        <v>0</v>
      </c>
      <c r="E149" s="16">
        <f>'5336-510 Excise Tax'!E3</f>
        <v>0</v>
      </c>
      <c r="F149" s="16">
        <f>'5336-510 Excise Tax'!F3</f>
        <v>0</v>
      </c>
      <c r="G149" s="16">
        <f>'5336-510 Excise Tax'!G3</f>
        <v>0</v>
      </c>
      <c r="H149" s="16">
        <f>'5336-510 Excise Tax'!H3</f>
        <v>0</v>
      </c>
      <c r="I149" s="16">
        <f>'5336-510 Excise Tax'!I3</f>
        <v>0</v>
      </c>
      <c r="J149" s="16">
        <f>'5336-510 Excise Tax'!J3</f>
        <v>0</v>
      </c>
      <c r="K149" s="16">
        <f>'5336-510 Excise Tax'!K3</f>
        <v>0</v>
      </c>
      <c r="L149" s="16">
        <f>'5336-510 Excise Tax'!L3</f>
        <v>0</v>
      </c>
      <c r="M149" s="16">
        <f>'5336-510 Excise Tax'!M3</f>
        <v>0</v>
      </c>
      <c r="N149" s="16">
        <f>'5336-510 Excise Tax'!N3</f>
        <v>0</v>
      </c>
      <c r="O149" s="17">
        <f>'5336-510 Excise Tax'!O3</f>
        <v>0</v>
      </c>
    </row>
    <row r="150" spans="1:17" x14ac:dyDescent="0.3">
      <c r="A150" s="263"/>
      <c r="B150" s="5" t="s">
        <v>31</v>
      </c>
      <c r="C150" s="16">
        <f>'5336-510 Excise Tax'!C5</f>
        <v>0</v>
      </c>
      <c r="D150" s="16">
        <f>'5336-510 Excise Tax'!D5</f>
        <v>0</v>
      </c>
      <c r="E150" s="16">
        <f>'5336-510 Excise Tax'!E5</f>
        <v>0</v>
      </c>
      <c r="F150" s="16">
        <f>'5336-510 Excise Tax'!F5</f>
        <v>0</v>
      </c>
      <c r="G150" s="16">
        <f>'5336-510 Excise Tax'!G5</f>
        <v>0</v>
      </c>
      <c r="H150" s="16">
        <f>'5336-510 Excise Tax'!H5</f>
        <v>0</v>
      </c>
      <c r="I150" s="16">
        <f>'5336-510 Excise Tax'!I5</f>
        <v>0</v>
      </c>
      <c r="J150" s="16">
        <f>'5336-510 Excise Tax'!J5</f>
        <v>0</v>
      </c>
      <c r="K150" s="16">
        <f>'5336-510 Excise Tax'!K5</f>
        <v>0</v>
      </c>
      <c r="L150" s="16">
        <f>'5336-510 Excise Tax'!L5</f>
        <v>0</v>
      </c>
      <c r="M150" s="16">
        <f>'5336-510 Excise Tax'!M5</f>
        <v>0</v>
      </c>
      <c r="N150" s="16">
        <f>'5336-510 Excise Tax'!N5</f>
        <v>0</v>
      </c>
      <c r="O150" s="17">
        <f>'5336-510 Excise Tax'!O5</f>
        <v>0</v>
      </c>
    </row>
    <row r="151" spans="1:17" x14ac:dyDescent="0.3">
      <c r="A151" s="263"/>
      <c r="B151" s="6" t="s">
        <v>29</v>
      </c>
      <c r="C151" s="18">
        <f>'5336-510 Excise Tax'!C4</f>
        <v>0</v>
      </c>
      <c r="D151" s="18">
        <f>'5336-510 Excise Tax'!D4</f>
        <v>0</v>
      </c>
      <c r="E151" s="18">
        <f>'5336-510 Excise Tax'!E4</f>
        <v>0</v>
      </c>
      <c r="F151" s="18">
        <f>'5336-510 Excise Tax'!F4</f>
        <v>0</v>
      </c>
      <c r="G151" s="18">
        <f>'5336-510 Excise Tax'!G4</f>
        <v>0</v>
      </c>
      <c r="H151" s="18">
        <f>'5336-510 Excise Tax'!H4</f>
        <v>0</v>
      </c>
      <c r="I151" s="18">
        <f>'5336-510 Excise Tax'!I4</f>
        <v>0</v>
      </c>
      <c r="J151" s="18">
        <f>'5336-510 Excise Tax'!J4</f>
        <v>0</v>
      </c>
      <c r="K151" s="18">
        <f>'5336-510 Excise Tax'!K4</f>
        <v>0</v>
      </c>
      <c r="L151" s="18">
        <f>'5336-510 Excise Tax'!L4</f>
        <v>0</v>
      </c>
      <c r="M151" s="18">
        <f>'5336-510 Excise Tax'!M4</f>
        <v>0</v>
      </c>
      <c r="N151" s="18">
        <f>'5336-510 Excise Tax'!N4</f>
        <v>0</v>
      </c>
      <c r="O151" s="19">
        <f>'5336-510 Excise Tax'!O4</f>
        <v>0</v>
      </c>
      <c r="Q151" s="33">
        <f>O151-O149</f>
        <v>0</v>
      </c>
    </row>
    <row r="152" spans="1:17" x14ac:dyDescent="0.3">
      <c r="A152" s="263"/>
      <c r="B152" s="5" t="s">
        <v>32</v>
      </c>
      <c r="C152" s="16">
        <f>'5336-510 Excise Tax'!C6</f>
        <v>0</v>
      </c>
      <c r="D152" s="16">
        <f>'5336-510 Excise Tax'!D6</f>
        <v>0</v>
      </c>
      <c r="E152" s="16">
        <f>'5336-510 Excise Tax'!E6</f>
        <v>0</v>
      </c>
      <c r="F152" s="16">
        <f>'5336-510 Excise Tax'!F6</f>
        <v>0</v>
      </c>
      <c r="G152" s="16">
        <f>'5336-510 Excise Tax'!G6</f>
        <v>0</v>
      </c>
      <c r="H152" s="16">
        <f>'5336-510 Excise Tax'!H6</f>
        <v>0</v>
      </c>
      <c r="I152" s="16">
        <f>'5336-510 Excise Tax'!I6</f>
        <v>0</v>
      </c>
      <c r="J152" s="16">
        <f>'5336-510 Excise Tax'!J6</f>
        <v>0</v>
      </c>
      <c r="K152" s="16">
        <f>'5336-510 Excise Tax'!K6</f>
        <v>0</v>
      </c>
      <c r="L152" s="16">
        <f>'5336-510 Excise Tax'!L6</f>
        <v>0</v>
      </c>
      <c r="M152" s="16">
        <f>'5336-510 Excise Tax'!M6</f>
        <v>0</v>
      </c>
      <c r="N152" s="16">
        <f>'5336-510 Excise Tax'!N6</f>
        <v>0</v>
      </c>
      <c r="O152" s="17">
        <f>'5336-510 Excise Tax'!O6</f>
        <v>0</v>
      </c>
    </row>
    <row r="153" spans="1:17" x14ac:dyDescent="0.3">
      <c r="A153" s="264"/>
      <c r="B153" s="23" t="s">
        <v>447</v>
      </c>
      <c r="C153" s="26">
        <f>'5336-510 Excise Tax'!C7</f>
        <v>0</v>
      </c>
      <c r="D153" s="26">
        <f>'5336-510 Excise Tax'!D7</f>
        <v>0</v>
      </c>
      <c r="E153" s="26">
        <f>'5336-510 Excise Tax'!E7</f>
        <v>0</v>
      </c>
      <c r="F153" s="26">
        <f>'5336-510 Excise Tax'!F7</f>
        <v>0</v>
      </c>
      <c r="G153" s="26">
        <f>'5336-510 Excise Tax'!G7</f>
        <v>0</v>
      </c>
      <c r="H153" s="26">
        <f>'5336-510 Excise Tax'!H7</f>
        <v>0</v>
      </c>
      <c r="I153" s="26">
        <f>'5336-510 Excise Tax'!I7</f>
        <v>0</v>
      </c>
      <c r="J153" s="26">
        <f>'5336-510 Excise Tax'!J7</f>
        <v>0</v>
      </c>
      <c r="K153" s="26">
        <f>'5336-510 Excise Tax'!K7</f>
        <v>0</v>
      </c>
      <c r="L153" s="26">
        <f>'5336-510 Excise Tax'!L7</f>
        <v>0</v>
      </c>
      <c r="M153" s="26">
        <f>'5336-510 Excise Tax'!M7</f>
        <v>0</v>
      </c>
      <c r="N153" s="26">
        <f>'5336-510 Excise Tax'!N7</f>
        <v>0</v>
      </c>
      <c r="O153" s="24">
        <f>'5336-510 Excise Tax'!O7</f>
        <v>0</v>
      </c>
    </row>
    <row r="157" spans="1:17" x14ac:dyDescent="0.3">
      <c r="O157" s="27"/>
    </row>
    <row r="158" spans="1:17" x14ac:dyDescent="0.3">
      <c r="A158" s="263" t="str">
        <f>'5315-630 Technology (MIS)'!A1</f>
        <v>5315-630 Technology Services (Cost Center MIS)</v>
      </c>
      <c r="B158" s="5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7"/>
    </row>
    <row r="159" spans="1:17" x14ac:dyDescent="0.3">
      <c r="A159" s="263" t="s">
        <v>84</v>
      </c>
      <c r="B159" s="5" t="s">
        <v>16</v>
      </c>
      <c r="C159" s="16">
        <f>'5315-630 Technology (MIS)'!C3</f>
        <v>2933.06</v>
      </c>
      <c r="D159" s="16">
        <f>'5315-630 Technology (MIS)'!D3</f>
        <v>4322.33</v>
      </c>
      <c r="E159" s="16">
        <f>'5315-630 Technology (MIS)'!E3</f>
        <v>43334.07</v>
      </c>
      <c r="F159" s="16">
        <f>'5315-630 Technology (MIS)'!F3</f>
        <v>7210.8600000000006</v>
      </c>
      <c r="G159" s="16">
        <f>'5315-630 Technology (MIS)'!G3</f>
        <v>4411.6499999999996</v>
      </c>
      <c r="H159" s="16">
        <f>'5315-630 Technology (MIS)'!H3</f>
        <v>4692.3099999999995</v>
      </c>
      <c r="I159" s="16">
        <f>'5315-630 Technology (MIS)'!I3</f>
        <v>5262.45</v>
      </c>
      <c r="J159" s="16">
        <f>'5315-630 Technology (MIS)'!J3</f>
        <v>4715.6899999999996</v>
      </c>
      <c r="K159" s="16">
        <f>'5315-630 Technology (MIS)'!K3</f>
        <v>7064.16</v>
      </c>
      <c r="L159" s="16">
        <f>'5315-630 Technology (MIS)'!L3</f>
        <v>6939.98</v>
      </c>
      <c r="M159" s="16">
        <f>'5315-630 Technology (MIS)'!M3</f>
        <v>4745.24</v>
      </c>
      <c r="N159" s="16">
        <f>'5315-630 Technology (MIS)'!N3</f>
        <v>4721.7199999999993</v>
      </c>
      <c r="O159" s="16">
        <f>'5315-630 Technology (MIS)'!O3</f>
        <v>100353.52000000002</v>
      </c>
    </row>
    <row r="160" spans="1:17" x14ac:dyDescent="0.3">
      <c r="A160" s="263"/>
      <c r="B160" s="6" t="s">
        <v>18</v>
      </c>
      <c r="C160" s="18">
        <f>'5315-630 Technology (MIS)'!C5</f>
        <v>0</v>
      </c>
      <c r="D160" s="18">
        <f>'5315-630 Technology (MIS)'!D5</f>
        <v>0</v>
      </c>
      <c r="E160" s="18">
        <f>'5315-630 Technology (MIS)'!E5</f>
        <v>0</v>
      </c>
      <c r="F160" s="18">
        <f>'5315-630 Technology (MIS)'!F5</f>
        <v>0</v>
      </c>
      <c r="G160" s="18">
        <f>'5315-630 Technology (MIS)'!G5</f>
        <v>0</v>
      </c>
      <c r="H160" s="18">
        <f>'5315-630 Technology (MIS)'!H5</f>
        <v>0</v>
      </c>
      <c r="I160" s="18">
        <f>'5315-630 Technology (MIS)'!I5</f>
        <v>0</v>
      </c>
      <c r="J160" s="18">
        <f>'5315-630 Technology (MIS)'!J5</f>
        <v>0</v>
      </c>
      <c r="K160" s="18">
        <f>'5315-630 Technology (MIS)'!K5</f>
        <v>0</v>
      </c>
      <c r="L160" s="18">
        <f>'5315-630 Technology (MIS)'!L5</f>
        <v>0</v>
      </c>
      <c r="M160" s="18">
        <f>'5315-630 Technology (MIS)'!M5</f>
        <v>0</v>
      </c>
      <c r="N160" s="18">
        <f>'5315-630 Technology (MIS)'!N5</f>
        <v>0</v>
      </c>
      <c r="O160" s="18">
        <f>'5315-630 Technology (MIS)'!O5</f>
        <v>0</v>
      </c>
      <c r="Q160" s="33"/>
    </row>
    <row r="161" spans="1:18" x14ac:dyDescent="0.3">
      <c r="A161" s="263"/>
      <c r="B161" s="5" t="s">
        <v>27</v>
      </c>
      <c r="C161" s="16">
        <f>'5315-630 Technology (MIS)'!C4</f>
        <v>2984.8</v>
      </c>
      <c r="D161" s="16">
        <f>'5315-630 Technology (MIS)'!D4</f>
        <v>38680</v>
      </c>
      <c r="E161" s="16">
        <f>'5315-630 Technology (MIS)'!E4</f>
        <v>60292.81</v>
      </c>
      <c r="F161" s="16">
        <f>'5315-630 Technology (MIS)'!F4</f>
        <v>2544.3100000000004</v>
      </c>
      <c r="G161" s="16">
        <f>'5315-630 Technology (MIS)'!G4</f>
        <v>1612.94</v>
      </c>
      <c r="H161" s="16">
        <f>'5315-630 Technology (MIS)'!H4</f>
        <v>1605.6100000000001</v>
      </c>
      <c r="I161" s="16">
        <f>'5315-630 Technology (MIS)'!I4</f>
        <v>11339.4</v>
      </c>
      <c r="J161" s="16">
        <f>'5315-630 Technology (MIS)'!J4</f>
        <v>4205.6100000000006</v>
      </c>
      <c r="K161" s="16">
        <f>'5315-630 Technology (MIS)'!K4</f>
        <v>2511.29</v>
      </c>
      <c r="L161" s="16">
        <f>'5315-630 Technology (MIS)'!L4</f>
        <v>2056.4299999999998</v>
      </c>
      <c r="M161" s="16">
        <f>'5315-630 Technology (MIS)'!M4</f>
        <v>1605.6100000000001</v>
      </c>
      <c r="N161" s="16">
        <f>'5315-630 Technology (MIS)'!N4</f>
        <v>1605.6100000000001</v>
      </c>
      <c r="O161" s="16">
        <f>'5315-630 Technology (MIS)'!O4</f>
        <v>131044.42000000001</v>
      </c>
      <c r="Q161">
        <f>O161-O159</f>
        <v>30690.899999999994</v>
      </c>
      <c r="R161" t="s">
        <v>85</v>
      </c>
    </row>
    <row r="162" spans="1:18" x14ac:dyDescent="0.3">
      <c r="A162" s="264"/>
      <c r="B162" s="23" t="s">
        <v>19</v>
      </c>
      <c r="C162" s="26">
        <f>'5315-630 Technology (MIS)'!C6</f>
        <v>3692.29</v>
      </c>
      <c r="D162" s="26">
        <f>'5315-630 Technology (MIS)'!D6</f>
        <v>38805.870000000003</v>
      </c>
      <c r="E162" s="26">
        <f>'5315-630 Technology (MIS)'!E6</f>
        <v>61092.63</v>
      </c>
      <c r="F162" s="26">
        <f>'5315-630 Technology (MIS)'!F6</f>
        <v>21354.829999999998</v>
      </c>
      <c r="G162" s="26">
        <f>'5315-630 Technology (MIS)'!G6</f>
        <v>2325.79</v>
      </c>
      <c r="H162" s="26">
        <f>'5315-630 Technology (MIS)'!H6</f>
        <v>1536.3600000000001</v>
      </c>
      <c r="I162" s="26">
        <f>'5315-630 Technology (MIS)'!I6</f>
        <v>1381.8400000000001</v>
      </c>
      <c r="J162" s="26">
        <f>'5315-630 Technology (MIS)'!J6</f>
        <v>1381.69</v>
      </c>
      <c r="K162" s="26">
        <f>'5315-630 Technology (MIS)'!K6</f>
        <v>0</v>
      </c>
      <c r="L162" s="26">
        <f>'5315-630 Technology (MIS)'!L6</f>
        <v>0</v>
      </c>
      <c r="M162" s="26">
        <f>'5315-630 Technology (MIS)'!M6</f>
        <v>0</v>
      </c>
      <c r="N162" s="26">
        <f>'5315-630 Technology (MIS)'!N6</f>
        <v>0</v>
      </c>
      <c r="O162" s="26">
        <f>'5315-630 Technology (MIS)'!O6</f>
        <v>131571.29999999999</v>
      </c>
    </row>
    <row r="163" spans="1:18" x14ac:dyDescent="0.3">
      <c r="B163" t="s">
        <v>447</v>
      </c>
      <c r="C163" s="16">
        <f>'5315-630 Technology (MIS)'!C7</f>
        <v>-3692.29</v>
      </c>
      <c r="D163" s="16">
        <f>'5315-630 Technology (MIS)'!D7</f>
        <v>-38805.870000000003</v>
      </c>
      <c r="E163" s="16">
        <f>'5315-630 Technology (MIS)'!E7</f>
        <v>-61092.63</v>
      </c>
      <c r="F163" s="16">
        <f>'5315-630 Technology (MIS)'!F7</f>
        <v>-21354.829999999998</v>
      </c>
      <c r="G163" s="16">
        <f>'5315-630 Technology (MIS)'!G7</f>
        <v>-2325.79</v>
      </c>
      <c r="H163" s="16">
        <f>'5315-630 Technology (MIS)'!H7</f>
        <v>-1536.3600000000001</v>
      </c>
      <c r="I163" s="16">
        <f>'5315-630 Technology (MIS)'!I7</f>
        <v>-1381.8400000000001</v>
      </c>
      <c r="J163" s="16">
        <f>'5315-630 Technology (MIS)'!J7</f>
        <v>-1381.69</v>
      </c>
      <c r="K163" s="16">
        <f>'5315-630 Technology (MIS)'!K7</f>
        <v>0</v>
      </c>
      <c r="L163" s="16">
        <f>'5315-630 Technology (MIS)'!L7</f>
        <v>0</v>
      </c>
      <c r="M163" s="16">
        <f>'5315-630 Technology (MIS)'!M7</f>
        <v>0</v>
      </c>
      <c r="N163" s="16">
        <f>'5315-630 Technology (MIS)'!N7</f>
        <v>0</v>
      </c>
      <c r="O163" s="16">
        <f>'5315-630 Technology (MIS)'!O7</f>
        <v>-131571.29999999999</v>
      </c>
    </row>
  </sheetData>
  <mergeCells count="25">
    <mergeCell ref="A83:A87"/>
    <mergeCell ref="A89:A93"/>
    <mergeCell ref="A47:A50"/>
    <mergeCell ref="A59:A62"/>
    <mergeCell ref="A71:A74"/>
    <mergeCell ref="A65:A68"/>
    <mergeCell ref="A77:A81"/>
    <mergeCell ref="A53:A56"/>
    <mergeCell ref="A41:A44"/>
    <mergeCell ref="A2:A5"/>
    <mergeCell ref="A9:A12"/>
    <mergeCell ref="A16:A19"/>
    <mergeCell ref="A25:A28"/>
    <mergeCell ref="A33:A36"/>
    <mergeCell ref="A158:A162"/>
    <mergeCell ref="A137:A141"/>
    <mergeCell ref="A143:A147"/>
    <mergeCell ref="A95:A99"/>
    <mergeCell ref="A107:A111"/>
    <mergeCell ref="A113:A117"/>
    <mergeCell ref="A119:A123"/>
    <mergeCell ref="A101:A105"/>
    <mergeCell ref="A149:A153"/>
    <mergeCell ref="A125:A129"/>
    <mergeCell ref="A131:A13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d946185a-2dd8-429a-ba59-acad6f3f53b6" xsi:nil="true"/>
    <SharedWithUsers xmlns="29363d99-20ce-446c-9f64-bde34e57ed5c">
      <UserInfo>
        <DisplayName>Setoki, Nephi</DisplayName>
        <AccountId>6</AccountId>
        <AccountType/>
      </UserInfo>
      <UserInfo>
        <DisplayName>Pangilinan, Rafael Ckevin</DisplayName>
        <AccountId>115</AccountId>
        <AccountType/>
      </UserInfo>
    </SharedWithUsers>
    <lcf76f155ced4ddcb4097134ff3c332f xmlns="d946185a-2dd8-429a-ba59-acad6f3f53b6">
      <Terms xmlns="http://schemas.microsoft.com/office/infopath/2007/PartnerControls"/>
    </lcf76f155ced4ddcb4097134ff3c332f>
    <TaxCatchAll xmlns="29363d99-20ce-446c-9f64-bde34e57ed5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AB66EF991D1C43A950AF4615539C19" ma:contentTypeVersion="18" ma:contentTypeDescription="Create a new document." ma:contentTypeScope="" ma:versionID="9546f9ec7e60647e44e0480325617292">
  <xsd:schema xmlns:xsd="http://www.w3.org/2001/XMLSchema" xmlns:xs="http://www.w3.org/2001/XMLSchema" xmlns:p="http://schemas.microsoft.com/office/2006/metadata/properties" xmlns:ns2="d946185a-2dd8-429a-ba59-acad6f3f53b6" xmlns:ns3="29363d99-20ce-446c-9f64-bde34e57ed5c" targetNamespace="http://schemas.microsoft.com/office/2006/metadata/properties" ma:root="true" ma:fieldsID="cddcdf45cb5db392fc09574f70403940" ns2:_="" ns3:_="">
    <xsd:import namespace="d946185a-2dd8-429a-ba59-acad6f3f53b6"/>
    <xsd:import namespace="29363d99-20ce-446c-9f64-bde34e57ed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6185a-2dd8-429a-ba59-acad6f3f53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6fbe47d-2d0c-4821-a7ef-224e985409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363d99-20ce-446c-9f64-bde34e57ed5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ca4a776-ef61-471f-a226-907962a872a5}" ma:internalName="TaxCatchAll" ma:showField="CatchAllData" ma:web="29363d99-20ce-446c-9f64-bde34e57ed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9E2D57-51A2-4156-8503-48A4778A5FC8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29363d99-20ce-446c-9f64-bde34e57ed5c"/>
    <ds:schemaRef ds:uri="d946185a-2dd8-429a-ba59-acad6f3f53b6"/>
  </ds:schemaRefs>
</ds:datastoreItem>
</file>

<file path=customXml/itemProps2.xml><?xml version="1.0" encoding="utf-8"?>
<ds:datastoreItem xmlns:ds="http://schemas.openxmlformats.org/officeDocument/2006/customXml" ds:itemID="{DA14038E-3FBD-4B00-B1AC-3E65C772FD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46185a-2dd8-429a-ba59-acad6f3f53b6"/>
    <ds:schemaRef ds:uri="29363d99-20ce-446c-9f64-bde34e57ed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622F08-4871-4E35-8E2C-5C20B78530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Total </vt:lpstr>
      <vt:lpstr>Adjustment</vt:lpstr>
      <vt:lpstr>5024-510 Individual Contractors</vt:lpstr>
      <vt:lpstr>5100-510 Performance based</vt:lpstr>
      <vt:lpstr>5101-510 Non performance based</vt:lpstr>
      <vt:lpstr>5102-510 Advertising Agency Fee</vt:lpstr>
      <vt:lpstr>5104-510 Public Relations</vt:lpstr>
      <vt:lpstr>5105-510 Promotional Events</vt:lpstr>
      <vt:lpstr>5200-510 Operating Materials</vt:lpstr>
      <vt:lpstr>5201-510 Uniform</vt:lpstr>
      <vt:lpstr>5203-510 Furnishings</vt:lpstr>
      <vt:lpstr>5312-510 General Contracted </vt:lpstr>
      <vt:lpstr>5313-510 Telecommunications</vt:lpstr>
      <vt:lpstr>5314-510 Postage &amp; Freight</vt:lpstr>
      <vt:lpstr>5315-510 Technology Services</vt:lpstr>
      <vt:lpstr>5315-630 Technology (MIS)</vt:lpstr>
      <vt:lpstr>5322-510 Gifts</vt:lpstr>
      <vt:lpstr>5323-510 Employee enrichment</vt:lpstr>
      <vt:lpstr>5324-510 Miscellaneous</vt:lpstr>
      <vt:lpstr>5325-510 Subscriptions &amp; Dues</vt:lpstr>
      <vt:lpstr>5326-510 Travel</vt:lpstr>
      <vt:lpstr>5327-510 Meals, Hosting</vt:lpstr>
      <vt:lpstr>5328-510 Vehicle Expense</vt:lpstr>
      <vt:lpstr>5333-510 Consulting</vt:lpstr>
      <vt:lpstr>5336-510 Excise Tax</vt:lpstr>
      <vt:lpstr>Total  (2)</vt:lpstr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Schriner, Jamis</cp:lastModifiedBy>
  <cp:revision/>
  <dcterms:created xsi:type="dcterms:W3CDTF">2023-04-20T20:23:11Z</dcterms:created>
  <dcterms:modified xsi:type="dcterms:W3CDTF">2025-11-24T21:04:13Z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0x010100FAAB66EF991D1C43A950AF4615539C19</vt:lpwstr>
  </property>
  <property fmtid="{D5CDD505-2E9C-101B-9397-08002B2CF9AE}" pid="4" name="_ColorHex">
    <vt:lpwstr/>
  </property>
  <property fmtid="{D5CDD505-2E9C-101B-9397-08002B2CF9AE}" pid="5" name="ComplianceAssetId">
    <vt:lpwstr/>
  </property>
  <property fmtid="{D5CDD505-2E9C-101B-9397-08002B2CF9AE}" pid="6" name="_ColorTag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_Emoji">
    <vt:lpwstr/>
  </property>
</Properties>
</file>